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tha\OneDrive\Bureau\C13\"/>
    </mc:Choice>
  </mc:AlternateContent>
  <xr:revisionPtr revIDLastSave="0" documentId="8_{7DD0270D-B1F6-4257-AF2A-D0C4201D3C4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nditions" sheetId="7" r:id="rId1"/>
    <sheet name="Graphique animé" sheetId="8" r:id="rId2"/>
  </sheets>
  <definedNames>
    <definedName name="numérotation">Conditions!$X$4:$X$1004</definedName>
    <definedName name="px">Conditions!$Z$4:$Z$1004</definedName>
    <definedName name="py">Conditions!$AA$4:$AA$1004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8" i="8" l="1"/>
  <c r="R7" i="8"/>
  <c r="Q8" i="8"/>
  <c r="Q7" i="8"/>
  <c r="N10" i="8"/>
  <c r="R2" i="8"/>
  <c r="Q2" i="8"/>
  <c r="AC4" i="7"/>
  <c r="AB4" i="7"/>
  <c r="AA4" i="7"/>
  <c r="Z4" i="7"/>
  <c r="AO4" i="7" s="1"/>
  <c r="AK4" i="7" s="1"/>
  <c r="N4" i="7"/>
  <c r="M4" i="7"/>
  <c r="AN4" i="7"/>
  <c r="U5" i="7"/>
  <c r="V5" i="7"/>
  <c r="U6" i="7"/>
  <c r="V6" i="7"/>
  <c r="U7" i="7"/>
  <c r="V7" i="7"/>
  <c r="U8" i="7"/>
  <c r="V8" i="7"/>
  <c r="U9" i="7"/>
  <c r="V9" i="7"/>
  <c r="U10" i="7"/>
  <c r="V10" i="7"/>
  <c r="U11" i="7"/>
  <c r="V11" i="7"/>
  <c r="U12" i="7"/>
  <c r="V12" i="7"/>
  <c r="U13" i="7"/>
  <c r="V13" i="7"/>
  <c r="U14" i="7"/>
  <c r="V14" i="7"/>
  <c r="U15" i="7"/>
  <c r="V15" i="7"/>
  <c r="U16" i="7"/>
  <c r="V16" i="7"/>
  <c r="U17" i="7"/>
  <c r="V17" i="7"/>
  <c r="U18" i="7"/>
  <c r="V18" i="7"/>
  <c r="U19" i="7"/>
  <c r="V19" i="7"/>
  <c r="U20" i="7"/>
  <c r="V20" i="7"/>
  <c r="U21" i="7"/>
  <c r="V21" i="7"/>
  <c r="U22" i="7"/>
  <c r="V22" i="7"/>
  <c r="U23" i="7"/>
  <c r="V23" i="7"/>
  <c r="U24" i="7"/>
  <c r="V24" i="7"/>
  <c r="U25" i="7"/>
  <c r="V25" i="7"/>
  <c r="U26" i="7"/>
  <c r="V26" i="7"/>
  <c r="U27" i="7"/>
  <c r="V27" i="7"/>
  <c r="U28" i="7"/>
  <c r="V28" i="7"/>
  <c r="U29" i="7"/>
  <c r="V29" i="7"/>
  <c r="U30" i="7"/>
  <c r="V30" i="7"/>
  <c r="U31" i="7"/>
  <c r="V31" i="7"/>
  <c r="U32" i="7"/>
  <c r="V32" i="7"/>
  <c r="U33" i="7"/>
  <c r="V33" i="7"/>
  <c r="U34" i="7"/>
  <c r="V34" i="7"/>
  <c r="U35" i="7"/>
  <c r="V35" i="7"/>
  <c r="U36" i="7"/>
  <c r="V36" i="7"/>
  <c r="U37" i="7"/>
  <c r="V37" i="7"/>
  <c r="U38" i="7"/>
  <c r="V38" i="7"/>
  <c r="U39" i="7"/>
  <c r="V39" i="7"/>
  <c r="U40" i="7"/>
  <c r="V40" i="7"/>
  <c r="U41" i="7"/>
  <c r="V41" i="7"/>
  <c r="U42" i="7"/>
  <c r="V42" i="7"/>
  <c r="U43" i="7"/>
  <c r="V43" i="7"/>
  <c r="U44" i="7"/>
  <c r="V44" i="7"/>
  <c r="U45" i="7"/>
  <c r="V45" i="7"/>
  <c r="U46" i="7"/>
  <c r="V46" i="7"/>
  <c r="U47" i="7"/>
  <c r="V47" i="7"/>
  <c r="U48" i="7"/>
  <c r="V48" i="7"/>
  <c r="U49" i="7"/>
  <c r="V49" i="7"/>
  <c r="U50" i="7"/>
  <c r="V50" i="7"/>
  <c r="U51" i="7"/>
  <c r="V51" i="7"/>
  <c r="U52" i="7"/>
  <c r="V52" i="7"/>
  <c r="U53" i="7"/>
  <c r="V53" i="7"/>
  <c r="U54" i="7"/>
  <c r="V54" i="7"/>
  <c r="U55" i="7"/>
  <c r="V55" i="7"/>
  <c r="U56" i="7"/>
  <c r="V56" i="7"/>
  <c r="U57" i="7"/>
  <c r="V57" i="7"/>
  <c r="U58" i="7"/>
  <c r="V58" i="7"/>
  <c r="U59" i="7"/>
  <c r="V59" i="7"/>
  <c r="U60" i="7"/>
  <c r="V60" i="7"/>
  <c r="U61" i="7"/>
  <c r="V61" i="7"/>
  <c r="U62" i="7"/>
  <c r="V62" i="7"/>
  <c r="U63" i="7"/>
  <c r="V63" i="7"/>
  <c r="U64" i="7"/>
  <c r="V64" i="7"/>
  <c r="U65" i="7"/>
  <c r="V65" i="7"/>
  <c r="U66" i="7"/>
  <c r="V66" i="7"/>
  <c r="U67" i="7"/>
  <c r="V67" i="7"/>
  <c r="U68" i="7"/>
  <c r="V68" i="7"/>
  <c r="U69" i="7"/>
  <c r="V69" i="7"/>
  <c r="U70" i="7"/>
  <c r="V70" i="7"/>
  <c r="U71" i="7"/>
  <c r="V71" i="7"/>
  <c r="U72" i="7"/>
  <c r="V72" i="7"/>
  <c r="U73" i="7"/>
  <c r="V73" i="7"/>
  <c r="U74" i="7"/>
  <c r="V74" i="7"/>
  <c r="U75" i="7"/>
  <c r="V75" i="7"/>
  <c r="U76" i="7"/>
  <c r="V76" i="7"/>
  <c r="U77" i="7"/>
  <c r="V77" i="7"/>
  <c r="U78" i="7"/>
  <c r="V78" i="7"/>
  <c r="U79" i="7"/>
  <c r="V79" i="7"/>
  <c r="U80" i="7"/>
  <c r="V80" i="7"/>
  <c r="U81" i="7"/>
  <c r="V81" i="7"/>
  <c r="U82" i="7"/>
  <c r="V82" i="7"/>
  <c r="U83" i="7"/>
  <c r="V83" i="7"/>
  <c r="U84" i="7"/>
  <c r="V84" i="7"/>
  <c r="U85" i="7"/>
  <c r="V85" i="7"/>
  <c r="U86" i="7"/>
  <c r="V86" i="7"/>
  <c r="U87" i="7"/>
  <c r="V87" i="7"/>
  <c r="U88" i="7"/>
  <c r="V88" i="7"/>
  <c r="U89" i="7"/>
  <c r="V89" i="7"/>
  <c r="U90" i="7"/>
  <c r="V90" i="7"/>
  <c r="U91" i="7"/>
  <c r="V91" i="7"/>
  <c r="U92" i="7"/>
  <c r="V92" i="7"/>
  <c r="U93" i="7"/>
  <c r="V93" i="7"/>
  <c r="U94" i="7"/>
  <c r="V94" i="7"/>
  <c r="U95" i="7"/>
  <c r="V95" i="7"/>
  <c r="U96" i="7"/>
  <c r="V96" i="7"/>
  <c r="U97" i="7"/>
  <c r="V97" i="7"/>
  <c r="U98" i="7"/>
  <c r="V98" i="7"/>
  <c r="U99" i="7"/>
  <c r="V99" i="7"/>
  <c r="U100" i="7"/>
  <c r="V100" i="7"/>
  <c r="U101" i="7"/>
  <c r="V101" i="7"/>
  <c r="U102" i="7"/>
  <c r="V102" i="7"/>
  <c r="U103" i="7"/>
  <c r="V103" i="7"/>
  <c r="U104" i="7"/>
  <c r="V104" i="7"/>
  <c r="U105" i="7"/>
  <c r="V105" i="7"/>
  <c r="U106" i="7"/>
  <c r="V106" i="7"/>
  <c r="U107" i="7"/>
  <c r="V107" i="7"/>
  <c r="U108" i="7"/>
  <c r="V108" i="7"/>
  <c r="U109" i="7"/>
  <c r="V109" i="7"/>
  <c r="U110" i="7"/>
  <c r="V110" i="7"/>
  <c r="U111" i="7"/>
  <c r="V111" i="7"/>
  <c r="U112" i="7"/>
  <c r="V112" i="7"/>
  <c r="U113" i="7"/>
  <c r="V113" i="7"/>
  <c r="U114" i="7"/>
  <c r="V114" i="7"/>
  <c r="U115" i="7"/>
  <c r="V115" i="7"/>
  <c r="U116" i="7"/>
  <c r="V116" i="7"/>
  <c r="U117" i="7"/>
  <c r="V117" i="7"/>
  <c r="U118" i="7"/>
  <c r="V118" i="7"/>
  <c r="U119" i="7"/>
  <c r="V119" i="7"/>
  <c r="U120" i="7"/>
  <c r="V120" i="7"/>
  <c r="U121" i="7"/>
  <c r="V121" i="7"/>
  <c r="U122" i="7"/>
  <c r="V122" i="7"/>
  <c r="U123" i="7"/>
  <c r="V123" i="7"/>
  <c r="U124" i="7"/>
  <c r="V124" i="7"/>
  <c r="U125" i="7"/>
  <c r="V125" i="7"/>
  <c r="U126" i="7"/>
  <c r="V126" i="7"/>
  <c r="U127" i="7"/>
  <c r="V127" i="7"/>
  <c r="U128" i="7"/>
  <c r="V128" i="7"/>
  <c r="U129" i="7"/>
  <c r="V129" i="7"/>
  <c r="U130" i="7"/>
  <c r="V130" i="7"/>
  <c r="U131" i="7"/>
  <c r="V131" i="7"/>
  <c r="U132" i="7"/>
  <c r="V132" i="7"/>
  <c r="U133" i="7"/>
  <c r="V133" i="7"/>
  <c r="U134" i="7"/>
  <c r="V134" i="7"/>
  <c r="U135" i="7"/>
  <c r="V135" i="7"/>
  <c r="U136" i="7"/>
  <c r="V136" i="7"/>
  <c r="U137" i="7"/>
  <c r="V137" i="7"/>
  <c r="U138" i="7"/>
  <c r="V138" i="7"/>
  <c r="U139" i="7"/>
  <c r="V139" i="7"/>
  <c r="U140" i="7"/>
  <c r="V140" i="7"/>
  <c r="U141" i="7"/>
  <c r="V141" i="7"/>
  <c r="U142" i="7"/>
  <c r="V142" i="7"/>
  <c r="U143" i="7"/>
  <c r="V143" i="7"/>
  <c r="U144" i="7"/>
  <c r="V144" i="7"/>
  <c r="U145" i="7"/>
  <c r="V145" i="7"/>
  <c r="U146" i="7"/>
  <c r="V146" i="7"/>
  <c r="U147" i="7"/>
  <c r="V147" i="7"/>
  <c r="U148" i="7"/>
  <c r="V148" i="7"/>
  <c r="U149" i="7"/>
  <c r="V149" i="7"/>
  <c r="U150" i="7"/>
  <c r="V150" i="7"/>
  <c r="U151" i="7"/>
  <c r="V151" i="7"/>
  <c r="U152" i="7"/>
  <c r="V152" i="7"/>
  <c r="U153" i="7"/>
  <c r="V153" i="7"/>
  <c r="U154" i="7"/>
  <c r="V154" i="7"/>
  <c r="U155" i="7"/>
  <c r="V155" i="7"/>
  <c r="U156" i="7"/>
  <c r="V156" i="7"/>
  <c r="U157" i="7"/>
  <c r="V157" i="7"/>
  <c r="U158" i="7"/>
  <c r="V158" i="7"/>
  <c r="U159" i="7"/>
  <c r="V159" i="7"/>
  <c r="U160" i="7"/>
  <c r="V160" i="7"/>
  <c r="U161" i="7"/>
  <c r="V161" i="7"/>
  <c r="U162" i="7"/>
  <c r="V162" i="7"/>
  <c r="U163" i="7"/>
  <c r="V163" i="7"/>
  <c r="U164" i="7"/>
  <c r="V164" i="7"/>
  <c r="U165" i="7"/>
  <c r="V165" i="7"/>
  <c r="U166" i="7"/>
  <c r="V166" i="7"/>
  <c r="U167" i="7"/>
  <c r="V167" i="7"/>
  <c r="U168" i="7"/>
  <c r="V168" i="7"/>
  <c r="U169" i="7"/>
  <c r="V169" i="7"/>
  <c r="U170" i="7"/>
  <c r="V170" i="7"/>
  <c r="U171" i="7"/>
  <c r="V171" i="7"/>
  <c r="U172" i="7"/>
  <c r="V172" i="7"/>
  <c r="U173" i="7"/>
  <c r="V173" i="7"/>
  <c r="U174" i="7"/>
  <c r="V174" i="7"/>
  <c r="U175" i="7"/>
  <c r="V175" i="7"/>
  <c r="U176" i="7"/>
  <c r="V176" i="7"/>
  <c r="U177" i="7"/>
  <c r="V177" i="7"/>
  <c r="U178" i="7"/>
  <c r="V178" i="7"/>
  <c r="U179" i="7"/>
  <c r="V179" i="7"/>
  <c r="U180" i="7"/>
  <c r="V180" i="7"/>
  <c r="U181" i="7"/>
  <c r="V181" i="7"/>
  <c r="U182" i="7"/>
  <c r="V182" i="7"/>
  <c r="U183" i="7"/>
  <c r="V183" i="7"/>
  <c r="U184" i="7"/>
  <c r="V184" i="7"/>
  <c r="U185" i="7"/>
  <c r="V185" i="7"/>
  <c r="U186" i="7"/>
  <c r="V186" i="7"/>
  <c r="U187" i="7"/>
  <c r="V187" i="7"/>
  <c r="U188" i="7"/>
  <c r="V188" i="7"/>
  <c r="U189" i="7"/>
  <c r="V189" i="7"/>
  <c r="U190" i="7"/>
  <c r="V190" i="7"/>
  <c r="U191" i="7"/>
  <c r="V191" i="7"/>
  <c r="U192" i="7"/>
  <c r="V192" i="7"/>
  <c r="U193" i="7"/>
  <c r="V193" i="7"/>
  <c r="U194" i="7"/>
  <c r="V194" i="7"/>
  <c r="U195" i="7"/>
  <c r="V195" i="7"/>
  <c r="U196" i="7"/>
  <c r="V196" i="7"/>
  <c r="U197" i="7"/>
  <c r="V197" i="7"/>
  <c r="U198" i="7"/>
  <c r="V198" i="7"/>
  <c r="U199" i="7"/>
  <c r="V199" i="7"/>
  <c r="U200" i="7"/>
  <c r="V200" i="7"/>
  <c r="U201" i="7"/>
  <c r="V201" i="7"/>
  <c r="U202" i="7"/>
  <c r="V202" i="7"/>
  <c r="U203" i="7"/>
  <c r="V203" i="7"/>
  <c r="U204" i="7"/>
  <c r="V204" i="7"/>
  <c r="U205" i="7"/>
  <c r="V205" i="7"/>
  <c r="U206" i="7"/>
  <c r="V206" i="7"/>
  <c r="U207" i="7"/>
  <c r="V207" i="7"/>
  <c r="U208" i="7"/>
  <c r="V208" i="7"/>
  <c r="U209" i="7"/>
  <c r="V209" i="7"/>
  <c r="U210" i="7"/>
  <c r="V210" i="7"/>
  <c r="U211" i="7"/>
  <c r="V211" i="7"/>
  <c r="U212" i="7"/>
  <c r="V212" i="7"/>
  <c r="U213" i="7"/>
  <c r="V213" i="7"/>
  <c r="U214" i="7"/>
  <c r="V214" i="7"/>
  <c r="U215" i="7"/>
  <c r="V215" i="7"/>
  <c r="U216" i="7"/>
  <c r="V216" i="7"/>
  <c r="U217" i="7"/>
  <c r="V217" i="7"/>
  <c r="U218" i="7"/>
  <c r="V218" i="7"/>
  <c r="U219" i="7"/>
  <c r="V219" i="7"/>
  <c r="U220" i="7"/>
  <c r="V220" i="7"/>
  <c r="U221" i="7"/>
  <c r="V221" i="7"/>
  <c r="U222" i="7"/>
  <c r="V222" i="7"/>
  <c r="U223" i="7"/>
  <c r="V223" i="7"/>
  <c r="U224" i="7"/>
  <c r="V224" i="7"/>
  <c r="U225" i="7"/>
  <c r="V225" i="7"/>
  <c r="U226" i="7"/>
  <c r="V226" i="7"/>
  <c r="U227" i="7"/>
  <c r="V227" i="7"/>
  <c r="U228" i="7"/>
  <c r="V228" i="7"/>
  <c r="U229" i="7"/>
  <c r="V229" i="7"/>
  <c r="U230" i="7"/>
  <c r="V230" i="7"/>
  <c r="U231" i="7"/>
  <c r="V231" i="7"/>
  <c r="U232" i="7"/>
  <c r="V232" i="7"/>
  <c r="U233" i="7"/>
  <c r="V233" i="7"/>
  <c r="U234" i="7"/>
  <c r="V234" i="7"/>
  <c r="U235" i="7"/>
  <c r="V235" i="7"/>
  <c r="U236" i="7"/>
  <c r="V236" i="7"/>
  <c r="U237" i="7"/>
  <c r="V237" i="7"/>
  <c r="U238" i="7"/>
  <c r="V238" i="7"/>
  <c r="U239" i="7"/>
  <c r="V239" i="7"/>
  <c r="U240" i="7"/>
  <c r="V240" i="7"/>
  <c r="U241" i="7"/>
  <c r="V241" i="7"/>
  <c r="U242" i="7"/>
  <c r="V242" i="7"/>
  <c r="U243" i="7"/>
  <c r="V243" i="7"/>
  <c r="U244" i="7"/>
  <c r="V244" i="7"/>
  <c r="U245" i="7"/>
  <c r="V245" i="7"/>
  <c r="U246" i="7"/>
  <c r="V246" i="7"/>
  <c r="U247" i="7"/>
  <c r="V247" i="7"/>
  <c r="U248" i="7"/>
  <c r="V248" i="7"/>
  <c r="U249" i="7"/>
  <c r="V249" i="7"/>
  <c r="U250" i="7"/>
  <c r="V250" i="7"/>
  <c r="U251" i="7"/>
  <c r="V251" i="7"/>
  <c r="U252" i="7"/>
  <c r="V252" i="7"/>
  <c r="U253" i="7"/>
  <c r="V253" i="7"/>
  <c r="U254" i="7"/>
  <c r="V254" i="7"/>
  <c r="U255" i="7"/>
  <c r="V255" i="7"/>
  <c r="U256" i="7"/>
  <c r="V256" i="7"/>
  <c r="U257" i="7"/>
  <c r="V257" i="7"/>
  <c r="U258" i="7"/>
  <c r="V258" i="7"/>
  <c r="U259" i="7"/>
  <c r="V259" i="7"/>
  <c r="U260" i="7"/>
  <c r="V260" i="7"/>
  <c r="U261" i="7"/>
  <c r="V261" i="7"/>
  <c r="U262" i="7"/>
  <c r="V262" i="7"/>
  <c r="U263" i="7"/>
  <c r="V263" i="7"/>
  <c r="U264" i="7"/>
  <c r="V264" i="7"/>
  <c r="U265" i="7"/>
  <c r="V265" i="7"/>
  <c r="U266" i="7"/>
  <c r="V266" i="7"/>
  <c r="U267" i="7"/>
  <c r="V267" i="7"/>
  <c r="U268" i="7"/>
  <c r="V268" i="7"/>
  <c r="U269" i="7"/>
  <c r="V269" i="7"/>
  <c r="U270" i="7"/>
  <c r="V270" i="7"/>
  <c r="U271" i="7"/>
  <c r="V271" i="7"/>
  <c r="U272" i="7"/>
  <c r="V272" i="7"/>
  <c r="U273" i="7"/>
  <c r="V273" i="7"/>
  <c r="U274" i="7"/>
  <c r="V274" i="7"/>
  <c r="U275" i="7"/>
  <c r="V275" i="7"/>
  <c r="U276" i="7"/>
  <c r="V276" i="7"/>
  <c r="U277" i="7"/>
  <c r="V277" i="7"/>
  <c r="U278" i="7"/>
  <c r="V278" i="7"/>
  <c r="U279" i="7"/>
  <c r="V279" i="7"/>
  <c r="U280" i="7"/>
  <c r="V280" i="7"/>
  <c r="U281" i="7"/>
  <c r="V281" i="7"/>
  <c r="U282" i="7"/>
  <c r="V282" i="7"/>
  <c r="U283" i="7"/>
  <c r="V283" i="7"/>
  <c r="U284" i="7"/>
  <c r="V284" i="7"/>
  <c r="U285" i="7"/>
  <c r="V285" i="7"/>
  <c r="U286" i="7"/>
  <c r="V286" i="7"/>
  <c r="U287" i="7"/>
  <c r="V287" i="7"/>
  <c r="U288" i="7"/>
  <c r="V288" i="7"/>
  <c r="U289" i="7"/>
  <c r="V289" i="7"/>
  <c r="U290" i="7"/>
  <c r="V290" i="7"/>
  <c r="U291" i="7"/>
  <c r="V291" i="7"/>
  <c r="U292" i="7"/>
  <c r="V292" i="7"/>
  <c r="U293" i="7"/>
  <c r="V293" i="7"/>
  <c r="U294" i="7"/>
  <c r="V294" i="7"/>
  <c r="U295" i="7"/>
  <c r="V295" i="7"/>
  <c r="U296" i="7"/>
  <c r="V296" i="7"/>
  <c r="U297" i="7"/>
  <c r="V297" i="7"/>
  <c r="U298" i="7"/>
  <c r="V298" i="7"/>
  <c r="U299" i="7"/>
  <c r="V299" i="7"/>
  <c r="U300" i="7"/>
  <c r="V300" i="7"/>
  <c r="U301" i="7"/>
  <c r="V301" i="7"/>
  <c r="U302" i="7"/>
  <c r="V302" i="7"/>
  <c r="U303" i="7"/>
  <c r="V303" i="7"/>
  <c r="U304" i="7"/>
  <c r="V304" i="7"/>
  <c r="U305" i="7"/>
  <c r="V305" i="7"/>
  <c r="U306" i="7"/>
  <c r="V306" i="7"/>
  <c r="U307" i="7"/>
  <c r="V307" i="7"/>
  <c r="U308" i="7"/>
  <c r="V308" i="7"/>
  <c r="U309" i="7"/>
  <c r="V309" i="7"/>
  <c r="U310" i="7"/>
  <c r="V310" i="7"/>
  <c r="U311" i="7"/>
  <c r="V311" i="7"/>
  <c r="U312" i="7"/>
  <c r="V312" i="7"/>
  <c r="U313" i="7"/>
  <c r="V313" i="7"/>
  <c r="U314" i="7"/>
  <c r="V314" i="7"/>
  <c r="U315" i="7"/>
  <c r="V315" i="7"/>
  <c r="U316" i="7"/>
  <c r="V316" i="7"/>
  <c r="U317" i="7"/>
  <c r="V317" i="7"/>
  <c r="U318" i="7"/>
  <c r="V318" i="7"/>
  <c r="U319" i="7"/>
  <c r="V319" i="7"/>
  <c r="U320" i="7"/>
  <c r="V320" i="7"/>
  <c r="U321" i="7"/>
  <c r="V321" i="7"/>
  <c r="U322" i="7"/>
  <c r="V322" i="7"/>
  <c r="U323" i="7"/>
  <c r="V323" i="7"/>
  <c r="U324" i="7"/>
  <c r="V324" i="7"/>
  <c r="U325" i="7"/>
  <c r="V325" i="7"/>
  <c r="U326" i="7"/>
  <c r="V326" i="7"/>
  <c r="U327" i="7"/>
  <c r="V327" i="7"/>
  <c r="U328" i="7"/>
  <c r="V328" i="7"/>
  <c r="U329" i="7"/>
  <c r="V329" i="7"/>
  <c r="U330" i="7"/>
  <c r="V330" i="7"/>
  <c r="U331" i="7"/>
  <c r="V331" i="7"/>
  <c r="U332" i="7"/>
  <c r="V332" i="7"/>
  <c r="U333" i="7"/>
  <c r="V333" i="7"/>
  <c r="U334" i="7"/>
  <c r="V334" i="7"/>
  <c r="U335" i="7"/>
  <c r="V335" i="7"/>
  <c r="U336" i="7"/>
  <c r="V336" i="7"/>
  <c r="U337" i="7"/>
  <c r="V337" i="7"/>
  <c r="U338" i="7"/>
  <c r="V338" i="7"/>
  <c r="U339" i="7"/>
  <c r="V339" i="7"/>
  <c r="U340" i="7"/>
  <c r="V340" i="7"/>
  <c r="U341" i="7"/>
  <c r="V341" i="7"/>
  <c r="U342" i="7"/>
  <c r="V342" i="7"/>
  <c r="U343" i="7"/>
  <c r="V343" i="7"/>
  <c r="U344" i="7"/>
  <c r="V344" i="7"/>
  <c r="U345" i="7"/>
  <c r="V345" i="7"/>
  <c r="U346" i="7"/>
  <c r="V346" i="7"/>
  <c r="U347" i="7"/>
  <c r="V347" i="7"/>
  <c r="U348" i="7"/>
  <c r="V348" i="7"/>
  <c r="U349" i="7"/>
  <c r="V349" i="7"/>
  <c r="U350" i="7"/>
  <c r="V350" i="7"/>
  <c r="U351" i="7"/>
  <c r="V351" i="7"/>
  <c r="U352" i="7"/>
  <c r="V352" i="7"/>
  <c r="U353" i="7"/>
  <c r="V353" i="7"/>
  <c r="U354" i="7"/>
  <c r="V354" i="7"/>
  <c r="U355" i="7"/>
  <c r="V355" i="7"/>
  <c r="U356" i="7"/>
  <c r="V356" i="7"/>
  <c r="U357" i="7"/>
  <c r="V357" i="7"/>
  <c r="U358" i="7"/>
  <c r="V358" i="7"/>
  <c r="U359" i="7"/>
  <c r="V359" i="7"/>
  <c r="U360" i="7"/>
  <c r="V360" i="7"/>
  <c r="U361" i="7"/>
  <c r="V361" i="7"/>
  <c r="U362" i="7"/>
  <c r="V362" i="7"/>
  <c r="U363" i="7"/>
  <c r="V363" i="7"/>
  <c r="U364" i="7"/>
  <c r="V364" i="7"/>
  <c r="U365" i="7"/>
  <c r="V365" i="7"/>
  <c r="U366" i="7"/>
  <c r="V366" i="7"/>
  <c r="U367" i="7"/>
  <c r="V367" i="7"/>
  <c r="U368" i="7"/>
  <c r="V368" i="7"/>
  <c r="U369" i="7"/>
  <c r="V369" i="7"/>
  <c r="U370" i="7"/>
  <c r="V370" i="7"/>
  <c r="U371" i="7"/>
  <c r="V371" i="7"/>
  <c r="U372" i="7"/>
  <c r="V372" i="7"/>
  <c r="U373" i="7"/>
  <c r="V373" i="7"/>
  <c r="U374" i="7"/>
  <c r="V374" i="7"/>
  <c r="U375" i="7"/>
  <c r="V375" i="7"/>
  <c r="U376" i="7"/>
  <c r="V376" i="7"/>
  <c r="U377" i="7"/>
  <c r="V377" i="7"/>
  <c r="U378" i="7"/>
  <c r="V378" i="7"/>
  <c r="U379" i="7"/>
  <c r="V379" i="7"/>
  <c r="U380" i="7"/>
  <c r="V380" i="7"/>
  <c r="U381" i="7"/>
  <c r="V381" i="7"/>
  <c r="U382" i="7"/>
  <c r="V382" i="7"/>
  <c r="U383" i="7"/>
  <c r="V383" i="7"/>
  <c r="U384" i="7"/>
  <c r="V384" i="7"/>
  <c r="U385" i="7"/>
  <c r="V385" i="7"/>
  <c r="U386" i="7"/>
  <c r="V386" i="7"/>
  <c r="U387" i="7"/>
  <c r="V387" i="7"/>
  <c r="U388" i="7"/>
  <c r="V388" i="7"/>
  <c r="U389" i="7"/>
  <c r="V389" i="7"/>
  <c r="U390" i="7"/>
  <c r="V390" i="7"/>
  <c r="U391" i="7"/>
  <c r="V391" i="7"/>
  <c r="U392" i="7"/>
  <c r="V392" i="7"/>
  <c r="U393" i="7"/>
  <c r="V393" i="7"/>
  <c r="U394" i="7"/>
  <c r="V394" i="7"/>
  <c r="U395" i="7"/>
  <c r="V395" i="7"/>
  <c r="U396" i="7"/>
  <c r="V396" i="7"/>
  <c r="U397" i="7"/>
  <c r="V397" i="7"/>
  <c r="U398" i="7"/>
  <c r="V398" i="7"/>
  <c r="U399" i="7"/>
  <c r="V399" i="7"/>
  <c r="U400" i="7"/>
  <c r="V400" i="7"/>
  <c r="U401" i="7"/>
  <c r="V401" i="7"/>
  <c r="U402" i="7"/>
  <c r="V402" i="7"/>
  <c r="U403" i="7"/>
  <c r="V403" i="7"/>
  <c r="U404" i="7"/>
  <c r="V404" i="7"/>
  <c r="U405" i="7"/>
  <c r="V405" i="7"/>
  <c r="U406" i="7"/>
  <c r="V406" i="7"/>
  <c r="U407" i="7"/>
  <c r="V407" i="7"/>
  <c r="U408" i="7"/>
  <c r="V408" i="7"/>
  <c r="U409" i="7"/>
  <c r="V409" i="7"/>
  <c r="U410" i="7"/>
  <c r="V410" i="7"/>
  <c r="U411" i="7"/>
  <c r="V411" i="7"/>
  <c r="U412" i="7"/>
  <c r="V412" i="7"/>
  <c r="U413" i="7"/>
  <c r="V413" i="7"/>
  <c r="U414" i="7"/>
  <c r="V414" i="7"/>
  <c r="U415" i="7"/>
  <c r="V415" i="7"/>
  <c r="U416" i="7"/>
  <c r="V416" i="7"/>
  <c r="U417" i="7"/>
  <c r="V417" i="7"/>
  <c r="U418" i="7"/>
  <c r="V418" i="7"/>
  <c r="U419" i="7"/>
  <c r="V419" i="7"/>
  <c r="U420" i="7"/>
  <c r="V420" i="7"/>
  <c r="U421" i="7"/>
  <c r="V421" i="7"/>
  <c r="U422" i="7"/>
  <c r="V422" i="7"/>
  <c r="U423" i="7"/>
  <c r="V423" i="7"/>
  <c r="U424" i="7"/>
  <c r="V424" i="7"/>
  <c r="U425" i="7"/>
  <c r="V425" i="7"/>
  <c r="U426" i="7"/>
  <c r="V426" i="7"/>
  <c r="U427" i="7"/>
  <c r="V427" i="7"/>
  <c r="U428" i="7"/>
  <c r="V428" i="7"/>
  <c r="U429" i="7"/>
  <c r="V429" i="7"/>
  <c r="U430" i="7"/>
  <c r="V430" i="7"/>
  <c r="U431" i="7"/>
  <c r="V431" i="7"/>
  <c r="U432" i="7"/>
  <c r="V432" i="7"/>
  <c r="U433" i="7"/>
  <c r="V433" i="7"/>
  <c r="U434" i="7"/>
  <c r="V434" i="7"/>
  <c r="U435" i="7"/>
  <c r="V435" i="7"/>
  <c r="U436" i="7"/>
  <c r="V436" i="7"/>
  <c r="U437" i="7"/>
  <c r="V437" i="7"/>
  <c r="U438" i="7"/>
  <c r="V438" i="7"/>
  <c r="U439" i="7"/>
  <c r="V439" i="7"/>
  <c r="U440" i="7"/>
  <c r="V440" i="7"/>
  <c r="U441" i="7"/>
  <c r="V441" i="7"/>
  <c r="U442" i="7"/>
  <c r="V442" i="7"/>
  <c r="U443" i="7"/>
  <c r="V443" i="7"/>
  <c r="U444" i="7"/>
  <c r="V444" i="7"/>
  <c r="U445" i="7"/>
  <c r="V445" i="7"/>
  <c r="U446" i="7"/>
  <c r="V446" i="7"/>
  <c r="U447" i="7"/>
  <c r="V447" i="7"/>
  <c r="U448" i="7"/>
  <c r="V448" i="7"/>
  <c r="U449" i="7"/>
  <c r="V449" i="7"/>
  <c r="U450" i="7"/>
  <c r="V450" i="7"/>
  <c r="U451" i="7"/>
  <c r="V451" i="7"/>
  <c r="U452" i="7"/>
  <c r="V452" i="7"/>
  <c r="U453" i="7"/>
  <c r="V453" i="7"/>
  <c r="U454" i="7"/>
  <c r="V454" i="7"/>
  <c r="U455" i="7"/>
  <c r="V455" i="7"/>
  <c r="U456" i="7"/>
  <c r="V456" i="7"/>
  <c r="U457" i="7"/>
  <c r="V457" i="7"/>
  <c r="U458" i="7"/>
  <c r="V458" i="7"/>
  <c r="U459" i="7"/>
  <c r="V459" i="7"/>
  <c r="U460" i="7"/>
  <c r="V460" i="7"/>
  <c r="U461" i="7"/>
  <c r="V461" i="7"/>
  <c r="U462" i="7"/>
  <c r="V462" i="7"/>
  <c r="U463" i="7"/>
  <c r="V463" i="7"/>
  <c r="U464" i="7"/>
  <c r="V464" i="7"/>
  <c r="U465" i="7"/>
  <c r="V465" i="7"/>
  <c r="U466" i="7"/>
  <c r="V466" i="7"/>
  <c r="U467" i="7"/>
  <c r="V467" i="7"/>
  <c r="U468" i="7"/>
  <c r="V468" i="7"/>
  <c r="U469" i="7"/>
  <c r="V469" i="7"/>
  <c r="U470" i="7"/>
  <c r="V470" i="7"/>
  <c r="U471" i="7"/>
  <c r="V471" i="7"/>
  <c r="U472" i="7"/>
  <c r="V472" i="7"/>
  <c r="U473" i="7"/>
  <c r="V473" i="7"/>
  <c r="U474" i="7"/>
  <c r="V474" i="7"/>
  <c r="U475" i="7"/>
  <c r="V475" i="7"/>
  <c r="U476" i="7"/>
  <c r="V476" i="7"/>
  <c r="U477" i="7"/>
  <c r="V477" i="7"/>
  <c r="U478" i="7"/>
  <c r="V478" i="7"/>
  <c r="U479" i="7"/>
  <c r="V479" i="7"/>
  <c r="U480" i="7"/>
  <c r="V480" i="7"/>
  <c r="U481" i="7"/>
  <c r="V481" i="7"/>
  <c r="U482" i="7"/>
  <c r="V482" i="7"/>
  <c r="U483" i="7"/>
  <c r="V483" i="7"/>
  <c r="U484" i="7"/>
  <c r="V484" i="7"/>
  <c r="U485" i="7"/>
  <c r="V485" i="7"/>
  <c r="U486" i="7"/>
  <c r="V486" i="7"/>
  <c r="U487" i="7"/>
  <c r="V487" i="7"/>
  <c r="U488" i="7"/>
  <c r="V488" i="7"/>
  <c r="U489" i="7"/>
  <c r="V489" i="7"/>
  <c r="U490" i="7"/>
  <c r="V490" i="7"/>
  <c r="U491" i="7"/>
  <c r="V491" i="7"/>
  <c r="U492" i="7"/>
  <c r="V492" i="7"/>
  <c r="U493" i="7"/>
  <c r="V493" i="7"/>
  <c r="U494" i="7"/>
  <c r="V494" i="7"/>
  <c r="U495" i="7"/>
  <c r="V495" i="7"/>
  <c r="U496" i="7"/>
  <c r="V496" i="7"/>
  <c r="U497" i="7"/>
  <c r="V497" i="7"/>
  <c r="U498" i="7"/>
  <c r="V498" i="7"/>
  <c r="U499" i="7"/>
  <c r="V499" i="7"/>
  <c r="U500" i="7"/>
  <c r="V500" i="7"/>
  <c r="U501" i="7"/>
  <c r="V501" i="7"/>
  <c r="U502" i="7"/>
  <c r="V502" i="7"/>
  <c r="U503" i="7"/>
  <c r="V503" i="7"/>
  <c r="U504" i="7"/>
  <c r="V504" i="7"/>
  <c r="U505" i="7"/>
  <c r="V505" i="7"/>
  <c r="U506" i="7"/>
  <c r="V506" i="7"/>
  <c r="U507" i="7"/>
  <c r="V507" i="7"/>
  <c r="U508" i="7"/>
  <c r="V508" i="7"/>
  <c r="U509" i="7"/>
  <c r="V509" i="7"/>
  <c r="U510" i="7"/>
  <c r="V510" i="7"/>
  <c r="U511" i="7"/>
  <c r="V511" i="7"/>
  <c r="U512" i="7"/>
  <c r="V512" i="7"/>
  <c r="U513" i="7"/>
  <c r="V513" i="7"/>
  <c r="U514" i="7"/>
  <c r="V514" i="7"/>
  <c r="U515" i="7"/>
  <c r="V515" i="7"/>
  <c r="U516" i="7"/>
  <c r="V516" i="7"/>
  <c r="U517" i="7"/>
  <c r="V517" i="7"/>
  <c r="U518" i="7"/>
  <c r="V518" i="7"/>
  <c r="U519" i="7"/>
  <c r="V519" i="7"/>
  <c r="U520" i="7"/>
  <c r="V520" i="7"/>
  <c r="U521" i="7"/>
  <c r="V521" i="7"/>
  <c r="U522" i="7"/>
  <c r="V522" i="7"/>
  <c r="U523" i="7"/>
  <c r="V523" i="7"/>
  <c r="U524" i="7"/>
  <c r="V524" i="7"/>
  <c r="U525" i="7"/>
  <c r="V525" i="7"/>
  <c r="U526" i="7"/>
  <c r="V526" i="7"/>
  <c r="U527" i="7"/>
  <c r="V527" i="7"/>
  <c r="U528" i="7"/>
  <c r="V528" i="7"/>
  <c r="U529" i="7"/>
  <c r="V529" i="7"/>
  <c r="U530" i="7"/>
  <c r="V530" i="7"/>
  <c r="U531" i="7"/>
  <c r="V531" i="7"/>
  <c r="U532" i="7"/>
  <c r="V532" i="7"/>
  <c r="U533" i="7"/>
  <c r="V533" i="7"/>
  <c r="U534" i="7"/>
  <c r="V534" i="7"/>
  <c r="U535" i="7"/>
  <c r="V535" i="7"/>
  <c r="U536" i="7"/>
  <c r="V536" i="7"/>
  <c r="U537" i="7"/>
  <c r="V537" i="7"/>
  <c r="U538" i="7"/>
  <c r="V538" i="7"/>
  <c r="U539" i="7"/>
  <c r="V539" i="7"/>
  <c r="U540" i="7"/>
  <c r="V540" i="7"/>
  <c r="U541" i="7"/>
  <c r="V541" i="7"/>
  <c r="U542" i="7"/>
  <c r="V542" i="7"/>
  <c r="U543" i="7"/>
  <c r="V543" i="7"/>
  <c r="U544" i="7"/>
  <c r="V544" i="7"/>
  <c r="U545" i="7"/>
  <c r="V545" i="7"/>
  <c r="U546" i="7"/>
  <c r="V546" i="7"/>
  <c r="U547" i="7"/>
  <c r="V547" i="7"/>
  <c r="U548" i="7"/>
  <c r="V548" i="7"/>
  <c r="U549" i="7"/>
  <c r="V549" i="7"/>
  <c r="U550" i="7"/>
  <c r="V550" i="7"/>
  <c r="U551" i="7"/>
  <c r="V551" i="7"/>
  <c r="U552" i="7"/>
  <c r="V552" i="7"/>
  <c r="U553" i="7"/>
  <c r="V553" i="7"/>
  <c r="U554" i="7"/>
  <c r="V554" i="7"/>
  <c r="U555" i="7"/>
  <c r="V555" i="7"/>
  <c r="U556" i="7"/>
  <c r="V556" i="7"/>
  <c r="U557" i="7"/>
  <c r="V557" i="7"/>
  <c r="U558" i="7"/>
  <c r="V558" i="7"/>
  <c r="U559" i="7"/>
  <c r="V559" i="7"/>
  <c r="U560" i="7"/>
  <c r="V560" i="7"/>
  <c r="U561" i="7"/>
  <c r="V561" i="7"/>
  <c r="U562" i="7"/>
  <c r="V562" i="7"/>
  <c r="U563" i="7"/>
  <c r="V563" i="7"/>
  <c r="U564" i="7"/>
  <c r="V564" i="7"/>
  <c r="U565" i="7"/>
  <c r="V565" i="7"/>
  <c r="U566" i="7"/>
  <c r="V566" i="7"/>
  <c r="U567" i="7"/>
  <c r="V567" i="7"/>
  <c r="U568" i="7"/>
  <c r="V568" i="7"/>
  <c r="U569" i="7"/>
  <c r="V569" i="7"/>
  <c r="U570" i="7"/>
  <c r="V570" i="7"/>
  <c r="U571" i="7"/>
  <c r="V571" i="7"/>
  <c r="U572" i="7"/>
  <c r="V572" i="7"/>
  <c r="U573" i="7"/>
  <c r="V573" i="7"/>
  <c r="U574" i="7"/>
  <c r="V574" i="7"/>
  <c r="U575" i="7"/>
  <c r="V575" i="7"/>
  <c r="U576" i="7"/>
  <c r="V576" i="7"/>
  <c r="U577" i="7"/>
  <c r="V577" i="7"/>
  <c r="U578" i="7"/>
  <c r="V578" i="7"/>
  <c r="U579" i="7"/>
  <c r="V579" i="7"/>
  <c r="U580" i="7"/>
  <c r="V580" i="7"/>
  <c r="U581" i="7"/>
  <c r="V581" i="7"/>
  <c r="U582" i="7"/>
  <c r="V582" i="7"/>
  <c r="U583" i="7"/>
  <c r="V583" i="7"/>
  <c r="U584" i="7"/>
  <c r="V584" i="7"/>
  <c r="U585" i="7"/>
  <c r="V585" i="7"/>
  <c r="U586" i="7"/>
  <c r="V586" i="7"/>
  <c r="U587" i="7"/>
  <c r="V587" i="7"/>
  <c r="U588" i="7"/>
  <c r="V588" i="7"/>
  <c r="U589" i="7"/>
  <c r="V589" i="7"/>
  <c r="U590" i="7"/>
  <c r="V590" i="7"/>
  <c r="U591" i="7"/>
  <c r="V591" i="7"/>
  <c r="U592" i="7"/>
  <c r="V592" i="7"/>
  <c r="U593" i="7"/>
  <c r="V593" i="7"/>
  <c r="U594" i="7"/>
  <c r="V594" i="7"/>
  <c r="U595" i="7"/>
  <c r="V595" i="7"/>
  <c r="U596" i="7"/>
  <c r="V596" i="7"/>
  <c r="U597" i="7"/>
  <c r="V597" i="7"/>
  <c r="U598" i="7"/>
  <c r="V598" i="7"/>
  <c r="U599" i="7"/>
  <c r="V599" i="7"/>
  <c r="U600" i="7"/>
  <c r="V600" i="7"/>
  <c r="U601" i="7"/>
  <c r="V601" i="7"/>
  <c r="U602" i="7"/>
  <c r="V602" i="7"/>
  <c r="U603" i="7"/>
  <c r="V603" i="7"/>
  <c r="U604" i="7"/>
  <c r="V604" i="7"/>
  <c r="U605" i="7"/>
  <c r="V605" i="7"/>
  <c r="U606" i="7"/>
  <c r="V606" i="7"/>
  <c r="U607" i="7"/>
  <c r="V607" i="7"/>
  <c r="U608" i="7"/>
  <c r="V608" i="7"/>
  <c r="U609" i="7"/>
  <c r="V609" i="7"/>
  <c r="U610" i="7"/>
  <c r="V610" i="7"/>
  <c r="U611" i="7"/>
  <c r="V611" i="7"/>
  <c r="U612" i="7"/>
  <c r="V612" i="7"/>
  <c r="U613" i="7"/>
  <c r="V613" i="7"/>
  <c r="U614" i="7"/>
  <c r="V614" i="7"/>
  <c r="U615" i="7"/>
  <c r="V615" i="7"/>
  <c r="U616" i="7"/>
  <c r="V616" i="7"/>
  <c r="U617" i="7"/>
  <c r="V617" i="7"/>
  <c r="U618" i="7"/>
  <c r="V618" i="7"/>
  <c r="U619" i="7"/>
  <c r="V619" i="7"/>
  <c r="U620" i="7"/>
  <c r="V620" i="7"/>
  <c r="U621" i="7"/>
  <c r="V621" i="7"/>
  <c r="U622" i="7"/>
  <c r="V622" i="7"/>
  <c r="U623" i="7"/>
  <c r="V623" i="7"/>
  <c r="U624" i="7"/>
  <c r="V624" i="7"/>
  <c r="U625" i="7"/>
  <c r="V625" i="7"/>
  <c r="U626" i="7"/>
  <c r="V626" i="7"/>
  <c r="U627" i="7"/>
  <c r="V627" i="7"/>
  <c r="U628" i="7"/>
  <c r="V628" i="7"/>
  <c r="U629" i="7"/>
  <c r="V629" i="7"/>
  <c r="U630" i="7"/>
  <c r="V630" i="7"/>
  <c r="U631" i="7"/>
  <c r="V631" i="7"/>
  <c r="U632" i="7"/>
  <c r="V632" i="7"/>
  <c r="U633" i="7"/>
  <c r="V633" i="7"/>
  <c r="U634" i="7"/>
  <c r="V634" i="7"/>
  <c r="U635" i="7"/>
  <c r="V635" i="7"/>
  <c r="U636" i="7"/>
  <c r="V636" i="7"/>
  <c r="U637" i="7"/>
  <c r="V637" i="7"/>
  <c r="U638" i="7"/>
  <c r="V638" i="7"/>
  <c r="U639" i="7"/>
  <c r="V639" i="7"/>
  <c r="U640" i="7"/>
  <c r="V640" i="7"/>
  <c r="U641" i="7"/>
  <c r="V641" i="7"/>
  <c r="U642" i="7"/>
  <c r="V642" i="7"/>
  <c r="U643" i="7"/>
  <c r="V643" i="7"/>
  <c r="U644" i="7"/>
  <c r="V644" i="7"/>
  <c r="U645" i="7"/>
  <c r="V645" i="7"/>
  <c r="U646" i="7"/>
  <c r="V646" i="7"/>
  <c r="U647" i="7"/>
  <c r="V647" i="7"/>
  <c r="U648" i="7"/>
  <c r="V648" i="7"/>
  <c r="U649" i="7"/>
  <c r="V649" i="7"/>
  <c r="U650" i="7"/>
  <c r="V650" i="7"/>
  <c r="U651" i="7"/>
  <c r="V651" i="7"/>
  <c r="U652" i="7"/>
  <c r="V652" i="7"/>
  <c r="U653" i="7"/>
  <c r="V653" i="7"/>
  <c r="U654" i="7"/>
  <c r="V654" i="7"/>
  <c r="U655" i="7"/>
  <c r="V655" i="7"/>
  <c r="U656" i="7"/>
  <c r="V656" i="7"/>
  <c r="U657" i="7"/>
  <c r="V657" i="7"/>
  <c r="U658" i="7"/>
  <c r="V658" i="7"/>
  <c r="U659" i="7"/>
  <c r="V659" i="7"/>
  <c r="U660" i="7"/>
  <c r="V660" i="7"/>
  <c r="U661" i="7"/>
  <c r="V661" i="7"/>
  <c r="U662" i="7"/>
  <c r="V662" i="7"/>
  <c r="U663" i="7"/>
  <c r="V663" i="7"/>
  <c r="U664" i="7"/>
  <c r="V664" i="7"/>
  <c r="U665" i="7"/>
  <c r="V665" i="7"/>
  <c r="U666" i="7"/>
  <c r="V666" i="7"/>
  <c r="U667" i="7"/>
  <c r="V667" i="7"/>
  <c r="U668" i="7"/>
  <c r="V668" i="7"/>
  <c r="U669" i="7"/>
  <c r="V669" i="7"/>
  <c r="U670" i="7"/>
  <c r="V670" i="7"/>
  <c r="U671" i="7"/>
  <c r="V671" i="7"/>
  <c r="U672" i="7"/>
  <c r="V672" i="7"/>
  <c r="U673" i="7"/>
  <c r="V673" i="7"/>
  <c r="U674" i="7"/>
  <c r="V674" i="7"/>
  <c r="U675" i="7"/>
  <c r="V675" i="7"/>
  <c r="U676" i="7"/>
  <c r="V676" i="7"/>
  <c r="U677" i="7"/>
  <c r="V677" i="7"/>
  <c r="U678" i="7"/>
  <c r="V678" i="7"/>
  <c r="U679" i="7"/>
  <c r="V679" i="7"/>
  <c r="U680" i="7"/>
  <c r="V680" i="7"/>
  <c r="U681" i="7"/>
  <c r="V681" i="7"/>
  <c r="U682" i="7"/>
  <c r="V682" i="7"/>
  <c r="U683" i="7"/>
  <c r="V683" i="7"/>
  <c r="U684" i="7"/>
  <c r="V684" i="7"/>
  <c r="U685" i="7"/>
  <c r="V685" i="7"/>
  <c r="U686" i="7"/>
  <c r="V686" i="7"/>
  <c r="U687" i="7"/>
  <c r="V687" i="7"/>
  <c r="U688" i="7"/>
  <c r="V688" i="7"/>
  <c r="U689" i="7"/>
  <c r="V689" i="7"/>
  <c r="U690" i="7"/>
  <c r="V690" i="7"/>
  <c r="U691" i="7"/>
  <c r="V691" i="7"/>
  <c r="U692" i="7"/>
  <c r="V692" i="7"/>
  <c r="U693" i="7"/>
  <c r="V693" i="7"/>
  <c r="U694" i="7"/>
  <c r="V694" i="7"/>
  <c r="U695" i="7"/>
  <c r="V695" i="7"/>
  <c r="U696" i="7"/>
  <c r="V696" i="7"/>
  <c r="U697" i="7"/>
  <c r="V697" i="7"/>
  <c r="U698" i="7"/>
  <c r="V698" i="7"/>
  <c r="U699" i="7"/>
  <c r="V699" i="7"/>
  <c r="U700" i="7"/>
  <c r="V700" i="7"/>
  <c r="U701" i="7"/>
  <c r="V701" i="7"/>
  <c r="U702" i="7"/>
  <c r="V702" i="7"/>
  <c r="U703" i="7"/>
  <c r="V703" i="7"/>
  <c r="U704" i="7"/>
  <c r="V704" i="7"/>
  <c r="U705" i="7"/>
  <c r="V705" i="7"/>
  <c r="U706" i="7"/>
  <c r="V706" i="7"/>
  <c r="U707" i="7"/>
  <c r="V707" i="7"/>
  <c r="U708" i="7"/>
  <c r="V708" i="7"/>
  <c r="U709" i="7"/>
  <c r="V709" i="7"/>
  <c r="U710" i="7"/>
  <c r="V710" i="7"/>
  <c r="U711" i="7"/>
  <c r="V711" i="7"/>
  <c r="U712" i="7"/>
  <c r="V712" i="7"/>
  <c r="U713" i="7"/>
  <c r="V713" i="7"/>
  <c r="U714" i="7"/>
  <c r="V714" i="7"/>
  <c r="U715" i="7"/>
  <c r="V715" i="7"/>
  <c r="U716" i="7"/>
  <c r="V716" i="7"/>
  <c r="U717" i="7"/>
  <c r="V717" i="7"/>
  <c r="U718" i="7"/>
  <c r="V718" i="7"/>
  <c r="U719" i="7"/>
  <c r="V719" i="7"/>
  <c r="U720" i="7"/>
  <c r="V720" i="7"/>
  <c r="U721" i="7"/>
  <c r="V721" i="7"/>
  <c r="U722" i="7"/>
  <c r="V722" i="7"/>
  <c r="U723" i="7"/>
  <c r="V723" i="7"/>
  <c r="U724" i="7"/>
  <c r="V724" i="7"/>
  <c r="U725" i="7"/>
  <c r="V725" i="7"/>
  <c r="U726" i="7"/>
  <c r="V726" i="7"/>
  <c r="U727" i="7"/>
  <c r="V727" i="7"/>
  <c r="U728" i="7"/>
  <c r="V728" i="7"/>
  <c r="U729" i="7"/>
  <c r="V729" i="7"/>
  <c r="U730" i="7"/>
  <c r="V730" i="7"/>
  <c r="U731" i="7"/>
  <c r="V731" i="7"/>
  <c r="U732" i="7"/>
  <c r="V732" i="7"/>
  <c r="U733" i="7"/>
  <c r="V733" i="7"/>
  <c r="U734" i="7"/>
  <c r="V734" i="7"/>
  <c r="U735" i="7"/>
  <c r="V735" i="7"/>
  <c r="U736" i="7"/>
  <c r="V736" i="7"/>
  <c r="U737" i="7"/>
  <c r="V737" i="7"/>
  <c r="U738" i="7"/>
  <c r="V738" i="7"/>
  <c r="U739" i="7"/>
  <c r="V739" i="7"/>
  <c r="U740" i="7"/>
  <c r="V740" i="7"/>
  <c r="U741" i="7"/>
  <c r="V741" i="7"/>
  <c r="U742" i="7"/>
  <c r="V742" i="7"/>
  <c r="U743" i="7"/>
  <c r="V743" i="7"/>
  <c r="U744" i="7"/>
  <c r="V744" i="7"/>
  <c r="U745" i="7"/>
  <c r="V745" i="7"/>
  <c r="U746" i="7"/>
  <c r="V746" i="7"/>
  <c r="U747" i="7"/>
  <c r="V747" i="7"/>
  <c r="U748" i="7"/>
  <c r="V748" i="7"/>
  <c r="U749" i="7"/>
  <c r="V749" i="7"/>
  <c r="U750" i="7"/>
  <c r="V750" i="7"/>
  <c r="U751" i="7"/>
  <c r="V751" i="7"/>
  <c r="U752" i="7"/>
  <c r="V752" i="7"/>
  <c r="U753" i="7"/>
  <c r="V753" i="7"/>
  <c r="U754" i="7"/>
  <c r="V754" i="7"/>
  <c r="U755" i="7"/>
  <c r="V755" i="7"/>
  <c r="U756" i="7"/>
  <c r="V756" i="7"/>
  <c r="U757" i="7"/>
  <c r="V757" i="7"/>
  <c r="U758" i="7"/>
  <c r="V758" i="7"/>
  <c r="U759" i="7"/>
  <c r="V759" i="7"/>
  <c r="U760" i="7"/>
  <c r="V760" i="7"/>
  <c r="U761" i="7"/>
  <c r="V761" i="7"/>
  <c r="U762" i="7"/>
  <c r="V762" i="7"/>
  <c r="U763" i="7"/>
  <c r="V763" i="7"/>
  <c r="U764" i="7"/>
  <c r="V764" i="7"/>
  <c r="U765" i="7"/>
  <c r="V765" i="7"/>
  <c r="U766" i="7"/>
  <c r="V766" i="7"/>
  <c r="U767" i="7"/>
  <c r="V767" i="7"/>
  <c r="U768" i="7"/>
  <c r="V768" i="7"/>
  <c r="U769" i="7"/>
  <c r="V769" i="7"/>
  <c r="U770" i="7"/>
  <c r="V770" i="7"/>
  <c r="U771" i="7"/>
  <c r="V771" i="7"/>
  <c r="U772" i="7"/>
  <c r="V772" i="7"/>
  <c r="U773" i="7"/>
  <c r="V773" i="7"/>
  <c r="U774" i="7"/>
  <c r="V774" i="7"/>
  <c r="U775" i="7"/>
  <c r="V775" i="7"/>
  <c r="U776" i="7"/>
  <c r="V776" i="7"/>
  <c r="U777" i="7"/>
  <c r="V777" i="7"/>
  <c r="U778" i="7"/>
  <c r="V778" i="7"/>
  <c r="U779" i="7"/>
  <c r="V779" i="7"/>
  <c r="U780" i="7"/>
  <c r="V780" i="7"/>
  <c r="U781" i="7"/>
  <c r="V781" i="7"/>
  <c r="U782" i="7"/>
  <c r="V782" i="7"/>
  <c r="U783" i="7"/>
  <c r="V783" i="7"/>
  <c r="U784" i="7"/>
  <c r="V784" i="7"/>
  <c r="U785" i="7"/>
  <c r="V785" i="7"/>
  <c r="U786" i="7"/>
  <c r="V786" i="7"/>
  <c r="U787" i="7"/>
  <c r="V787" i="7"/>
  <c r="U788" i="7"/>
  <c r="V788" i="7"/>
  <c r="U789" i="7"/>
  <c r="V789" i="7"/>
  <c r="U790" i="7"/>
  <c r="V790" i="7"/>
  <c r="U791" i="7"/>
  <c r="V791" i="7"/>
  <c r="U792" i="7"/>
  <c r="V792" i="7"/>
  <c r="U793" i="7"/>
  <c r="V793" i="7"/>
  <c r="U794" i="7"/>
  <c r="V794" i="7"/>
  <c r="U795" i="7"/>
  <c r="V795" i="7"/>
  <c r="U796" i="7"/>
  <c r="V796" i="7"/>
  <c r="U797" i="7"/>
  <c r="V797" i="7"/>
  <c r="U798" i="7"/>
  <c r="V798" i="7"/>
  <c r="U799" i="7"/>
  <c r="V799" i="7"/>
  <c r="U800" i="7"/>
  <c r="V800" i="7"/>
  <c r="U801" i="7"/>
  <c r="V801" i="7"/>
  <c r="U802" i="7"/>
  <c r="V802" i="7"/>
  <c r="U803" i="7"/>
  <c r="V803" i="7"/>
  <c r="U804" i="7"/>
  <c r="V804" i="7"/>
  <c r="U805" i="7"/>
  <c r="V805" i="7"/>
  <c r="U806" i="7"/>
  <c r="V806" i="7"/>
  <c r="U807" i="7"/>
  <c r="V807" i="7"/>
  <c r="U808" i="7"/>
  <c r="V808" i="7"/>
  <c r="U809" i="7"/>
  <c r="V809" i="7"/>
  <c r="U810" i="7"/>
  <c r="V810" i="7"/>
  <c r="U811" i="7"/>
  <c r="V811" i="7"/>
  <c r="U812" i="7"/>
  <c r="V812" i="7"/>
  <c r="U813" i="7"/>
  <c r="V813" i="7"/>
  <c r="U814" i="7"/>
  <c r="V814" i="7"/>
  <c r="U815" i="7"/>
  <c r="V815" i="7"/>
  <c r="U816" i="7"/>
  <c r="V816" i="7"/>
  <c r="U817" i="7"/>
  <c r="V817" i="7"/>
  <c r="U818" i="7"/>
  <c r="V818" i="7"/>
  <c r="U819" i="7"/>
  <c r="V819" i="7"/>
  <c r="U820" i="7"/>
  <c r="V820" i="7"/>
  <c r="U821" i="7"/>
  <c r="V821" i="7"/>
  <c r="U822" i="7"/>
  <c r="V822" i="7"/>
  <c r="U823" i="7"/>
  <c r="V823" i="7"/>
  <c r="U824" i="7"/>
  <c r="V824" i="7"/>
  <c r="U825" i="7"/>
  <c r="V825" i="7"/>
  <c r="U826" i="7"/>
  <c r="V826" i="7"/>
  <c r="U827" i="7"/>
  <c r="V827" i="7"/>
  <c r="U828" i="7"/>
  <c r="V828" i="7"/>
  <c r="U829" i="7"/>
  <c r="V829" i="7"/>
  <c r="U830" i="7"/>
  <c r="V830" i="7"/>
  <c r="U831" i="7"/>
  <c r="V831" i="7"/>
  <c r="U832" i="7"/>
  <c r="V832" i="7"/>
  <c r="U833" i="7"/>
  <c r="V833" i="7"/>
  <c r="U834" i="7"/>
  <c r="V834" i="7"/>
  <c r="U835" i="7"/>
  <c r="V835" i="7"/>
  <c r="U836" i="7"/>
  <c r="V836" i="7"/>
  <c r="U837" i="7"/>
  <c r="V837" i="7"/>
  <c r="U838" i="7"/>
  <c r="V838" i="7"/>
  <c r="U839" i="7"/>
  <c r="V839" i="7"/>
  <c r="U840" i="7"/>
  <c r="V840" i="7"/>
  <c r="U841" i="7"/>
  <c r="V841" i="7"/>
  <c r="U842" i="7"/>
  <c r="V842" i="7"/>
  <c r="U843" i="7"/>
  <c r="V843" i="7"/>
  <c r="U844" i="7"/>
  <c r="V844" i="7"/>
  <c r="U845" i="7"/>
  <c r="V845" i="7"/>
  <c r="U846" i="7"/>
  <c r="V846" i="7"/>
  <c r="U847" i="7"/>
  <c r="V847" i="7"/>
  <c r="U848" i="7"/>
  <c r="V848" i="7"/>
  <c r="U849" i="7"/>
  <c r="V849" i="7"/>
  <c r="U850" i="7"/>
  <c r="V850" i="7"/>
  <c r="U851" i="7"/>
  <c r="V851" i="7"/>
  <c r="U852" i="7"/>
  <c r="V852" i="7"/>
  <c r="U853" i="7"/>
  <c r="V853" i="7"/>
  <c r="U854" i="7"/>
  <c r="V854" i="7"/>
  <c r="U855" i="7"/>
  <c r="V855" i="7"/>
  <c r="U856" i="7"/>
  <c r="V856" i="7"/>
  <c r="U857" i="7"/>
  <c r="V857" i="7"/>
  <c r="U858" i="7"/>
  <c r="V858" i="7"/>
  <c r="U859" i="7"/>
  <c r="V859" i="7"/>
  <c r="U860" i="7"/>
  <c r="V860" i="7"/>
  <c r="U861" i="7"/>
  <c r="V861" i="7"/>
  <c r="U862" i="7"/>
  <c r="V862" i="7"/>
  <c r="U863" i="7"/>
  <c r="V863" i="7"/>
  <c r="U864" i="7"/>
  <c r="V864" i="7"/>
  <c r="U865" i="7"/>
  <c r="V865" i="7"/>
  <c r="U866" i="7"/>
  <c r="V866" i="7"/>
  <c r="U867" i="7"/>
  <c r="V867" i="7"/>
  <c r="U868" i="7"/>
  <c r="V868" i="7"/>
  <c r="U869" i="7"/>
  <c r="V869" i="7"/>
  <c r="U870" i="7"/>
  <c r="V870" i="7"/>
  <c r="U871" i="7"/>
  <c r="V871" i="7"/>
  <c r="U872" i="7"/>
  <c r="V872" i="7"/>
  <c r="U873" i="7"/>
  <c r="V873" i="7"/>
  <c r="U874" i="7"/>
  <c r="V874" i="7"/>
  <c r="U875" i="7"/>
  <c r="V875" i="7"/>
  <c r="U876" i="7"/>
  <c r="V876" i="7"/>
  <c r="U877" i="7"/>
  <c r="V877" i="7"/>
  <c r="U878" i="7"/>
  <c r="V878" i="7"/>
  <c r="U879" i="7"/>
  <c r="V879" i="7"/>
  <c r="U880" i="7"/>
  <c r="V880" i="7"/>
  <c r="U881" i="7"/>
  <c r="V881" i="7"/>
  <c r="U882" i="7"/>
  <c r="V882" i="7"/>
  <c r="U883" i="7"/>
  <c r="V883" i="7"/>
  <c r="U884" i="7"/>
  <c r="V884" i="7"/>
  <c r="U885" i="7"/>
  <c r="V885" i="7"/>
  <c r="U886" i="7"/>
  <c r="V886" i="7"/>
  <c r="U887" i="7"/>
  <c r="V887" i="7"/>
  <c r="U888" i="7"/>
  <c r="V888" i="7"/>
  <c r="U889" i="7"/>
  <c r="V889" i="7"/>
  <c r="U890" i="7"/>
  <c r="V890" i="7"/>
  <c r="U891" i="7"/>
  <c r="V891" i="7"/>
  <c r="U892" i="7"/>
  <c r="V892" i="7"/>
  <c r="U893" i="7"/>
  <c r="V893" i="7"/>
  <c r="U894" i="7"/>
  <c r="V894" i="7"/>
  <c r="U895" i="7"/>
  <c r="V895" i="7"/>
  <c r="U896" i="7"/>
  <c r="V896" i="7"/>
  <c r="U897" i="7"/>
  <c r="V897" i="7"/>
  <c r="U898" i="7"/>
  <c r="V898" i="7"/>
  <c r="U899" i="7"/>
  <c r="V899" i="7"/>
  <c r="U900" i="7"/>
  <c r="V900" i="7"/>
  <c r="U901" i="7"/>
  <c r="V901" i="7"/>
  <c r="U902" i="7"/>
  <c r="V902" i="7"/>
  <c r="U903" i="7"/>
  <c r="V903" i="7"/>
  <c r="U904" i="7"/>
  <c r="V904" i="7"/>
  <c r="U905" i="7"/>
  <c r="V905" i="7"/>
  <c r="U906" i="7"/>
  <c r="V906" i="7"/>
  <c r="U907" i="7"/>
  <c r="V907" i="7"/>
  <c r="U908" i="7"/>
  <c r="V908" i="7"/>
  <c r="U909" i="7"/>
  <c r="V909" i="7"/>
  <c r="U910" i="7"/>
  <c r="V910" i="7"/>
  <c r="U911" i="7"/>
  <c r="V911" i="7"/>
  <c r="U912" i="7"/>
  <c r="V912" i="7"/>
  <c r="U913" i="7"/>
  <c r="V913" i="7"/>
  <c r="U914" i="7"/>
  <c r="V914" i="7"/>
  <c r="U915" i="7"/>
  <c r="V915" i="7"/>
  <c r="U916" i="7"/>
  <c r="V916" i="7"/>
  <c r="U917" i="7"/>
  <c r="V917" i="7"/>
  <c r="U918" i="7"/>
  <c r="V918" i="7"/>
  <c r="U919" i="7"/>
  <c r="V919" i="7"/>
  <c r="U920" i="7"/>
  <c r="V920" i="7"/>
  <c r="U921" i="7"/>
  <c r="V921" i="7"/>
  <c r="U922" i="7"/>
  <c r="V922" i="7"/>
  <c r="U923" i="7"/>
  <c r="V923" i="7"/>
  <c r="U924" i="7"/>
  <c r="V924" i="7"/>
  <c r="U925" i="7"/>
  <c r="V925" i="7"/>
  <c r="U926" i="7"/>
  <c r="V926" i="7"/>
  <c r="U927" i="7"/>
  <c r="V927" i="7"/>
  <c r="U928" i="7"/>
  <c r="V928" i="7"/>
  <c r="U929" i="7"/>
  <c r="V929" i="7"/>
  <c r="U930" i="7"/>
  <c r="V930" i="7"/>
  <c r="U931" i="7"/>
  <c r="V931" i="7"/>
  <c r="U932" i="7"/>
  <c r="V932" i="7"/>
  <c r="U933" i="7"/>
  <c r="V933" i="7"/>
  <c r="U934" i="7"/>
  <c r="V934" i="7"/>
  <c r="U935" i="7"/>
  <c r="V935" i="7"/>
  <c r="U936" i="7"/>
  <c r="V936" i="7"/>
  <c r="U937" i="7"/>
  <c r="V937" i="7"/>
  <c r="U938" i="7"/>
  <c r="V938" i="7"/>
  <c r="U939" i="7"/>
  <c r="V939" i="7"/>
  <c r="U940" i="7"/>
  <c r="V940" i="7"/>
  <c r="U941" i="7"/>
  <c r="V941" i="7"/>
  <c r="U942" i="7"/>
  <c r="V942" i="7"/>
  <c r="U943" i="7"/>
  <c r="V943" i="7"/>
  <c r="U944" i="7"/>
  <c r="V944" i="7"/>
  <c r="U945" i="7"/>
  <c r="V945" i="7"/>
  <c r="U946" i="7"/>
  <c r="V946" i="7"/>
  <c r="U947" i="7"/>
  <c r="V947" i="7"/>
  <c r="U948" i="7"/>
  <c r="V948" i="7"/>
  <c r="U949" i="7"/>
  <c r="V949" i="7"/>
  <c r="U950" i="7"/>
  <c r="V950" i="7"/>
  <c r="U951" i="7"/>
  <c r="V951" i="7"/>
  <c r="U952" i="7"/>
  <c r="V952" i="7"/>
  <c r="U953" i="7"/>
  <c r="V953" i="7"/>
  <c r="U954" i="7"/>
  <c r="V954" i="7"/>
  <c r="U955" i="7"/>
  <c r="V955" i="7"/>
  <c r="U956" i="7"/>
  <c r="V956" i="7"/>
  <c r="U957" i="7"/>
  <c r="V957" i="7"/>
  <c r="U958" i="7"/>
  <c r="V958" i="7"/>
  <c r="U959" i="7"/>
  <c r="V959" i="7"/>
  <c r="U960" i="7"/>
  <c r="V960" i="7"/>
  <c r="U961" i="7"/>
  <c r="V961" i="7"/>
  <c r="U962" i="7"/>
  <c r="V962" i="7"/>
  <c r="U963" i="7"/>
  <c r="V963" i="7"/>
  <c r="U964" i="7"/>
  <c r="V964" i="7"/>
  <c r="U965" i="7"/>
  <c r="V965" i="7"/>
  <c r="U966" i="7"/>
  <c r="V966" i="7"/>
  <c r="U967" i="7"/>
  <c r="V967" i="7"/>
  <c r="U968" i="7"/>
  <c r="V968" i="7"/>
  <c r="U969" i="7"/>
  <c r="V969" i="7"/>
  <c r="U970" i="7"/>
  <c r="V970" i="7"/>
  <c r="U971" i="7"/>
  <c r="V971" i="7"/>
  <c r="U972" i="7"/>
  <c r="V972" i="7"/>
  <c r="U973" i="7"/>
  <c r="V973" i="7"/>
  <c r="U974" i="7"/>
  <c r="V974" i="7"/>
  <c r="U975" i="7"/>
  <c r="V975" i="7"/>
  <c r="U976" i="7"/>
  <c r="V976" i="7"/>
  <c r="U977" i="7"/>
  <c r="V977" i="7"/>
  <c r="U978" i="7"/>
  <c r="V978" i="7"/>
  <c r="U979" i="7"/>
  <c r="V979" i="7"/>
  <c r="U980" i="7"/>
  <c r="V980" i="7"/>
  <c r="U981" i="7"/>
  <c r="V981" i="7"/>
  <c r="U982" i="7"/>
  <c r="V982" i="7"/>
  <c r="U983" i="7"/>
  <c r="V983" i="7"/>
  <c r="U984" i="7"/>
  <c r="V984" i="7"/>
  <c r="U985" i="7"/>
  <c r="V985" i="7"/>
  <c r="U986" i="7"/>
  <c r="V986" i="7"/>
  <c r="U987" i="7"/>
  <c r="V987" i="7"/>
  <c r="U988" i="7"/>
  <c r="V988" i="7"/>
  <c r="U989" i="7"/>
  <c r="V989" i="7"/>
  <c r="U990" i="7"/>
  <c r="V990" i="7"/>
  <c r="U991" i="7"/>
  <c r="V991" i="7"/>
  <c r="U992" i="7"/>
  <c r="V992" i="7"/>
  <c r="U993" i="7"/>
  <c r="V993" i="7"/>
  <c r="U994" i="7"/>
  <c r="V994" i="7"/>
  <c r="U995" i="7"/>
  <c r="V995" i="7"/>
  <c r="U996" i="7"/>
  <c r="V996" i="7"/>
  <c r="U997" i="7"/>
  <c r="V997" i="7"/>
  <c r="U998" i="7"/>
  <c r="V998" i="7"/>
  <c r="U999" i="7"/>
  <c r="V999" i="7"/>
  <c r="U1000" i="7"/>
  <c r="V1000" i="7"/>
  <c r="U1001" i="7"/>
  <c r="V1001" i="7"/>
  <c r="U1002" i="7"/>
  <c r="V1002" i="7"/>
  <c r="U1003" i="7"/>
  <c r="V1003" i="7"/>
  <c r="V4" i="7"/>
  <c r="N5" i="7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Q105" i="7"/>
  <c r="R105" i="7"/>
  <c r="Q106" i="7"/>
  <c r="R106" i="7"/>
  <c r="Q107" i="7"/>
  <c r="R107" i="7"/>
  <c r="Q108" i="7"/>
  <c r="R108" i="7"/>
  <c r="Q109" i="7"/>
  <c r="R109" i="7"/>
  <c r="Q110" i="7"/>
  <c r="R110" i="7"/>
  <c r="Q111" i="7"/>
  <c r="R111" i="7"/>
  <c r="Q112" i="7"/>
  <c r="R112" i="7"/>
  <c r="Q113" i="7"/>
  <c r="R113" i="7"/>
  <c r="Q114" i="7"/>
  <c r="R114" i="7"/>
  <c r="Q115" i="7"/>
  <c r="R115" i="7"/>
  <c r="Q116" i="7"/>
  <c r="R116" i="7"/>
  <c r="Q117" i="7"/>
  <c r="R117" i="7"/>
  <c r="Q118" i="7"/>
  <c r="R118" i="7"/>
  <c r="Q119" i="7"/>
  <c r="R119" i="7"/>
  <c r="Q120" i="7"/>
  <c r="R120" i="7"/>
  <c r="Q121" i="7"/>
  <c r="R121" i="7"/>
  <c r="Q122" i="7"/>
  <c r="R122" i="7"/>
  <c r="Q123" i="7"/>
  <c r="R123" i="7"/>
  <c r="Q124" i="7"/>
  <c r="R124" i="7"/>
  <c r="Q125" i="7"/>
  <c r="R125" i="7"/>
  <c r="Q126" i="7"/>
  <c r="R126" i="7"/>
  <c r="Q127" i="7"/>
  <c r="R127" i="7"/>
  <c r="Q128" i="7"/>
  <c r="R128" i="7"/>
  <c r="Q129" i="7"/>
  <c r="R129" i="7"/>
  <c r="Q130" i="7"/>
  <c r="R130" i="7"/>
  <c r="Q131" i="7"/>
  <c r="R131" i="7"/>
  <c r="Q132" i="7"/>
  <c r="R132" i="7"/>
  <c r="Q133" i="7"/>
  <c r="R133" i="7"/>
  <c r="Q134" i="7"/>
  <c r="R134" i="7"/>
  <c r="Q135" i="7"/>
  <c r="R135" i="7"/>
  <c r="Q136" i="7"/>
  <c r="R136" i="7"/>
  <c r="Q137" i="7"/>
  <c r="R137" i="7"/>
  <c r="Q138" i="7"/>
  <c r="R138" i="7"/>
  <c r="Q139" i="7"/>
  <c r="R139" i="7"/>
  <c r="Q140" i="7"/>
  <c r="R140" i="7"/>
  <c r="Q141" i="7"/>
  <c r="R141" i="7"/>
  <c r="Q142" i="7"/>
  <c r="R142" i="7"/>
  <c r="Q143" i="7"/>
  <c r="R143" i="7"/>
  <c r="Q144" i="7"/>
  <c r="R144" i="7"/>
  <c r="Q145" i="7"/>
  <c r="R145" i="7"/>
  <c r="Q146" i="7"/>
  <c r="R146" i="7"/>
  <c r="Q147" i="7"/>
  <c r="R147" i="7"/>
  <c r="Q148" i="7"/>
  <c r="R148" i="7"/>
  <c r="Q149" i="7"/>
  <c r="R149" i="7"/>
  <c r="Q150" i="7"/>
  <c r="R150" i="7"/>
  <c r="Q151" i="7"/>
  <c r="R151" i="7"/>
  <c r="Q152" i="7"/>
  <c r="R152" i="7"/>
  <c r="Q153" i="7"/>
  <c r="R153" i="7"/>
  <c r="Q154" i="7"/>
  <c r="R154" i="7"/>
  <c r="Q155" i="7"/>
  <c r="R155" i="7"/>
  <c r="Q156" i="7"/>
  <c r="R156" i="7"/>
  <c r="Q157" i="7"/>
  <c r="R157" i="7"/>
  <c r="Q158" i="7"/>
  <c r="R158" i="7"/>
  <c r="Q159" i="7"/>
  <c r="R159" i="7"/>
  <c r="Q160" i="7"/>
  <c r="R160" i="7"/>
  <c r="Q161" i="7"/>
  <c r="R161" i="7"/>
  <c r="Q162" i="7"/>
  <c r="R162" i="7"/>
  <c r="Q163" i="7"/>
  <c r="R163" i="7"/>
  <c r="Q164" i="7"/>
  <c r="R164" i="7"/>
  <c r="Q165" i="7"/>
  <c r="R165" i="7"/>
  <c r="Q166" i="7"/>
  <c r="R166" i="7"/>
  <c r="Q167" i="7"/>
  <c r="R167" i="7"/>
  <c r="Q168" i="7"/>
  <c r="R168" i="7"/>
  <c r="Q169" i="7"/>
  <c r="R169" i="7"/>
  <c r="Q170" i="7"/>
  <c r="R170" i="7"/>
  <c r="Q171" i="7"/>
  <c r="R171" i="7"/>
  <c r="Q172" i="7"/>
  <c r="R172" i="7"/>
  <c r="Q173" i="7"/>
  <c r="R173" i="7"/>
  <c r="Q174" i="7"/>
  <c r="R174" i="7"/>
  <c r="Q175" i="7"/>
  <c r="R175" i="7"/>
  <c r="Q176" i="7"/>
  <c r="R176" i="7"/>
  <c r="Q177" i="7"/>
  <c r="R177" i="7"/>
  <c r="Q178" i="7"/>
  <c r="R178" i="7"/>
  <c r="Q179" i="7"/>
  <c r="R179" i="7"/>
  <c r="Q180" i="7"/>
  <c r="R180" i="7"/>
  <c r="Q181" i="7"/>
  <c r="R181" i="7"/>
  <c r="Q182" i="7"/>
  <c r="R182" i="7"/>
  <c r="Q183" i="7"/>
  <c r="R183" i="7"/>
  <c r="Q184" i="7"/>
  <c r="R184" i="7"/>
  <c r="Q185" i="7"/>
  <c r="R185" i="7"/>
  <c r="Q186" i="7"/>
  <c r="R186" i="7"/>
  <c r="Q187" i="7"/>
  <c r="R187" i="7"/>
  <c r="Q188" i="7"/>
  <c r="R188" i="7"/>
  <c r="Q189" i="7"/>
  <c r="R189" i="7"/>
  <c r="Q190" i="7"/>
  <c r="R190" i="7"/>
  <c r="Q191" i="7"/>
  <c r="R191" i="7"/>
  <c r="Q192" i="7"/>
  <c r="R192" i="7"/>
  <c r="Q193" i="7"/>
  <c r="R193" i="7"/>
  <c r="Q194" i="7"/>
  <c r="R194" i="7"/>
  <c r="Q195" i="7"/>
  <c r="R195" i="7"/>
  <c r="Q196" i="7"/>
  <c r="R196" i="7"/>
  <c r="Q197" i="7"/>
  <c r="R197" i="7"/>
  <c r="Q198" i="7"/>
  <c r="R198" i="7"/>
  <c r="Q199" i="7"/>
  <c r="R199" i="7"/>
  <c r="Q200" i="7"/>
  <c r="R200" i="7"/>
  <c r="Q201" i="7"/>
  <c r="R201" i="7"/>
  <c r="Q202" i="7"/>
  <c r="R202" i="7"/>
  <c r="Q203" i="7"/>
  <c r="R203" i="7"/>
  <c r="Q204" i="7"/>
  <c r="R204" i="7"/>
  <c r="Q205" i="7"/>
  <c r="R205" i="7"/>
  <c r="Q206" i="7"/>
  <c r="R206" i="7"/>
  <c r="Q207" i="7"/>
  <c r="R207" i="7"/>
  <c r="Q208" i="7"/>
  <c r="R208" i="7"/>
  <c r="Q209" i="7"/>
  <c r="R209" i="7"/>
  <c r="Q210" i="7"/>
  <c r="R210" i="7"/>
  <c r="Q211" i="7"/>
  <c r="R211" i="7"/>
  <c r="Q212" i="7"/>
  <c r="R212" i="7"/>
  <c r="Q213" i="7"/>
  <c r="R213" i="7"/>
  <c r="Q214" i="7"/>
  <c r="R214" i="7"/>
  <c r="Q215" i="7"/>
  <c r="R215" i="7"/>
  <c r="Q216" i="7"/>
  <c r="R216" i="7"/>
  <c r="Q217" i="7"/>
  <c r="R217" i="7"/>
  <c r="Q218" i="7"/>
  <c r="R218" i="7"/>
  <c r="Q219" i="7"/>
  <c r="R219" i="7"/>
  <c r="Q220" i="7"/>
  <c r="R220" i="7"/>
  <c r="Q221" i="7"/>
  <c r="R221" i="7"/>
  <c r="Q222" i="7"/>
  <c r="R222" i="7"/>
  <c r="Q223" i="7"/>
  <c r="R223" i="7"/>
  <c r="Q224" i="7"/>
  <c r="R224" i="7"/>
  <c r="Q225" i="7"/>
  <c r="R225" i="7"/>
  <c r="Q226" i="7"/>
  <c r="R226" i="7"/>
  <c r="Q227" i="7"/>
  <c r="R227" i="7"/>
  <c r="Q228" i="7"/>
  <c r="R228" i="7"/>
  <c r="Q229" i="7"/>
  <c r="R229" i="7"/>
  <c r="Q230" i="7"/>
  <c r="R230" i="7"/>
  <c r="Q231" i="7"/>
  <c r="R231" i="7"/>
  <c r="Q232" i="7"/>
  <c r="R232" i="7"/>
  <c r="Q233" i="7"/>
  <c r="R233" i="7"/>
  <c r="Q234" i="7"/>
  <c r="R234" i="7"/>
  <c r="Q235" i="7"/>
  <c r="R235" i="7"/>
  <c r="Q236" i="7"/>
  <c r="R236" i="7"/>
  <c r="Q237" i="7"/>
  <c r="R237" i="7"/>
  <c r="Q238" i="7"/>
  <c r="R238" i="7"/>
  <c r="Q239" i="7"/>
  <c r="R239" i="7"/>
  <c r="Q240" i="7"/>
  <c r="R240" i="7"/>
  <c r="Q241" i="7"/>
  <c r="R241" i="7"/>
  <c r="Q242" i="7"/>
  <c r="R242" i="7"/>
  <c r="Q243" i="7"/>
  <c r="R243" i="7"/>
  <c r="Q244" i="7"/>
  <c r="R244" i="7"/>
  <c r="Q245" i="7"/>
  <c r="R245" i="7"/>
  <c r="Q246" i="7"/>
  <c r="R246" i="7"/>
  <c r="Q247" i="7"/>
  <c r="R247" i="7"/>
  <c r="Q248" i="7"/>
  <c r="R248" i="7"/>
  <c r="Q249" i="7"/>
  <c r="R249" i="7"/>
  <c r="Q250" i="7"/>
  <c r="R250" i="7"/>
  <c r="Q251" i="7"/>
  <c r="R251" i="7"/>
  <c r="Q252" i="7"/>
  <c r="R252" i="7"/>
  <c r="Q253" i="7"/>
  <c r="R253" i="7"/>
  <c r="Q254" i="7"/>
  <c r="R254" i="7"/>
  <c r="Q255" i="7"/>
  <c r="R255" i="7"/>
  <c r="Q256" i="7"/>
  <c r="R256" i="7"/>
  <c r="Q257" i="7"/>
  <c r="R257" i="7"/>
  <c r="Q258" i="7"/>
  <c r="R258" i="7"/>
  <c r="Q259" i="7"/>
  <c r="R259" i="7"/>
  <c r="Q260" i="7"/>
  <c r="R260" i="7"/>
  <c r="Q261" i="7"/>
  <c r="R261" i="7"/>
  <c r="Q262" i="7"/>
  <c r="R262" i="7"/>
  <c r="Q263" i="7"/>
  <c r="R263" i="7"/>
  <c r="Q264" i="7"/>
  <c r="R264" i="7"/>
  <c r="Q265" i="7"/>
  <c r="R265" i="7"/>
  <c r="Q266" i="7"/>
  <c r="R266" i="7"/>
  <c r="Q267" i="7"/>
  <c r="R267" i="7"/>
  <c r="Q268" i="7"/>
  <c r="R268" i="7"/>
  <c r="Q269" i="7"/>
  <c r="R269" i="7"/>
  <c r="Q270" i="7"/>
  <c r="R270" i="7"/>
  <c r="Q271" i="7"/>
  <c r="R271" i="7"/>
  <c r="Q272" i="7"/>
  <c r="R272" i="7"/>
  <c r="Q273" i="7"/>
  <c r="R273" i="7"/>
  <c r="Q274" i="7"/>
  <c r="R274" i="7"/>
  <c r="Q275" i="7"/>
  <c r="R275" i="7"/>
  <c r="Q276" i="7"/>
  <c r="R276" i="7"/>
  <c r="Q277" i="7"/>
  <c r="R277" i="7"/>
  <c r="Q278" i="7"/>
  <c r="R278" i="7"/>
  <c r="Q279" i="7"/>
  <c r="R279" i="7"/>
  <c r="Q280" i="7"/>
  <c r="R280" i="7"/>
  <c r="Q281" i="7"/>
  <c r="R281" i="7"/>
  <c r="Q282" i="7"/>
  <c r="R282" i="7"/>
  <c r="Q283" i="7"/>
  <c r="R283" i="7"/>
  <c r="Q284" i="7"/>
  <c r="R284" i="7"/>
  <c r="Q285" i="7"/>
  <c r="R285" i="7"/>
  <c r="Q286" i="7"/>
  <c r="R286" i="7"/>
  <c r="Q287" i="7"/>
  <c r="R287" i="7"/>
  <c r="Q288" i="7"/>
  <c r="R288" i="7"/>
  <c r="Q289" i="7"/>
  <c r="R289" i="7"/>
  <c r="Q290" i="7"/>
  <c r="R290" i="7"/>
  <c r="Q291" i="7"/>
  <c r="R291" i="7"/>
  <c r="Q292" i="7"/>
  <c r="R292" i="7"/>
  <c r="Q293" i="7"/>
  <c r="R293" i="7"/>
  <c r="Q294" i="7"/>
  <c r="R294" i="7"/>
  <c r="Q295" i="7"/>
  <c r="R295" i="7"/>
  <c r="Q296" i="7"/>
  <c r="R296" i="7"/>
  <c r="Q297" i="7"/>
  <c r="R297" i="7"/>
  <c r="Q298" i="7"/>
  <c r="R298" i="7"/>
  <c r="Q299" i="7"/>
  <c r="R299" i="7"/>
  <c r="Q300" i="7"/>
  <c r="R300" i="7"/>
  <c r="Q301" i="7"/>
  <c r="R301" i="7"/>
  <c r="Q302" i="7"/>
  <c r="R302" i="7"/>
  <c r="Q303" i="7"/>
  <c r="R303" i="7"/>
  <c r="Q304" i="7"/>
  <c r="R304" i="7"/>
  <c r="Q305" i="7"/>
  <c r="R305" i="7"/>
  <c r="Q306" i="7"/>
  <c r="R306" i="7"/>
  <c r="Q307" i="7"/>
  <c r="R307" i="7"/>
  <c r="Q308" i="7"/>
  <c r="R308" i="7"/>
  <c r="Q309" i="7"/>
  <c r="R309" i="7"/>
  <c r="Q310" i="7"/>
  <c r="R310" i="7"/>
  <c r="Q311" i="7"/>
  <c r="R311" i="7"/>
  <c r="Q312" i="7"/>
  <c r="R312" i="7"/>
  <c r="Q313" i="7"/>
  <c r="R313" i="7"/>
  <c r="Q314" i="7"/>
  <c r="R314" i="7"/>
  <c r="Q315" i="7"/>
  <c r="R315" i="7"/>
  <c r="Q316" i="7"/>
  <c r="R316" i="7"/>
  <c r="Q317" i="7"/>
  <c r="R317" i="7"/>
  <c r="Q318" i="7"/>
  <c r="R318" i="7"/>
  <c r="Q319" i="7"/>
  <c r="R319" i="7"/>
  <c r="Q320" i="7"/>
  <c r="R320" i="7"/>
  <c r="Q321" i="7"/>
  <c r="R321" i="7"/>
  <c r="Q322" i="7"/>
  <c r="R322" i="7"/>
  <c r="Q323" i="7"/>
  <c r="R323" i="7"/>
  <c r="Q324" i="7"/>
  <c r="R324" i="7"/>
  <c r="Q325" i="7"/>
  <c r="R325" i="7"/>
  <c r="Q326" i="7"/>
  <c r="R326" i="7"/>
  <c r="Q327" i="7"/>
  <c r="R327" i="7"/>
  <c r="Q328" i="7"/>
  <c r="R328" i="7"/>
  <c r="Q329" i="7"/>
  <c r="R329" i="7"/>
  <c r="Q330" i="7"/>
  <c r="R330" i="7"/>
  <c r="Q331" i="7"/>
  <c r="R331" i="7"/>
  <c r="Q332" i="7"/>
  <c r="R332" i="7"/>
  <c r="Q333" i="7"/>
  <c r="R333" i="7"/>
  <c r="Q334" i="7"/>
  <c r="R334" i="7"/>
  <c r="Q335" i="7"/>
  <c r="R335" i="7"/>
  <c r="Q336" i="7"/>
  <c r="R336" i="7"/>
  <c r="Q337" i="7"/>
  <c r="R337" i="7"/>
  <c r="Q338" i="7"/>
  <c r="R338" i="7"/>
  <c r="Q339" i="7"/>
  <c r="R339" i="7"/>
  <c r="Q340" i="7"/>
  <c r="R340" i="7"/>
  <c r="Q341" i="7"/>
  <c r="R341" i="7"/>
  <c r="Q342" i="7"/>
  <c r="R342" i="7"/>
  <c r="Q343" i="7"/>
  <c r="R343" i="7"/>
  <c r="Q344" i="7"/>
  <c r="R344" i="7"/>
  <c r="Q345" i="7"/>
  <c r="R345" i="7"/>
  <c r="Q346" i="7"/>
  <c r="R346" i="7"/>
  <c r="Q347" i="7"/>
  <c r="R347" i="7"/>
  <c r="Q348" i="7"/>
  <c r="R348" i="7"/>
  <c r="Q349" i="7"/>
  <c r="R349" i="7"/>
  <c r="Q350" i="7"/>
  <c r="R350" i="7"/>
  <c r="Q351" i="7"/>
  <c r="R351" i="7"/>
  <c r="Q352" i="7"/>
  <c r="R352" i="7"/>
  <c r="Q353" i="7"/>
  <c r="R353" i="7"/>
  <c r="Q354" i="7"/>
  <c r="R354" i="7"/>
  <c r="Q355" i="7"/>
  <c r="R355" i="7"/>
  <c r="Q356" i="7"/>
  <c r="R356" i="7"/>
  <c r="Q357" i="7"/>
  <c r="R357" i="7"/>
  <c r="Q358" i="7"/>
  <c r="R358" i="7"/>
  <c r="Q359" i="7"/>
  <c r="R359" i="7"/>
  <c r="Q360" i="7"/>
  <c r="R360" i="7"/>
  <c r="Q361" i="7"/>
  <c r="R361" i="7"/>
  <c r="Q362" i="7"/>
  <c r="R362" i="7"/>
  <c r="Q363" i="7"/>
  <c r="R363" i="7"/>
  <c r="Q364" i="7"/>
  <c r="R364" i="7"/>
  <c r="Q365" i="7"/>
  <c r="R365" i="7"/>
  <c r="Q366" i="7"/>
  <c r="R366" i="7"/>
  <c r="Q367" i="7"/>
  <c r="R367" i="7"/>
  <c r="Q368" i="7"/>
  <c r="R368" i="7"/>
  <c r="Q369" i="7"/>
  <c r="R369" i="7"/>
  <c r="Q370" i="7"/>
  <c r="R370" i="7"/>
  <c r="Q371" i="7"/>
  <c r="R371" i="7"/>
  <c r="Q372" i="7"/>
  <c r="R372" i="7"/>
  <c r="Q373" i="7"/>
  <c r="R373" i="7"/>
  <c r="Q374" i="7"/>
  <c r="R374" i="7"/>
  <c r="Q375" i="7"/>
  <c r="R375" i="7"/>
  <c r="Q376" i="7"/>
  <c r="R376" i="7"/>
  <c r="Q377" i="7"/>
  <c r="R377" i="7"/>
  <c r="Q378" i="7"/>
  <c r="R378" i="7"/>
  <c r="Q379" i="7"/>
  <c r="R379" i="7"/>
  <c r="Q380" i="7"/>
  <c r="R380" i="7"/>
  <c r="Q381" i="7"/>
  <c r="R381" i="7"/>
  <c r="Q382" i="7"/>
  <c r="R382" i="7"/>
  <c r="Q383" i="7"/>
  <c r="R383" i="7"/>
  <c r="Q384" i="7"/>
  <c r="R384" i="7"/>
  <c r="Q385" i="7"/>
  <c r="R385" i="7"/>
  <c r="Q386" i="7"/>
  <c r="R386" i="7"/>
  <c r="Q387" i="7"/>
  <c r="R387" i="7"/>
  <c r="Q388" i="7"/>
  <c r="R388" i="7"/>
  <c r="Q389" i="7"/>
  <c r="R389" i="7"/>
  <c r="Q390" i="7"/>
  <c r="R390" i="7"/>
  <c r="Q391" i="7"/>
  <c r="R391" i="7"/>
  <c r="Q392" i="7"/>
  <c r="R392" i="7"/>
  <c r="Q393" i="7"/>
  <c r="R393" i="7"/>
  <c r="Q394" i="7"/>
  <c r="R394" i="7"/>
  <c r="Q395" i="7"/>
  <c r="R395" i="7"/>
  <c r="Q396" i="7"/>
  <c r="R396" i="7"/>
  <c r="Q397" i="7"/>
  <c r="R397" i="7"/>
  <c r="Q398" i="7"/>
  <c r="R398" i="7"/>
  <c r="Q399" i="7"/>
  <c r="R399" i="7"/>
  <c r="Q400" i="7"/>
  <c r="R400" i="7"/>
  <c r="Q401" i="7"/>
  <c r="R401" i="7"/>
  <c r="Q402" i="7"/>
  <c r="R402" i="7"/>
  <c r="Q403" i="7"/>
  <c r="R403" i="7"/>
  <c r="Q404" i="7"/>
  <c r="R404" i="7"/>
  <c r="Q405" i="7"/>
  <c r="R405" i="7"/>
  <c r="Q406" i="7"/>
  <c r="R406" i="7"/>
  <c r="Q407" i="7"/>
  <c r="R407" i="7"/>
  <c r="Q408" i="7"/>
  <c r="R408" i="7"/>
  <c r="Q409" i="7"/>
  <c r="R409" i="7"/>
  <c r="Q410" i="7"/>
  <c r="R410" i="7"/>
  <c r="Q411" i="7"/>
  <c r="R411" i="7"/>
  <c r="Q412" i="7"/>
  <c r="R412" i="7"/>
  <c r="Q413" i="7"/>
  <c r="R413" i="7"/>
  <c r="Q414" i="7"/>
  <c r="R414" i="7"/>
  <c r="Q415" i="7"/>
  <c r="R415" i="7"/>
  <c r="Q416" i="7"/>
  <c r="R416" i="7"/>
  <c r="Q417" i="7"/>
  <c r="R417" i="7"/>
  <c r="Q418" i="7"/>
  <c r="R418" i="7"/>
  <c r="Q419" i="7"/>
  <c r="R419" i="7"/>
  <c r="Q420" i="7"/>
  <c r="R420" i="7"/>
  <c r="Q421" i="7"/>
  <c r="R421" i="7"/>
  <c r="Q422" i="7"/>
  <c r="R422" i="7"/>
  <c r="Q423" i="7"/>
  <c r="R423" i="7"/>
  <c r="Q424" i="7"/>
  <c r="R424" i="7"/>
  <c r="Q425" i="7"/>
  <c r="R425" i="7"/>
  <c r="Q426" i="7"/>
  <c r="R426" i="7"/>
  <c r="Q427" i="7"/>
  <c r="R427" i="7"/>
  <c r="Q428" i="7"/>
  <c r="R428" i="7"/>
  <c r="Q429" i="7"/>
  <c r="R429" i="7"/>
  <c r="Q430" i="7"/>
  <c r="R430" i="7"/>
  <c r="Q431" i="7"/>
  <c r="R431" i="7"/>
  <c r="Q432" i="7"/>
  <c r="R432" i="7"/>
  <c r="Q433" i="7"/>
  <c r="R433" i="7"/>
  <c r="Q434" i="7"/>
  <c r="R434" i="7"/>
  <c r="Q435" i="7"/>
  <c r="R435" i="7"/>
  <c r="Q436" i="7"/>
  <c r="R436" i="7"/>
  <c r="Q437" i="7"/>
  <c r="R437" i="7"/>
  <c r="Q438" i="7"/>
  <c r="R438" i="7"/>
  <c r="Q439" i="7"/>
  <c r="R439" i="7"/>
  <c r="Q440" i="7"/>
  <c r="R440" i="7"/>
  <c r="Q441" i="7"/>
  <c r="R441" i="7"/>
  <c r="Q442" i="7"/>
  <c r="R442" i="7"/>
  <c r="Q443" i="7"/>
  <c r="R443" i="7"/>
  <c r="Q444" i="7"/>
  <c r="R444" i="7"/>
  <c r="Q445" i="7"/>
  <c r="R445" i="7"/>
  <c r="Q446" i="7"/>
  <c r="R446" i="7"/>
  <c r="Q447" i="7"/>
  <c r="R447" i="7"/>
  <c r="Q448" i="7"/>
  <c r="R448" i="7"/>
  <c r="Q449" i="7"/>
  <c r="R449" i="7"/>
  <c r="Q450" i="7"/>
  <c r="R450" i="7"/>
  <c r="Q451" i="7"/>
  <c r="R451" i="7"/>
  <c r="Q452" i="7"/>
  <c r="R452" i="7"/>
  <c r="Q453" i="7"/>
  <c r="R453" i="7"/>
  <c r="Q454" i="7"/>
  <c r="R454" i="7"/>
  <c r="Q455" i="7"/>
  <c r="R455" i="7"/>
  <c r="Q456" i="7"/>
  <c r="R456" i="7"/>
  <c r="Q457" i="7"/>
  <c r="R457" i="7"/>
  <c r="Q458" i="7"/>
  <c r="R458" i="7"/>
  <c r="Q459" i="7"/>
  <c r="R459" i="7"/>
  <c r="Q460" i="7"/>
  <c r="R460" i="7"/>
  <c r="Q461" i="7"/>
  <c r="R461" i="7"/>
  <c r="Q462" i="7"/>
  <c r="R462" i="7"/>
  <c r="Q463" i="7"/>
  <c r="R463" i="7"/>
  <c r="Q464" i="7"/>
  <c r="R464" i="7"/>
  <c r="Q465" i="7"/>
  <c r="R465" i="7"/>
  <c r="Q466" i="7"/>
  <c r="R466" i="7"/>
  <c r="Q467" i="7"/>
  <c r="R467" i="7"/>
  <c r="Q468" i="7"/>
  <c r="R468" i="7"/>
  <c r="Q469" i="7"/>
  <c r="R469" i="7"/>
  <c r="Q470" i="7"/>
  <c r="R470" i="7"/>
  <c r="Q471" i="7"/>
  <c r="R471" i="7"/>
  <c r="Q472" i="7"/>
  <c r="R472" i="7"/>
  <c r="Q473" i="7"/>
  <c r="R473" i="7"/>
  <c r="Q474" i="7"/>
  <c r="R474" i="7"/>
  <c r="Q475" i="7"/>
  <c r="R475" i="7"/>
  <c r="Q476" i="7"/>
  <c r="R476" i="7"/>
  <c r="Q477" i="7"/>
  <c r="R477" i="7"/>
  <c r="Q478" i="7"/>
  <c r="R478" i="7"/>
  <c r="Q479" i="7"/>
  <c r="R479" i="7"/>
  <c r="Q480" i="7"/>
  <c r="R480" i="7"/>
  <c r="Q481" i="7"/>
  <c r="R481" i="7"/>
  <c r="Q482" i="7"/>
  <c r="R482" i="7"/>
  <c r="Q483" i="7"/>
  <c r="R483" i="7"/>
  <c r="Q484" i="7"/>
  <c r="R484" i="7"/>
  <c r="Q485" i="7"/>
  <c r="R485" i="7"/>
  <c r="Q486" i="7"/>
  <c r="R486" i="7"/>
  <c r="Q487" i="7"/>
  <c r="R487" i="7"/>
  <c r="Q488" i="7"/>
  <c r="R488" i="7"/>
  <c r="Q489" i="7"/>
  <c r="R489" i="7"/>
  <c r="Q490" i="7"/>
  <c r="R490" i="7"/>
  <c r="Q491" i="7"/>
  <c r="R491" i="7"/>
  <c r="Q492" i="7"/>
  <c r="R492" i="7"/>
  <c r="Q493" i="7"/>
  <c r="R493" i="7"/>
  <c r="Q494" i="7"/>
  <c r="R494" i="7"/>
  <c r="Q495" i="7"/>
  <c r="R495" i="7"/>
  <c r="Q496" i="7"/>
  <c r="R496" i="7"/>
  <c r="Q497" i="7"/>
  <c r="R497" i="7"/>
  <c r="Q498" i="7"/>
  <c r="R498" i="7"/>
  <c r="Q499" i="7"/>
  <c r="R499" i="7"/>
  <c r="Q500" i="7"/>
  <c r="R500" i="7"/>
  <c r="Q501" i="7"/>
  <c r="R501" i="7"/>
  <c r="Q502" i="7"/>
  <c r="R502" i="7"/>
  <c r="Q503" i="7"/>
  <c r="R503" i="7"/>
  <c r="Q504" i="7"/>
  <c r="R504" i="7"/>
  <c r="Q505" i="7"/>
  <c r="R505" i="7"/>
  <c r="Q506" i="7"/>
  <c r="R506" i="7"/>
  <c r="Q507" i="7"/>
  <c r="R507" i="7"/>
  <c r="Q508" i="7"/>
  <c r="R508" i="7"/>
  <c r="Q509" i="7"/>
  <c r="R509" i="7"/>
  <c r="Q510" i="7"/>
  <c r="R510" i="7"/>
  <c r="Q511" i="7"/>
  <c r="R511" i="7"/>
  <c r="Q512" i="7"/>
  <c r="R512" i="7"/>
  <c r="Q513" i="7"/>
  <c r="R513" i="7"/>
  <c r="Q514" i="7"/>
  <c r="R514" i="7"/>
  <c r="Q515" i="7"/>
  <c r="R515" i="7"/>
  <c r="Q516" i="7"/>
  <c r="R516" i="7"/>
  <c r="Q517" i="7"/>
  <c r="R517" i="7"/>
  <c r="Q518" i="7"/>
  <c r="R518" i="7"/>
  <c r="Q519" i="7"/>
  <c r="R519" i="7"/>
  <c r="Q520" i="7"/>
  <c r="R520" i="7"/>
  <c r="Q521" i="7"/>
  <c r="R521" i="7"/>
  <c r="Q522" i="7"/>
  <c r="R522" i="7"/>
  <c r="Q523" i="7"/>
  <c r="R523" i="7"/>
  <c r="Q524" i="7"/>
  <c r="R524" i="7"/>
  <c r="Q525" i="7"/>
  <c r="R525" i="7"/>
  <c r="Q526" i="7"/>
  <c r="R526" i="7"/>
  <c r="Q527" i="7"/>
  <c r="R527" i="7"/>
  <c r="Q528" i="7"/>
  <c r="R528" i="7"/>
  <c r="Q529" i="7"/>
  <c r="R529" i="7"/>
  <c r="Q530" i="7"/>
  <c r="R530" i="7"/>
  <c r="Q531" i="7"/>
  <c r="R531" i="7"/>
  <c r="Q532" i="7"/>
  <c r="R532" i="7"/>
  <c r="Q533" i="7"/>
  <c r="R533" i="7"/>
  <c r="Q534" i="7"/>
  <c r="R534" i="7"/>
  <c r="Q535" i="7"/>
  <c r="R535" i="7"/>
  <c r="Q536" i="7"/>
  <c r="R536" i="7"/>
  <c r="Q537" i="7"/>
  <c r="R537" i="7"/>
  <c r="Q538" i="7"/>
  <c r="R538" i="7"/>
  <c r="Q539" i="7"/>
  <c r="R539" i="7"/>
  <c r="Q540" i="7"/>
  <c r="R540" i="7"/>
  <c r="Q541" i="7"/>
  <c r="R541" i="7"/>
  <c r="Q542" i="7"/>
  <c r="R542" i="7"/>
  <c r="Q543" i="7"/>
  <c r="R543" i="7"/>
  <c r="Q544" i="7"/>
  <c r="R544" i="7"/>
  <c r="Q545" i="7"/>
  <c r="R545" i="7"/>
  <c r="Q546" i="7"/>
  <c r="R546" i="7"/>
  <c r="Q547" i="7"/>
  <c r="R547" i="7"/>
  <c r="Q548" i="7"/>
  <c r="R548" i="7"/>
  <c r="Q549" i="7"/>
  <c r="R549" i="7"/>
  <c r="Q550" i="7"/>
  <c r="R550" i="7"/>
  <c r="Q551" i="7"/>
  <c r="R551" i="7"/>
  <c r="Q552" i="7"/>
  <c r="R552" i="7"/>
  <c r="Q553" i="7"/>
  <c r="R553" i="7"/>
  <c r="Q554" i="7"/>
  <c r="R554" i="7"/>
  <c r="Q555" i="7"/>
  <c r="R555" i="7"/>
  <c r="Q556" i="7"/>
  <c r="R556" i="7"/>
  <c r="Q557" i="7"/>
  <c r="R557" i="7"/>
  <c r="Q558" i="7"/>
  <c r="R558" i="7"/>
  <c r="Q559" i="7"/>
  <c r="R559" i="7"/>
  <c r="Q560" i="7"/>
  <c r="R560" i="7"/>
  <c r="Q561" i="7"/>
  <c r="R561" i="7"/>
  <c r="Q562" i="7"/>
  <c r="R562" i="7"/>
  <c r="Q563" i="7"/>
  <c r="R563" i="7"/>
  <c r="Q564" i="7"/>
  <c r="R564" i="7"/>
  <c r="Q565" i="7"/>
  <c r="R565" i="7"/>
  <c r="Q566" i="7"/>
  <c r="R566" i="7"/>
  <c r="Q567" i="7"/>
  <c r="R567" i="7"/>
  <c r="Q568" i="7"/>
  <c r="R568" i="7"/>
  <c r="Q569" i="7"/>
  <c r="R569" i="7"/>
  <c r="Q570" i="7"/>
  <c r="R570" i="7"/>
  <c r="Q571" i="7"/>
  <c r="R571" i="7"/>
  <c r="Q572" i="7"/>
  <c r="R572" i="7"/>
  <c r="Q573" i="7"/>
  <c r="R573" i="7"/>
  <c r="Q574" i="7"/>
  <c r="R574" i="7"/>
  <c r="Q575" i="7"/>
  <c r="R575" i="7"/>
  <c r="Q576" i="7"/>
  <c r="R576" i="7"/>
  <c r="Q577" i="7"/>
  <c r="R577" i="7"/>
  <c r="Q578" i="7"/>
  <c r="R578" i="7"/>
  <c r="Q579" i="7"/>
  <c r="R579" i="7"/>
  <c r="Q580" i="7"/>
  <c r="R580" i="7"/>
  <c r="Q581" i="7"/>
  <c r="R581" i="7"/>
  <c r="Q582" i="7"/>
  <c r="R582" i="7"/>
  <c r="Q583" i="7"/>
  <c r="R583" i="7"/>
  <c r="Q584" i="7"/>
  <c r="R584" i="7"/>
  <c r="Q585" i="7"/>
  <c r="R585" i="7"/>
  <c r="Q586" i="7"/>
  <c r="R586" i="7"/>
  <c r="Q587" i="7"/>
  <c r="R587" i="7"/>
  <c r="Q588" i="7"/>
  <c r="R588" i="7"/>
  <c r="Q589" i="7"/>
  <c r="R589" i="7"/>
  <c r="Q590" i="7"/>
  <c r="R590" i="7"/>
  <c r="Q591" i="7"/>
  <c r="R591" i="7"/>
  <c r="Q592" i="7"/>
  <c r="R592" i="7"/>
  <c r="Q593" i="7"/>
  <c r="R593" i="7"/>
  <c r="Q594" i="7"/>
  <c r="R594" i="7"/>
  <c r="Q595" i="7"/>
  <c r="R595" i="7"/>
  <c r="Q596" i="7"/>
  <c r="R596" i="7"/>
  <c r="Q597" i="7"/>
  <c r="R597" i="7"/>
  <c r="Q598" i="7"/>
  <c r="R598" i="7"/>
  <c r="Q599" i="7"/>
  <c r="R599" i="7"/>
  <c r="Q600" i="7"/>
  <c r="R600" i="7"/>
  <c r="Q601" i="7"/>
  <c r="R601" i="7"/>
  <c r="Q602" i="7"/>
  <c r="R602" i="7"/>
  <c r="Q603" i="7"/>
  <c r="R603" i="7"/>
  <c r="Q604" i="7"/>
  <c r="R604" i="7"/>
  <c r="Q605" i="7"/>
  <c r="R605" i="7"/>
  <c r="Q606" i="7"/>
  <c r="R606" i="7"/>
  <c r="Q607" i="7"/>
  <c r="R607" i="7"/>
  <c r="Q608" i="7"/>
  <c r="R608" i="7"/>
  <c r="Q609" i="7"/>
  <c r="R609" i="7"/>
  <c r="Q610" i="7"/>
  <c r="R610" i="7"/>
  <c r="Q611" i="7"/>
  <c r="R611" i="7"/>
  <c r="Q612" i="7"/>
  <c r="R612" i="7"/>
  <c r="Q613" i="7"/>
  <c r="R613" i="7"/>
  <c r="Q614" i="7"/>
  <c r="R614" i="7"/>
  <c r="Q615" i="7"/>
  <c r="R615" i="7"/>
  <c r="Q616" i="7"/>
  <c r="R616" i="7"/>
  <c r="Q617" i="7"/>
  <c r="R617" i="7"/>
  <c r="Q618" i="7"/>
  <c r="R618" i="7"/>
  <c r="Q619" i="7"/>
  <c r="R619" i="7"/>
  <c r="Q620" i="7"/>
  <c r="R620" i="7"/>
  <c r="Q621" i="7"/>
  <c r="R621" i="7"/>
  <c r="Q622" i="7"/>
  <c r="R622" i="7"/>
  <c r="Q623" i="7"/>
  <c r="R623" i="7"/>
  <c r="Q624" i="7"/>
  <c r="R624" i="7"/>
  <c r="Q625" i="7"/>
  <c r="R625" i="7"/>
  <c r="Q626" i="7"/>
  <c r="R626" i="7"/>
  <c r="Q627" i="7"/>
  <c r="R627" i="7"/>
  <c r="Q628" i="7"/>
  <c r="R628" i="7"/>
  <c r="Q629" i="7"/>
  <c r="R629" i="7"/>
  <c r="Q630" i="7"/>
  <c r="R630" i="7"/>
  <c r="Q631" i="7"/>
  <c r="R631" i="7"/>
  <c r="Q632" i="7"/>
  <c r="R632" i="7"/>
  <c r="Q633" i="7"/>
  <c r="R633" i="7"/>
  <c r="Q634" i="7"/>
  <c r="R634" i="7"/>
  <c r="Q635" i="7"/>
  <c r="R635" i="7"/>
  <c r="Q636" i="7"/>
  <c r="R636" i="7"/>
  <c r="Q637" i="7"/>
  <c r="R637" i="7"/>
  <c r="Q638" i="7"/>
  <c r="R638" i="7"/>
  <c r="Q639" i="7"/>
  <c r="R639" i="7"/>
  <c r="Q640" i="7"/>
  <c r="R640" i="7"/>
  <c r="Q641" i="7"/>
  <c r="R641" i="7"/>
  <c r="Q642" i="7"/>
  <c r="R642" i="7"/>
  <c r="Q643" i="7"/>
  <c r="R643" i="7"/>
  <c r="Q644" i="7"/>
  <c r="R644" i="7"/>
  <c r="Q645" i="7"/>
  <c r="R645" i="7"/>
  <c r="Q646" i="7"/>
  <c r="R646" i="7"/>
  <c r="Q647" i="7"/>
  <c r="R647" i="7"/>
  <c r="Q648" i="7"/>
  <c r="R648" i="7"/>
  <c r="Q649" i="7"/>
  <c r="R649" i="7"/>
  <c r="Q650" i="7"/>
  <c r="R650" i="7"/>
  <c r="Q651" i="7"/>
  <c r="R651" i="7"/>
  <c r="Q652" i="7"/>
  <c r="R652" i="7"/>
  <c r="Q653" i="7"/>
  <c r="R653" i="7"/>
  <c r="Q654" i="7"/>
  <c r="R654" i="7"/>
  <c r="Q655" i="7"/>
  <c r="R655" i="7"/>
  <c r="Q656" i="7"/>
  <c r="R656" i="7"/>
  <c r="Q657" i="7"/>
  <c r="R657" i="7"/>
  <c r="Q658" i="7"/>
  <c r="R658" i="7"/>
  <c r="Q659" i="7"/>
  <c r="R659" i="7"/>
  <c r="Q660" i="7"/>
  <c r="R660" i="7"/>
  <c r="Q661" i="7"/>
  <c r="R661" i="7"/>
  <c r="Q662" i="7"/>
  <c r="R662" i="7"/>
  <c r="Q663" i="7"/>
  <c r="R663" i="7"/>
  <c r="Q664" i="7"/>
  <c r="R664" i="7"/>
  <c r="Q665" i="7"/>
  <c r="R665" i="7"/>
  <c r="Q666" i="7"/>
  <c r="R666" i="7"/>
  <c r="Q667" i="7"/>
  <c r="R667" i="7"/>
  <c r="Q668" i="7"/>
  <c r="R668" i="7"/>
  <c r="Q669" i="7"/>
  <c r="R669" i="7"/>
  <c r="Q670" i="7"/>
  <c r="R670" i="7"/>
  <c r="Q671" i="7"/>
  <c r="R671" i="7"/>
  <c r="Q672" i="7"/>
  <c r="R672" i="7"/>
  <c r="Q673" i="7"/>
  <c r="R673" i="7"/>
  <c r="Q674" i="7"/>
  <c r="R674" i="7"/>
  <c r="Q675" i="7"/>
  <c r="R675" i="7"/>
  <c r="Q676" i="7"/>
  <c r="R676" i="7"/>
  <c r="Q677" i="7"/>
  <c r="R677" i="7"/>
  <c r="Q678" i="7"/>
  <c r="R678" i="7"/>
  <c r="Q679" i="7"/>
  <c r="R679" i="7"/>
  <c r="Q680" i="7"/>
  <c r="R680" i="7"/>
  <c r="Q681" i="7"/>
  <c r="R681" i="7"/>
  <c r="Q682" i="7"/>
  <c r="R682" i="7"/>
  <c r="Q683" i="7"/>
  <c r="R683" i="7"/>
  <c r="Q684" i="7"/>
  <c r="R684" i="7"/>
  <c r="Q685" i="7"/>
  <c r="R685" i="7"/>
  <c r="Q686" i="7"/>
  <c r="R686" i="7"/>
  <c r="Q687" i="7"/>
  <c r="R687" i="7"/>
  <c r="Q688" i="7"/>
  <c r="R688" i="7"/>
  <c r="Q689" i="7"/>
  <c r="R689" i="7"/>
  <c r="Q690" i="7"/>
  <c r="R690" i="7"/>
  <c r="Q691" i="7"/>
  <c r="R691" i="7"/>
  <c r="Q692" i="7"/>
  <c r="R692" i="7"/>
  <c r="Q693" i="7"/>
  <c r="R693" i="7"/>
  <c r="Q694" i="7"/>
  <c r="R694" i="7"/>
  <c r="Q695" i="7"/>
  <c r="R695" i="7"/>
  <c r="Q696" i="7"/>
  <c r="R696" i="7"/>
  <c r="Q697" i="7"/>
  <c r="R697" i="7"/>
  <c r="Q698" i="7"/>
  <c r="R698" i="7"/>
  <c r="Q699" i="7"/>
  <c r="R699" i="7"/>
  <c r="Q700" i="7"/>
  <c r="R700" i="7"/>
  <c r="Q701" i="7"/>
  <c r="R701" i="7"/>
  <c r="Q702" i="7"/>
  <c r="R702" i="7"/>
  <c r="Q703" i="7"/>
  <c r="R703" i="7"/>
  <c r="Q704" i="7"/>
  <c r="R704" i="7"/>
  <c r="Q705" i="7"/>
  <c r="R705" i="7"/>
  <c r="Q706" i="7"/>
  <c r="R706" i="7"/>
  <c r="Q707" i="7"/>
  <c r="R707" i="7"/>
  <c r="Q708" i="7"/>
  <c r="R708" i="7"/>
  <c r="Q709" i="7"/>
  <c r="R709" i="7"/>
  <c r="Q710" i="7"/>
  <c r="R710" i="7"/>
  <c r="Q711" i="7"/>
  <c r="R711" i="7"/>
  <c r="Q712" i="7"/>
  <c r="R712" i="7"/>
  <c r="Q713" i="7"/>
  <c r="R713" i="7"/>
  <c r="Q714" i="7"/>
  <c r="R714" i="7"/>
  <c r="Q715" i="7"/>
  <c r="R715" i="7"/>
  <c r="Q716" i="7"/>
  <c r="R716" i="7"/>
  <c r="Q717" i="7"/>
  <c r="R717" i="7"/>
  <c r="Q718" i="7"/>
  <c r="R718" i="7"/>
  <c r="Q719" i="7"/>
  <c r="R719" i="7"/>
  <c r="Q720" i="7"/>
  <c r="R720" i="7"/>
  <c r="Q721" i="7"/>
  <c r="R721" i="7"/>
  <c r="Q722" i="7"/>
  <c r="R722" i="7"/>
  <c r="Q723" i="7"/>
  <c r="R723" i="7"/>
  <c r="Q724" i="7"/>
  <c r="R724" i="7"/>
  <c r="Q725" i="7"/>
  <c r="R725" i="7"/>
  <c r="Q726" i="7"/>
  <c r="R726" i="7"/>
  <c r="Q727" i="7"/>
  <c r="R727" i="7"/>
  <c r="Q728" i="7"/>
  <c r="R728" i="7"/>
  <c r="Q729" i="7"/>
  <c r="R729" i="7"/>
  <c r="Q730" i="7"/>
  <c r="R730" i="7"/>
  <c r="Q731" i="7"/>
  <c r="R731" i="7"/>
  <c r="Q732" i="7"/>
  <c r="R732" i="7"/>
  <c r="Q733" i="7"/>
  <c r="R733" i="7"/>
  <c r="Q734" i="7"/>
  <c r="R734" i="7"/>
  <c r="Q735" i="7"/>
  <c r="R735" i="7"/>
  <c r="Q736" i="7"/>
  <c r="R736" i="7"/>
  <c r="Q737" i="7"/>
  <c r="R737" i="7"/>
  <c r="Q738" i="7"/>
  <c r="R738" i="7"/>
  <c r="Q739" i="7"/>
  <c r="R739" i="7"/>
  <c r="Q740" i="7"/>
  <c r="R740" i="7"/>
  <c r="Q741" i="7"/>
  <c r="R741" i="7"/>
  <c r="Q742" i="7"/>
  <c r="R742" i="7"/>
  <c r="Q743" i="7"/>
  <c r="R743" i="7"/>
  <c r="Q744" i="7"/>
  <c r="R744" i="7"/>
  <c r="Q745" i="7"/>
  <c r="R745" i="7"/>
  <c r="Q746" i="7"/>
  <c r="R746" i="7"/>
  <c r="Q747" i="7"/>
  <c r="R747" i="7"/>
  <c r="Q748" i="7"/>
  <c r="R748" i="7"/>
  <c r="Q749" i="7"/>
  <c r="R749" i="7"/>
  <c r="Q750" i="7"/>
  <c r="R750" i="7"/>
  <c r="Q751" i="7"/>
  <c r="R751" i="7"/>
  <c r="Q752" i="7"/>
  <c r="R752" i="7"/>
  <c r="Q753" i="7"/>
  <c r="R753" i="7"/>
  <c r="Q754" i="7"/>
  <c r="R754" i="7"/>
  <c r="Q755" i="7"/>
  <c r="R755" i="7"/>
  <c r="Q756" i="7"/>
  <c r="R756" i="7"/>
  <c r="Q757" i="7"/>
  <c r="R757" i="7"/>
  <c r="Q758" i="7"/>
  <c r="R758" i="7"/>
  <c r="Q759" i="7"/>
  <c r="R759" i="7"/>
  <c r="Q760" i="7"/>
  <c r="R760" i="7"/>
  <c r="Q761" i="7"/>
  <c r="R761" i="7"/>
  <c r="Q762" i="7"/>
  <c r="R762" i="7"/>
  <c r="Q763" i="7"/>
  <c r="R763" i="7"/>
  <c r="Q764" i="7"/>
  <c r="R764" i="7"/>
  <c r="Q765" i="7"/>
  <c r="R765" i="7"/>
  <c r="Q766" i="7"/>
  <c r="R766" i="7"/>
  <c r="Q767" i="7"/>
  <c r="R767" i="7"/>
  <c r="Q768" i="7"/>
  <c r="R768" i="7"/>
  <c r="Q769" i="7"/>
  <c r="R769" i="7"/>
  <c r="Q770" i="7"/>
  <c r="R770" i="7"/>
  <c r="Q771" i="7"/>
  <c r="R771" i="7"/>
  <c r="Q772" i="7"/>
  <c r="R772" i="7"/>
  <c r="Q773" i="7"/>
  <c r="R773" i="7"/>
  <c r="Q774" i="7"/>
  <c r="R774" i="7"/>
  <c r="Q775" i="7"/>
  <c r="R775" i="7"/>
  <c r="Q776" i="7"/>
  <c r="R776" i="7"/>
  <c r="Q777" i="7"/>
  <c r="R777" i="7"/>
  <c r="Q778" i="7"/>
  <c r="R778" i="7"/>
  <c r="Q779" i="7"/>
  <c r="R779" i="7"/>
  <c r="Q780" i="7"/>
  <c r="R780" i="7"/>
  <c r="Q781" i="7"/>
  <c r="R781" i="7"/>
  <c r="Q782" i="7"/>
  <c r="R782" i="7"/>
  <c r="Q783" i="7"/>
  <c r="R783" i="7"/>
  <c r="Q784" i="7"/>
  <c r="R784" i="7"/>
  <c r="Q785" i="7"/>
  <c r="R785" i="7"/>
  <c r="Q786" i="7"/>
  <c r="R786" i="7"/>
  <c r="Q787" i="7"/>
  <c r="R787" i="7"/>
  <c r="Q788" i="7"/>
  <c r="R788" i="7"/>
  <c r="Q789" i="7"/>
  <c r="R789" i="7"/>
  <c r="Q790" i="7"/>
  <c r="R790" i="7"/>
  <c r="Q791" i="7"/>
  <c r="R791" i="7"/>
  <c r="Q792" i="7"/>
  <c r="R792" i="7"/>
  <c r="Q793" i="7"/>
  <c r="R793" i="7"/>
  <c r="Q794" i="7"/>
  <c r="R794" i="7"/>
  <c r="Q795" i="7"/>
  <c r="R795" i="7"/>
  <c r="Q796" i="7"/>
  <c r="R796" i="7"/>
  <c r="Q797" i="7"/>
  <c r="R797" i="7"/>
  <c r="Q798" i="7"/>
  <c r="R798" i="7"/>
  <c r="Q799" i="7"/>
  <c r="R799" i="7"/>
  <c r="Q800" i="7"/>
  <c r="R800" i="7"/>
  <c r="Q801" i="7"/>
  <c r="R801" i="7"/>
  <c r="Q802" i="7"/>
  <c r="R802" i="7"/>
  <c r="Q803" i="7"/>
  <c r="R803" i="7"/>
  <c r="Q804" i="7"/>
  <c r="R804" i="7"/>
  <c r="Q805" i="7"/>
  <c r="R805" i="7"/>
  <c r="Q806" i="7"/>
  <c r="R806" i="7"/>
  <c r="Q807" i="7"/>
  <c r="R807" i="7"/>
  <c r="Q808" i="7"/>
  <c r="R808" i="7"/>
  <c r="Q809" i="7"/>
  <c r="R809" i="7"/>
  <c r="Q810" i="7"/>
  <c r="R810" i="7"/>
  <c r="Q811" i="7"/>
  <c r="R811" i="7"/>
  <c r="Q812" i="7"/>
  <c r="R812" i="7"/>
  <c r="Q813" i="7"/>
  <c r="R813" i="7"/>
  <c r="Q814" i="7"/>
  <c r="R814" i="7"/>
  <c r="Q815" i="7"/>
  <c r="R815" i="7"/>
  <c r="Q816" i="7"/>
  <c r="R816" i="7"/>
  <c r="Q817" i="7"/>
  <c r="R817" i="7"/>
  <c r="Q818" i="7"/>
  <c r="R818" i="7"/>
  <c r="Q819" i="7"/>
  <c r="R819" i="7"/>
  <c r="Q820" i="7"/>
  <c r="R820" i="7"/>
  <c r="Q821" i="7"/>
  <c r="R821" i="7"/>
  <c r="Q822" i="7"/>
  <c r="R822" i="7"/>
  <c r="Q823" i="7"/>
  <c r="R823" i="7"/>
  <c r="Q824" i="7"/>
  <c r="R824" i="7"/>
  <c r="Q825" i="7"/>
  <c r="R825" i="7"/>
  <c r="Q826" i="7"/>
  <c r="R826" i="7"/>
  <c r="Q827" i="7"/>
  <c r="R827" i="7"/>
  <c r="Q828" i="7"/>
  <c r="R828" i="7"/>
  <c r="Q829" i="7"/>
  <c r="R829" i="7"/>
  <c r="Q830" i="7"/>
  <c r="R830" i="7"/>
  <c r="Q831" i="7"/>
  <c r="R831" i="7"/>
  <c r="Q832" i="7"/>
  <c r="R832" i="7"/>
  <c r="Q833" i="7"/>
  <c r="R833" i="7"/>
  <c r="Q834" i="7"/>
  <c r="R834" i="7"/>
  <c r="Q835" i="7"/>
  <c r="R835" i="7"/>
  <c r="Q836" i="7"/>
  <c r="R836" i="7"/>
  <c r="Q837" i="7"/>
  <c r="R837" i="7"/>
  <c r="Q838" i="7"/>
  <c r="R838" i="7"/>
  <c r="Q839" i="7"/>
  <c r="R839" i="7"/>
  <c r="Q840" i="7"/>
  <c r="R840" i="7"/>
  <c r="Q841" i="7"/>
  <c r="R841" i="7"/>
  <c r="Q842" i="7"/>
  <c r="R842" i="7"/>
  <c r="Q843" i="7"/>
  <c r="R843" i="7"/>
  <c r="Q844" i="7"/>
  <c r="R844" i="7"/>
  <c r="Q845" i="7"/>
  <c r="R845" i="7"/>
  <c r="Q846" i="7"/>
  <c r="R846" i="7"/>
  <c r="Q847" i="7"/>
  <c r="R847" i="7"/>
  <c r="Q848" i="7"/>
  <c r="R848" i="7"/>
  <c r="Q849" i="7"/>
  <c r="R849" i="7"/>
  <c r="Q850" i="7"/>
  <c r="R850" i="7"/>
  <c r="Q851" i="7"/>
  <c r="R851" i="7"/>
  <c r="Q852" i="7"/>
  <c r="R852" i="7"/>
  <c r="Q853" i="7"/>
  <c r="R853" i="7"/>
  <c r="Q854" i="7"/>
  <c r="R854" i="7"/>
  <c r="Q855" i="7"/>
  <c r="R855" i="7"/>
  <c r="Q856" i="7"/>
  <c r="R856" i="7"/>
  <c r="Q857" i="7"/>
  <c r="R857" i="7"/>
  <c r="Q858" i="7"/>
  <c r="R858" i="7"/>
  <c r="Q859" i="7"/>
  <c r="R859" i="7"/>
  <c r="Q860" i="7"/>
  <c r="R860" i="7"/>
  <c r="Q861" i="7"/>
  <c r="R861" i="7"/>
  <c r="Q862" i="7"/>
  <c r="R862" i="7"/>
  <c r="Q863" i="7"/>
  <c r="R863" i="7"/>
  <c r="Q864" i="7"/>
  <c r="R864" i="7"/>
  <c r="Q865" i="7"/>
  <c r="R865" i="7"/>
  <c r="Q866" i="7"/>
  <c r="R866" i="7"/>
  <c r="Q867" i="7"/>
  <c r="R867" i="7"/>
  <c r="Q868" i="7"/>
  <c r="R868" i="7"/>
  <c r="Q869" i="7"/>
  <c r="R869" i="7"/>
  <c r="Q870" i="7"/>
  <c r="R870" i="7"/>
  <c r="Q871" i="7"/>
  <c r="R871" i="7"/>
  <c r="Q872" i="7"/>
  <c r="R872" i="7"/>
  <c r="Q873" i="7"/>
  <c r="R873" i="7"/>
  <c r="Q874" i="7"/>
  <c r="R874" i="7"/>
  <c r="Q875" i="7"/>
  <c r="R875" i="7"/>
  <c r="Q876" i="7"/>
  <c r="R876" i="7"/>
  <c r="Q877" i="7"/>
  <c r="R877" i="7"/>
  <c r="Q878" i="7"/>
  <c r="R878" i="7"/>
  <c r="Q879" i="7"/>
  <c r="R879" i="7"/>
  <c r="Q880" i="7"/>
  <c r="R880" i="7"/>
  <c r="Q881" i="7"/>
  <c r="R881" i="7"/>
  <c r="Q882" i="7"/>
  <c r="R882" i="7"/>
  <c r="Q883" i="7"/>
  <c r="R883" i="7"/>
  <c r="Q884" i="7"/>
  <c r="R884" i="7"/>
  <c r="Q885" i="7"/>
  <c r="R885" i="7"/>
  <c r="Q886" i="7"/>
  <c r="R886" i="7"/>
  <c r="Q887" i="7"/>
  <c r="R887" i="7"/>
  <c r="Q888" i="7"/>
  <c r="R888" i="7"/>
  <c r="Q889" i="7"/>
  <c r="R889" i="7"/>
  <c r="Q890" i="7"/>
  <c r="R890" i="7"/>
  <c r="Q891" i="7"/>
  <c r="R891" i="7"/>
  <c r="Q892" i="7"/>
  <c r="R892" i="7"/>
  <c r="Q893" i="7"/>
  <c r="R893" i="7"/>
  <c r="Q894" i="7"/>
  <c r="R894" i="7"/>
  <c r="Q895" i="7"/>
  <c r="R895" i="7"/>
  <c r="Q896" i="7"/>
  <c r="R896" i="7"/>
  <c r="Q897" i="7"/>
  <c r="R897" i="7"/>
  <c r="Q898" i="7"/>
  <c r="R898" i="7"/>
  <c r="Q899" i="7"/>
  <c r="R899" i="7"/>
  <c r="Q900" i="7"/>
  <c r="R900" i="7"/>
  <c r="Q901" i="7"/>
  <c r="R901" i="7"/>
  <c r="Q902" i="7"/>
  <c r="R902" i="7"/>
  <c r="Q903" i="7"/>
  <c r="R903" i="7"/>
  <c r="Q904" i="7"/>
  <c r="R904" i="7"/>
  <c r="Q905" i="7"/>
  <c r="R905" i="7"/>
  <c r="Q906" i="7"/>
  <c r="R906" i="7"/>
  <c r="Q907" i="7"/>
  <c r="R907" i="7"/>
  <c r="Q908" i="7"/>
  <c r="R908" i="7"/>
  <c r="Q909" i="7"/>
  <c r="R909" i="7"/>
  <c r="Q910" i="7"/>
  <c r="R910" i="7"/>
  <c r="Q911" i="7"/>
  <c r="R911" i="7"/>
  <c r="Q912" i="7"/>
  <c r="R912" i="7"/>
  <c r="Q913" i="7"/>
  <c r="R913" i="7"/>
  <c r="Q914" i="7"/>
  <c r="R914" i="7"/>
  <c r="Q915" i="7"/>
  <c r="R915" i="7"/>
  <c r="Q916" i="7"/>
  <c r="R916" i="7"/>
  <c r="Q917" i="7"/>
  <c r="R917" i="7"/>
  <c r="Q918" i="7"/>
  <c r="R918" i="7"/>
  <c r="Q919" i="7"/>
  <c r="R919" i="7"/>
  <c r="Q920" i="7"/>
  <c r="R920" i="7"/>
  <c r="Q921" i="7"/>
  <c r="R921" i="7"/>
  <c r="Q922" i="7"/>
  <c r="R922" i="7"/>
  <c r="Q923" i="7"/>
  <c r="R923" i="7"/>
  <c r="Q924" i="7"/>
  <c r="R924" i="7"/>
  <c r="Q925" i="7"/>
  <c r="R925" i="7"/>
  <c r="Q926" i="7"/>
  <c r="R926" i="7"/>
  <c r="Q927" i="7"/>
  <c r="R927" i="7"/>
  <c r="Q928" i="7"/>
  <c r="R928" i="7"/>
  <c r="Q929" i="7"/>
  <c r="R929" i="7"/>
  <c r="Q930" i="7"/>
  <c r="R930" i="7"/>
  <c r="Q931" i="7"/>
  <c r="R931" i="7"/>
  <c r="Q932" i="7"/>
  <c r="R932" i="7"/>
  <c r="Q933" i="7"/>
  <c r="R933" i="7"/>
  <c r="Q934" i="7"/>
  <c r="R934" i="7"/>
  <c r="Q935" i="7"/>
  <c r="R935" i="7"/>
  <c r="Q936" i="7"/>
  <c r="R936" i="7"/>
  <c r="Q937" i="7"/>
  <c r="R937" i="7"/>
  <c r="Q938" i="7"/>
  <c r="R938" i="7"/>
  <c r="Q939" i="7"/>
  <c r="R939" i="7"/>
  <c r="Q940" i="7"/>
  <c r="R940" i="7"/>
  <c r="Q941" i="7"/>
  <c r="R941" i="7"/>
  <c r="Q942" i="7"/>
  <c r="R942" i="7"/>
  <c r="Q943" i="7"/>
  <c r="R943" i="7"/>
  <c r="Q944" i="7"/>
  <c r="R944" i="7"/>
  <c r="Q945" i="7"/>
  <c r="R945" i="7"/>
  <c r="Q946" i="7"/>
  <c r="R946" i="7"/>
  <c r="Q947" i="7"/>
  <c r="R947" i="7"/>
  <c r="Q948" i="7"/>
  <c r="R948" i="7"/>
  <c r="Q949" i="7"/>
  <c r="R949" i="7"/>
  <c r="Q950" i="7"/>
  <c r="R950" i="7"/>
  <c r="Q951" i="7"/>
  <c r="R951" i="7"/>
  <c r="Q952" i="7"/>
  <c r="R952" i="7"/>
  <c r="Q953" i="7"/>
  <c r="R953" i="7"/>
  <c r="Q954" i="7"/>
  <c r="R954" i="7"/>
  <c r="Q955" i="7"/>
  <c r="R955" i="7"/>
  <c r="Q956" i="7"/>
  <c r="R956" i="7"/>
  <c r="Q957" i="7"/>
  <c r="R957" i="7"/>
  <c r="Q958" i="7"/>
  <c r="R958" i="7"/>
  <c r="Q959" i="7"/>
  <c r="R959" i="7"/>
  <c r="Q960" i="7"/>
  <c r="R960" i="7"/>
  <c r="Q961" i="7"/>
  <c r="R961" i="7"/>
  <c r="Q962" i="7"/>
  <c r="R962" i="7"/>
  <c r="Q963" i="7"/>
  <c r="R963" i="7"/>
  <c r="Q964" i="7"/>
  <c r="R964" i="7"/>
  <c r="Q965" i="7"/>
  <c r="R965" i="7"/>
  <c r="Q966" i="7"/>
  <c r="R966" i="7"/>
  <c r="Q967" i="7"/>
  <c r="R967" i="7"/>
  <c r="Q968" i="7"/>
  <c r="R968" i="7"/>
  <c r="Q969" i="7"/>
  <c r="R969" i="7"/>
  <c r="Q970" i="7"/>
  <c r="R970" i="7"/>
  <c r="Q971" i="7"/>
  <c r="R971" i="7"/>
  <c r="Q972" i="7"/>
  <c r="R972" i="7"/>
  <c r="Q973" i="7"/>
  <c r="R973" i="7"/>
  <c r="Q974" i="7"/>
  <c r="R974" i="7"/>
  <c r="Q975" i="7"/>
  <c r="R975" i="7"/>
  <c r="Q976" i="7"/>
  <c r="R976" i="7"/>
  <c r="Q977" i="7"/>
  <c r="R977" i="7"/>
  <c r="Q978" i="7"/>
  <c r="R978" i="7"/>
  <c r="Q979" i="7"/>
  <c r="R979" i="7"/>
  <c r="Q980" i="7"/>
  <c r="R980" i="7"/>
  <c r="Q981" i="7"/>
  <c r="R981" i="7"/>
  <c r="Q982" i="7"/>
  <c r="R982" i="7"/>
  <c r="Q983" i="7"/>
  <c r="R983" i="7"/>
  <c r="Q984" i="7"/>
  <c r="R984" i="7"/>
  <c r="Q985" i="7"/>
  <c r="R985" i="7"/>
  <c r="Q986" i="7"/>
  <c r="R986" i="7"/>
  <c r="Q987" i="7"/>
  <c r="R987" i="7"/>
  <c r="Q988" i="7"/>
  <c r="R988" i="7"/>
  <c r="Q989" i="7"/>
  <c r="R989" i="7"/>
  <c r="Q990" i="7"/>
  <c r="R990" i="7"/>
  <c r="Q991" i="7"/>
  <c r="R991" i="7"/>
  <c r="Q992" i="7"/>
  <c r="R992" i="7"/>
  <c r="Q993" i="7"/>
  <c r="R993" i="7"/>
  <c r="Q994" i="7"/>
  <c r="R994" i="7"/>
  <c r="Q995" i="7"/>
  <c r="R995" i="7"/>
  <c r="Q996" i="7"/>
  <c r="R996" i="7"/>
  <c r="Q997" i="7"/>
  <c r="R997" i="7"/>
  <c r="Q998" i="7"/>
  <c r="R998" i="7"/>
  <c r="Q999" i="7"/>
  <c r="R999" i="7"/>
  <c r="Q1000" i="7"/>
  <c r="R1000" i="7"/>
  <c r="Q1001" i="7"/>
  <c r="R1001" i="7"/>
  <c r="Q1002" i="7"/>
  <c r="R1002" i="7"/>
  <c r="Q1003" i="7"/>
  <c r="R1003" i="7"/>
  <c r="Q5" i="7"/>
  <c r="R5" i="7"/>
  <c r="R4" i="7"/>
  <c r="U4" i="7"/>
  <c r="Q4" i="7"/>
  <c r="M5" i="7"/>
  <c r="M6" i="7"/>
  <c r="N6" i="7"/>
  <c r="M7" i="7"/>
  <c r="N7" i="7"/>
  <c r="M8" i="7"/>
  <c r="N8" i="7"/>
  <c r="M9" i="7"/>
  <c r="N9" i="7"/>
  <c r="M10" i="7"/>
  <c r="N10" i="7"/>
  <c r="M11" i="7"/>
  <c r="N11" i="7"/>
  <c r="M12" i="7"/>
  <c r="N12" i="7"/>
  <c r="M13" i="7"/>
  <c r="N13" i="7"/>
  <c r="M14" i="7"/>
  <c r="N14" i="7"/>
  <c r="M15" i="7"/>
  <c r="N15" i="7"/>
  <c r="M16" i="7"/>
  <c r="N16" i="7"/>
  <c r="M17" i="7"/>
  <c r="N17" i="7"/>
  <c r="M18" i="7"/>
  <c r="N18" i="7"/>
  <c r="M19" i="7"/>
  <c r="N19" i="7"/>
  <c r="M20" i="7"/>
  <c r="N20" i="7"/>
  <c r="M21" i="7"/>
  <c r="N21" i="7"/>
  <c r="M22" i="7"/>
  <c r="N22" i="7"/>
  <c r="M23" i="7"/>
  <c r="N23" i="7"/>
  <c r="M24" i="7"/>
  <c r="N24" i="7"/>
  <c r="M25" i="7"/>
  <c r="N25" i="7"/>
  <c r="M26" i="7"/>
  <c r="N26" i="7"/>
  <c r="M27" i="7"/>
  <c r="N27" i="7"/>
  <c r="M28" i="7"/>
  <c r="N28" i="7"/>
  <c r="M29" i="7"/>
  <c r="N29" i="7"/>
  <c r="M30" i="7"/>
  <c r="N30" i="7"/>
  <c r="M31" i="7"/>
  <c r="N31" i="7"/>
  <c r="M32" i="7"/>
  <c r="N32" i="7"/>
  <c r="M33" i="7"/>
  <c r="N33" i="7"/>
  <c r="M34" i="7"/>
  <c r="N34" i="7"/>
  <c r="M35" i="7"/>
  <c r="N35" i="7"/>
  <c r="M36" i="7"/>
  <c r="N36" i="7"/>
  <c r="M37" i="7"/>
  <c r="N37" i="7"/>
  <c r="M38" i="7"/>
  <c r="N38" i="7"/>
  <c r="M39" i="7"/>
  <c r="N39" i="7"/>
  <c r="M40" i="7"/>
  <c r="N40" i="7"/>
  <c r="M41" i="7"/>
  <c r="N41" i="7"/>
  <c r="M42" i="7"/>
  <c r="N42" i="7"/>
  <c r="M43" i="7"/>
  <c r="N43" i="7"/>
  <c r="M44" i="7"/>
  <c r="N44" i="7"/>
  <c r="M45" i="7"/>
  <c r="N45" i="7"/>
  <c r="M46" i="7"/>
  <c r="N46" i="7"/>
  <c r="M47" i="7"/>
  <c r="N47" i="7"/>
  <c r="M48" i="7"/>
  <c r="N48" i="7"/>
  <c r="M49" i="7"/>
  <c r="N49" i="7"/>
  <c r="M50" i="7"/>
  <c r="N50" i="7"/>
  <c r="M51" i="7"/>
  <c r="N51" i="7"/>
  <c r="M52" i="7"/>
  <c r="N52" i="7"/>
  <c r="M53" i="7"/>
  <c r="N53" i="7"/>
  <c r="M54" i="7"/>
  <c r="N54" i="7"/>
  <c r="M55" i="7"/>
  <c r="N55" i="7"/>
  <c r="M56" i="7"/>
  <c r="N56" i="7"/>
  <c r="M57" i="7"/>
  <c r="N57" i="7"/>
  <c r="M58" i="7"/>
  <c r="N58" i="7"/>
  <c r="M59" i="7"/>
  <c r="N59" i="7"/>
  <c r="M60" i="7"/>
  <c r="N60" i="7"/>
  <c r="M61" i="7"/>
  <c r="N61" i="7"/>
  <c r="M62" i="7"/>
  <c r="N62" i="7"/>
  <c r="M63" i="7"/>
  <c r="N63" i="7"/>
  <c r="M64" i="7"/>
  <c r="N64" i="7"/>
  <c r="M65" i="7"/>
  <c r="N65" i="7"/>
  <c r="M66" i="7"/>
  <c r="N66" i="7"/>
  <c r="M67" i="7"/>
  <c r="N67" i="7"/>
  <c r="M68" i="7"/>
  <c r="N68" i="7"/>
  <c r="M69" i="7"/>
  <c r="N69" i="7"/>
  <c r="M70" i="7"/>
  <c r="N70" i="7"/>
  <c r="M71" i="7"/>
  <c r="N71" i="7"/>
  <c r="M72" i="7"/>
  <c r="N72" i="7"/>
  <c r="M73" i="7"/>
  <c r="N73" i="7"/>
  <c r="M74" i="7"/>
  <c r="N74" i="7"/>
  <c r="M75" i="7"/>
  <c r="N75" i="7"/>
  <c r="M76" i="7"/>
  <c r="N76" i="7"/>
  <c r="M77" i="7"/>
  <c r="N77" i="7"/>
  <c r="M78" i="7"/>
  <c r="N78" i="7"/>
  <c r="M79" i="7"/>
  <c r="N79" i="7"/>
  <c r="M80" i="7"/>
  <c r="N80" i="7"/>
  <c r="M81" i="7"/>
  <c r="N81" i="7"/>
  <c r="M82" i="7"/>
  <c r="N82" i="7"/>
  <c r="M83" i="7"/>
  <c r="N83" i="7"/>
  <c r="M84" i="7"/>
  <c r="N84" i="7"/>
  <c r="M85" i="7"/>
  <c r="N85" i="7"/>
  <c r="M86" i="7"/>
  <c r="N86" i="7"/>
  <c r="M87" i="7"/>
  <c r="N87" i="7"/>
  <c r="M88" i="7"/>
  <c r="N88" i="7"/>
  <c r="M89" i="7"/>
  <c r="N89" i="7"/>
  <c r="M90" i="7"/>
  <c r="N90" i="7"/>
  <c r="M91" i="7"/>
  <c r="N91" i="7"/>
  <c r="M92" i="7"/>
  <c r="N92" i="7"/>
  <c r="M93" i="7"/>
  <c r="N93" i="7"/>
  <c r="M94" i="7"/>
  <c r="N94" i="7"/>
  <c r="M95" i="7"/>
  <c r="N95" i="7"/>
  <c r="M96" i="7"/>
  <c r="N96" i="7"/>
  <c r="M97" i="7"/>
  <c r="N97" i="7"/>
  <c r="M98" i="7"/>
  <c r="N98" i="7"/>
  <c r="M99" i="7"/>
  <c r="N99" i="7"/>
  <c r="M100" i="7"/>
  <c r="N100" i="7"/>
  <c r="M101" i="7"/>
  <c r="N101" i="7"/>
  <c r="M102" i="7"/>
  <c r="N102" i="7"/>
  <c r="M103" i="7"/>
  <c r="N103" i="7"/>
  <c r="M104" i="7"/>
  <c r="N104" i="7"/>
  <c r="M105" i="7"/>
  <c r="N105" i="7"/>
  <c r="M106" i="7"/>
  <c r="N106" i="7"/>
  <c r="M107" i="7"/>
  <c r="N107" i="7"/>
  <c r="M108" i="7"/>
  <c r="N108" i="7"/>
  <c r="M109" i="7"/>
  <c r="N109" i="7"/>
  <c r="M110" i="7"/>
  <c r="N110" i="7"/>
  <c r="M111" i="7"/>
  <c r="N111" i="7"/>
  <c r="M112" i="7"/>
  <c r="N112" i="7"/>
  <c r="M113" i="7"/>
  <c r="N113" i="7"/>
  <c r="M114" i="7"/>
  <c r="N114" i="7"/>
  <c r="M115" i="7"/>
  <c r="N115" i="7"/>
  <c r="M116" i="7"/>
  <c r="N116" i="7"/>
  <c r="M117" i="7"/>
  <c r="N117" i="7"/>
  <c r="M118" i="7"/>
  <c r="N118" i="7"/>
  <c r="M119" i="7"/>
  <c r="N119" i="7"/>
  <c r="M120" i="7"/>
  <c r="N120" i="7"/>
  <c r="M121" i="7"/>
  <c r="N121" i="7"/>
  <c r="M122" i="7"/>
  <c r="N122" i="7"/>
  <c r="M123" i="7"/>
  <c r="N123" i="7"/>
  <c r="M124" i="7"/>
  <c r="N124" i="7"/>
  <c r="M125" i="7"/>
  <c r="N125" i="7"/>
  <c r="M126" i="7"/>
  <c r="N126" i="7"/>
  <c r="M127" i="7"/>
  <c r="N127" i="7"/>
  <c r="M128" i="7"/>
  <c r="N128" i="7"/>
  <c r="M129" i="7"/>
  <c r="N129" i="7"/>
  <c r="M130" i="7"/>
  <c r="N130" i="7"/>
  <c r="M131" i="7"/>
  <c r="N131" i="7"/>
  <c r="M132" i="7"/>
  <c r="N132" i="7"/>
  <c r="M133" i="7"/>
  <c r="N133" i="7"/>
  <c r="M134" i="7"/>
  <c r="N134" i="7"/>
  <c r="M135" i="7"/>
  <c r="N135" i="7"/>
  <c r="M136" i="7"/>
  <c r="N136" i="7"/>
  <c r="M137" i="7"/>
  <c r="N137" i="7"/>
  <c r="M138" i="7"/>
  <c r="N138" i="7"/>
  <c r="M139" i="7"/>
  <c r="N139" i="7"/>
  <c r="M140" i="7"/>
  <c r="N140" i="7"/>
  <c r="M141" i="7"/>
  <c r="N141" i="7"/>
  <c r="M142" i="7"/>
  <c r="N142" i="7"/>
  <c r="M143" i="7"/>
  <c r="N143" i="7"/>
  <c r="M144" i="7"/>
  <c r="N144" i="7"/>
  <c r="M145" i="7"/>
  <c r="N145" i="7"/>
  <c r="M146" i="7"/>
  <c r="N146" i="7"/>
  <c r="M147" i="7"/>
  <c r="N147" i="7"/>
  <c r="M148" i="7"/>
  <c r="N148" i="7"/>
  <c r="M149" i="7"/>
  <c r="N149" i="7"/>
  <c r="M150" i="7"/>
  <c r="N150" i="7"/>
  <c r="M151" i="7"/>
  <c r="N151" i="7"/>
  <c r="M152" i="7"/>
  <c r="N152" i="7"/>
  <c r="M153" i="7"/>
  <c r="N153" i="7"/>
  <c r="M154" i="7"/>
  <c r="N154" i="7"/>
  <c r="M155" i="7"/>
  <c r="N155" i="7"/>
  <c r="M156" i="7"/>
  <c r="N156" i="7"/>
  <c r="M157" i="7"/>
  <c r="N157" i="7"/>
  <c r="M158" i="7"/>
  <c r="N158" i="7"/>
  <c r="M159" i="7"/>
  <c r="N159" i="7"/>
  <c r="M160" i="7"/>
  <c r="N160" i="7"/>
  <c r="M161" i="7"/>
  <c r="N161" i="7"/>
  <c r="M162" i="7"/>
  <c r="N162" i="7"/>
  <c r="M163" i="7"/>
  <c r="N163" i="7"/>
  <c r="M164" i="7"/>
  <c r="N164" i="7"/>
  <c r="M165" i="7"/>
  <c r="N165" i="7"/>
  <c r="M166" i="7"/>
  <c r="N166" i="7"/>
  <c r="M167" i="7"/>
  <c r="N167" i="7"/>
  <c r="M168" i="7"/>
  <c r="N168" i="7"/>
  <c r="M169" i="7"/>
  <c r="N169" i="7"/>
  <c r="M170" i="7"/>
  <c r="N170" i="7"/>
  <c r="M171" i="7"/>
  <c r="N171" i="7"/>
  <c r="M172" i="7"/>
  <c r="N172" i="7"/>
  <c r="M173" i="7"/>
  <c r="N173" i="7"/>
  <c r="M174" i="7"/>
  <c r="N174" i="7"/>
  <c r="M175" i="7"/>
  <c r="N175" i="7"/>
  <c r="M176" i="7"/>
  <c r="N176" i="7"/>
  <c r="M177" i="7"/>
  <c r="N177" i="7"/>
  <c r="M178" i="7"/>
  <c r="N178" i="7"/>
  <c r="M179" i="7"/>
  <c r="N179" i="7"/>
  <c r="M180" i="7"/>
  <c r="N180" i="7"/>
  <c r="M181" i="7"/>
  <c r="N181" i="7"/>
  <c r="M182" i="7"/>
  <c r="N182" i="7"/>
  <c r="M183" i="7"/>
  <c r="N183" i="7"/>
  <c r="M184" i="7"/>
  <c r="N184" i="7"/>
  <c r="M185" i="7"/>
  <c r="N185" i="7"/>
  <c r="M186" i="7"/>
  <c r="N186" i="7"/>
  <c r="M187" i="7"/>
  <c r="N187" i="7"/>
  <c r="M188" i="7"/>
  <c r="N188" i="7"/>
  <c r="M189" i="7"/>
  <c r="N189" i="7"/>
  <c r="M190" i="7"/>
  <c r="N190" i="7"/>
  <c r="M191" i="7"/>
  <c r="N191" i="7"/>
  <c r="M192" i="7"/>
  <c r="N192" i="7"/>
  <c r="M193" i="7"/>
  <c r="N193" i="7"/>
  <c r="M194" i="7"/>
  <c r="N194" i="7"/>
  <c r="M195" i="7"/>
  <c r="N195" i="7"/>
  <c r="M196" i="7"/>
  <c r="N196" i="7"/>
  <c r="M197" i="7"/>
  <c r="N197" i="7"/>
  <c r="M198" i="7"/>
  <c r="N198" i="7"/>
  <c r="M199" i="7"/>
  <c r="N199" i="7"/>
  <c r="M200" i="7"/>
  <c r="N200" i="7"/>
  <c r="M201" i="7"/>
  <c r="N201" i="7"/>
  <c r="M202" i="7"/>
  <c r="N202" i="7"/>
  <c r="M203" i="7"/>
  <c r="N203" i="7"/>
  <c r="M204" i="7"/>
  <c r="N204" i="7"/>
  <c r="M205" i="7"/>
  <c r="N205" i="7"/>
  <c r="M206" i="7"/>
  <c r="N206" i="7"/>
  <c r="M207" i="7"/>
  <c r="N207" i="7"/>
  <c r="M208" i="7"/>
  <c r="N208" i="7"/>
  <c r="M209" i="7"/>
  <c r="N209" i="7"/>
  <c r="M210" i="7"/>
  <c r="N210" i="7"/>
  <c r="M211" i="7"/>
  <c r="N211" i="7"/>
  <c r="M212" i="7"/>
  <c r="N212" i="7"/>
  <c r="M213" i="7"/>
  <c r="N213" i="7"/>
  <c r="M214" i="7"/>
  <c r="N214" i="7"/>
  <c r="M215" i="7"/>
  <c r="N215" i="7"/>
  <c r="M216" i="7"/>
  <c r="N216" i="7"/>
  <c r="M217" i="7"/>
  <c r="N217" i="7"/>
  <c r="M218" i="7"/>
  <c r="N218" i="7"/>
  <c r="M219" i="7"/>
  <c r="N219" i="7"/>
  <c r="M220" i="7"/>
  <c r="N220" i="7"/>
  <c r="M221" i="7"/>
  <c r="N221" i="7"/>
  <c r="M222" i="7"/>
  <c r="N222" i="7"/>
  <c r="M223" i="7"/>
  <c r="N223" i="7"/>
  <c r="M224" i="7"/>
  <c r="N224" i="7"/>
  <c r="M225" i="7"/>
  <c r="N225" i="7"/>
  <c r="M226" i="7"/>
  <c r="N226" i="7"/>
  <c r="M227" i="7"/>
  <c r="N227" i="7"/>
  <c r="M228" i="7"/>
  <c r="N228" i="7"/>
  <c r="M229" i="7"/>
  <c r="N229" i="7"/>
  <c r="M230" i="7"/>
  <c r="N230" i="7"/>
  <c r="M231" i="7"/>
  <c r="N231" i="7"/>
  <c r="M232" i="7"/>
  <c r="N232" i="7"/>
  <c r="M233" i="7"/>
  <c r="N233" i="7"/>
  <c r="M234" i="7"/>
  <c r="N234" i="7"/>
  <c r="M235" i="7"/>
  <c r="N235" i="7"/>
  <c r="M236" i="7"/>
  <c r="N236" i="7"/>
  <c r="M237" i="7"/>
  <c r="N237" i="7"/>
  <c r="M238" i="7"/>
  <c r="N238" i="7"/>
  <c r="M239" i="7"/>
  <c r="N239" i="7"/>
  <c r="M240" i="7"/>
  <c r="N240" i="7"/>
  <c r="M241" i="7"/>
  <c r="N241" i="7"/>
  <c r="M242" i="7"/>
  <c r="N242" i="7"/>
  <c r="M243" i="7"/>
  <c r="N243" i="7"/>
  <c r="M244" i="7"/>
  <c r="N244" i="7"/>
  <c r="M245" i="7"/>
  <c r="N245" i="7"/>
  <c r="M246" i="7"/>
  <c r="N246" i="7"/>
  <c r="M247" i="7"/>
  <c r="N247" i="7"/>
  <c r="M248" i="7"/>
  <c r="N248" i="7"/>
  <c r="M249" i="7"/>
  <c r="N249" i="7"/>
  <c r="M250" i="7"/>
  <c r="N250" i="7"/>
  <c r="M251" i="7"/>
  <c r="N251" i="7"/>
  <c r="M252" i="7"/>
  <c r="N252" i="7"/>
  <c r="M253" i="7"/>
  <c r="N253" i="7"/>
  <c r="M254" i="7"/>
  <c r="N254" i="7"/>
  <c r="M255" i="7"/>
  <c r="N255" i="7"/>
  <c r="M256" i="7"/>
  <c r="N256" i="7"/>
  <c r="M257" i="7"/>
  <c r="N257" i="7"/>
  <c r="M258" i="7"/>
  <c r="N258" i="7"/>
  <c r="M259" i="7"/>
  <c r="N259" i="7"/>
  <c r="M260" i="7"/>
  <c r="N260" i="7"/>
  <c r="M261" i="7"/>
  <c r="N261" i="7"/>
  <c r="M262" i="7"/>
  <c r="N262" i="7"/>
  <c r="M263" i="7"/>
  <c r="N263" i="7"/>
  <c r="M264" i="7"/>
  <c r="N264" i="7"/>
  <c r="M265" i="7"/>
  <c r="N265" i="7"/>
  <c r="M266" i="7"/>
  <c r="N266" i="7"/>
  <c r="M267" i="7"/>
  <c r="N267" i="7"/>
  <c r="M268" i="7"/>
  <c r="N268" i="7"/>
  <c r="M269" i="7"/>
  <c r="N269" i="7"/>
  <c r="M270" i="7"/>
  <c r="N270" i="7"/>
  <c r="M271" i="7"/>
  <c r="N271" i="7"/>
  <c r="M272" i="7"/>
  <c r="N272" i="7"/>
  <c r="M273" i="7"/>
  <c r="N273" i="7"/>
  <c r="M274" i="7"/>
  <c r="N274" i="7"/>
  <c r="M275" i="7"/>
  <c r="N275" i="7"/>
  <c r="M276" i="7"/>
  <c r="N276" i="7"/>
  <c r="M277" i="7"/>
  <c r="N277" i="7"/>
  <c r="M278" i="7"/>
  <c r="N278" i="7"/>
  <c r="M279" i="7"/>
  <c r="N279" i="7"/>
  <c r="M280" i="7"/>
  <c r="N280" i="7"/>
  <c r="M281" i="7"/>
  <c r="N281" i="7"/>
  <c r="M282" i="7"/>
  <c r="N282" i="7"/>
  <c r="M283" i="7"/>
  <c r="N283" i="7"/>
  <c r="M284" i="7"/>
  <c r="N284" i="7"/>
  <c r="M285" i="7"/>
  <c r="N285" i="7"/>
  <c r="M286" i="7"/>
  <c r="N286" i="7"/>
  <c r="M287" i="7"/>
  <c r="N287" i="7"/>
  <c r="M288" i="7"/>
  <c r="N288" i="7"/>
  <c r="M289" i="7"/>
  <c r="N289" i="7"/>
  <c r="M290" i="7"/>
  <c r="N290" i="7"/>
  <c r="M291" i="7"/>
  <c r="N291" i="7"/>
  <c r="M292" i="7"/>
  <c r="N292" i="7"/>
  <c r="M293" i="7"/>
  <c r="N293" i="7"/>
  <c r="M294" i="7"/>
  <c r="N294" i="7"/>
  <c r="M295" i="7"/>
  <c r="N295" i="7"/>
  <c r="M296" i="7"/>
  <c r="N296" i="7"/>
  <c r="M297" i="7"/>
  <c r="N297" i="7"/>
  <c r="M298" i="7"/>
  <c r="N298" i="7"/>
  <c r="M299" i="7"/>
  <c r="N299" i="7"/>
  <c r="M300" i="7"/>
  <c r="N300" i="7"/>
  <c r="M301" i="7"/>
  <c r="N301" i="7"/>
  <c r="M302" i="7"/>
  <c r="N302" i="7"/>
  <c r="M303" i="7"/>
  <c r="N303" i="7"/>
  <c r="M304" i="7"/>
  <c r="N304" i="7"/>
  <c r="M305" i="7"/>
  <c r="N305" i="7"/>
  <c r="M306" i="7"/>
  <c r="N306" i="7"/>
  <c r="M307" i="7"/>
  <c r="N307" i="7"/>
  <c r="M308" i="7"/>
  <c r="N308" i="7"/>
  <c r="M309" i="7"/>
  <c r="N309" i="7"/>
  <c r="M310" i="7"/>
  <c r="N310" i="7"/>
  <c r="M311" i="7"/>
  <c r="N311" i="7"/>
  <c r="M312" i="7"/>
  <c r="N312" i="7"/>
  <c r="M313" i="7"/>
  <c r="N313" i="7"/>
  <c r="M314" i="7"/>
  <c r="N314" i="7"/>
  <c r="M315" i="7"/>
  <c r="N315" i="7"/>
  <c r="M316" i="7"/>
  <c r="N316" i="7"/>
  <c r="M317" i="7"/>
  <c r="N317" i="7"/>
  <c r="M318" i="7"/>
  <c r="N318" i="7"/>
  <c r="M319" i="7"/>
  <c r="N319" i="7"/>
  <c r="M320" i="7"/>
  <c r="N320" i="7"/>
  <c r="M321" i="7"/>
  <c r="N321" i="7"/>
  <c r="M322" i="7"/>
  <c r="N322" i="7"/>
  <c r="M323" i="7"/>
  <c r="N323" i="7"/>
  <c r="M324" i="7"/>
  <c r="N324" i="7"/>
  <c r="M325" i="7"/>
  <c r="N325" i="7"/>
  <c r="M326" i="7"/>
  <c r="N326" i="7"/>
  <c r="M327" i="7"/>
  <c r="N327" i="7"/>
  <c r="M328" i="7"/>
  <c r="N328" i="7"/>
  <c r="M329" i="7"/>
  <c r="N329" i="7"/>
  <c r="M330" i="7"/>
  <c r="N330" i="7"/>
  <c r="M331" i="7"/>
  <c r="N331" i="7"/>
  <c r="M332" i="7"/>
  <c r="N332" i="7"/>
  <c r="M333" i="7"/>
  <c r="N333" i="7"/>
  <c r="M334" i="7"/>
  <c r="N334" i="7"/>
  <c r="M335" i="7"/>
  <c r="N335" i="7"/>
  <c r="M336" i="7"/>
  <c r="N336" i="7"/>
  <c r="M337" i="7"/>
  <c r="N337" i="7"/>
  <c r="M338" i="7"/>
  <c r="N338" i="7"/>
  <c r="M339" i="7"/>
  <c r="N339" i="7"/>
  <c r="M340" i="7"/>
  <c r="N340" i="7"/>
  <c r="M341" i="7"/>
  <c r="N341" i="7"/>
  <c r="M342" i="7"/>
  <c r="N342" i="7"/>
  <c r="M343" i="7"/>
  <c r="N343" i="7"/>
  <c r="M344" i="7"/>
  <c r="N344" i="7"/>
  <c r="M345" i="7"/>
  <c r="N345" i="7"/>
  <c r="M346" i="7"/>
  <c r="N346" i="7"/>
  <c r="M347" i="7"/>
  <c r="N347" i="7"/>
  <c r="M348" i="7"/>
  <c r="N348" i="7"/>
  <c r="M349" i="7"/>
  <c r="N349" i="7"/>
  <c r="M350" i="7"/>
  <c r="N350" i="7"/>
  <c r="M351" i="7"/>
  <c r="N351" i="7"/>
  <c r="M352" i="7"/>
  <c r="N352" i="7"/>
  <c r="M353" i="7"/>
  <c r="N353" i="7"/>
  <c r="M354" i="7"/>
  <c r="N354" i="7"/>
  <c r="M355" i="7"/>
  <c r="N355" i="7"/>
  <c r="M356" i="7"/>
  <c r="N356" i="7"/>
  <c r="M357" i="7"/>
  <c r="N357" i="7"/>
  <c r="M358" i="7"/>
  <c r="N358" i="7"/>
  <c r="M359" i="7"/>
  <c r="N359" i="7"/>
  <c r="M360" i="7"/>
  <c r="N360" i="7"/>
  <c r="M361" i="7"/>
  <c r="N361" i="7"/>
  <c r="M362" i="7"/>
  <c r="N362" i="7"/>
  <c r="M363" i="7"/>
  <c r="N363" i="7"/>
  <c r="M364" i="7"/>
  <c r="N364" i="7"/>
  <c r="M365" i="7"/>
  <c r="N365" i="7"/>
  <c r="M366" i="7"/>
  <c r="N366" i="7"/>
  <c r="M367" i="7"/>
  <c r="N367" i="7"/>
  <c r="M368" i="7"/>
  <c r="N368" i="7"/>
  <c r="M369" i="7"/>
  <c r="N369" i="7"/>
  <c r="M370" i="7"/>
  <c r="N370" i="7"/>
  <c r="M371" i="7"/>
  <c r="N371" i="7"/>
  <c r="M372" i="7"/>
  <c r="N372" i="7"/>
  <c r="M373" i="7"/>
  <c r="N373" i="7"/>
  <c r="M374" i="7"/>
  <c r="N374" i="7"/>
  <c r="M375" i="7"/>
  <c r="N375" i="7"/>
  <c r="M376" i="7"/>
  <c r="N376" i="7"/>
  <c r="M377" i="7"/>
  <c r="N377" i="7"/>
  <c r="M378" i="7"/>
  <c r="N378" i="7"/>
  <c r="M379" i="7"/>
  <c r="N379" i="7"/>
  <c r="M380" i="7"/>
  <c r="N380" i="7"/>
  <c r="M381" i="7"/>
  <c r="N381" i="7"/>
  <c r="M382" i="7"/>
  <c r="N382" i="7"/>
  <c r="M383" i="7"/>
  <c r="N383" i="7"/>
  <c r="M384" i="7"/>
  <c r="N384" i="7"/>
  <c r="M385" i="7"/>
  <c r="N385" i="7"/>
  <c r="M386" i="7"/>
  <c r="N386" i="7"/>
  <c r="M387" i="7"/>
  <c r="N387" i="7"/>
  <c r="M388" i="7"/>
  <c r="N388" i="7"/>
  <c r="M389" i="7"/>
  <c r="N389" i="7"/>
  <c r="M390" i="7"/>
  <c r="N390" i="7"/>
  <c r="M391" i="7"/>
  <c r="N391" i="7"/>
  <c r="M392" i="7"/>
  <c r="N392" i="7"/>
  <c r="M393" i="7"/>
  <c r="N393" i="7"/>
  <c r="M394" i="7"/>
  <c r="N394" i="7"/>
  <c r="M395" i="7"/>
  <c r="N395" i="7"/>
  <c r="M396" i="7"/>
  <c r="N396" i="7"/>
  <c r="M397" i="7"/>
  <c r="N397" i="7"/>
  <c r="M398" i="7"/>
  <c r="N398" i="7"/>
  <c r="M399" i="7"/>
  <c r="N399" i="7"/>
  <c r="M400" i="7"/>
  <c r="N400" i="7"/>
  <c r="M401" i="7"/>
  <c r="N401" i="7"/>
  <c r="M402" i="7"/>
  <c r="N402" i="7"/>
  <c r="M403" i="7"/>
  <c r="N403" i="7"/>
  <c r="M404" i="7"/>
  <c r="N404" i="7"/>
  <c r="M405" i="7"/>
  <c r="N405" i="7"/>
  <c r="M406" i="7"/>
  <c r="N406" i="7"/>
  <c r="M407" i="7"/>
  <c r="N407" i="7"/>
  <c r="M408" i="7"/>
  <c r="N408" i="7"/>
  <c r="M409" i="7"/>
  <c r="N409" i="7"/>
  <c r="M410" i="7"/>
  <c r="N410" i="7"/>
  <c r="M411" i="7"/>
  <c r="N411" i="7"/>
  <c r="M412" i="7"/>
  <c r="N412" i="7"/>
  <c r="M413" i="7"/>
  <c r="N413" i="7"/>
  <c r="M414" i="7"/>
  <c r="N414" i="7"/>
  <c r="M415" i="7"/>
  <c r="N415" i="7"/>
  <c r="M416" i="7"/>
  <c r="N416" i="7"/>
  <c r="M417" i="7"/>
  <c r="N417" i="7"/>
  <c r="M418" i="7"/>
  <c r="N418" i="7"/>
  <c r="M419" i="7"/>
  <c r="N419" i="7"/>
  <c r="M420" i="7"/>
  <c r="N420" i="7"/>
  <c r="M421" i="7"/>
  <c r="N421" i="7"/>
  <c r="M422" i="7"/>
  <c r="N422" i="7"/>
  <c r="M423" i="7"/>
  <c r="N423" i="7"/>
  <c r="M424" i="7"/>
  <c r="N424" i="7"/>
  <c r="M425" i="7"/>
  <c r="N425" i="7"/>
  <c r="M426" i="7"/>
  <c r="N426" i="7"/>
  <c r="M427" i="7"/>
  <c r="N427" i="7"/>
  <c r="M428" i="7"/>
  <c r="N428" i="7"/>
  <c r="M429" i="7"/>
  <c r="N429" i="7"/>
  <c r="M430" i="7"/>
  <c r="N430" i="7"/>
  <c r="M431" i="7"/>
  <c r="N431" i="7"/>
  <c r="M432" i="7"/>
  <c r="N432" i="7"/>
  <c r="M433" i="7"/>
  <c r="N433" i="7"/>
  <c r="M434" i="7"/>
  <c r="N434" i="7"/>
  <c r="M435" i="7"/>
  <c r="N435" i="7"/>
  <c r="M436" i="7"/>
  <c r="N436" i="7"/>
  <c r="M437" i="7"/>
  <c r="N437" i="7"/>
  <c r="M438" i="7"/>
  <c r="N438" i="7"/>
  <c r="M439" i="7"/>
  <c r="N439" i="7"/>
  <c r="M440" i="7"/>
  <c r="N440" i="7"/>
  <c r="M441" i="7"/>
  <c r="N441" i="7"/>
  <c r="M442" i="7"/>
  <c r="N442" i="7"/>
  <c r="M443" i="7"/>
  <c r="N443" i="7"/>
  <c r="M444" i="7"/>
  <c r="N444" i="7"/>
  <c r="M445" i="7"/>
  <c r="N445" i="7"/>
  <c r="M446" i="7"/>
  <c r="N446" i="7"/>
  <c r="M447" i="7"/>
  <c r="N447" i="7"/>
  <c r="M448" i="7"/>
  <c r="N448" i="7"/>
  <c r="M449" i="7"/>
  <c r="N449" i="7"/>
  <c r="M450" i="7"/>
  <c r="N450" i="7"/>
  <c r="M451" i="7"/>
  <c r="N451" i="7"/>
  <c r="M452" i="7"/>
  <c r="N452" i="7"/>
  <c r="M453" i="7"/>
  <c r="N453" i="7"/>
  <c r="M454" i="7"/>
  <c r="N454" i="7"/>
  <c r="M455" i="7"/>
  <c r="N455" i="7"/>
  <c r="M456" i="7"/>
  <c r="N456" i="7"/>
  <c r="M457" i="7"/>
  <c r="N457" i="7"/>
  <c r="M458" i="7"/>
  <c r="N458" i="7"/>
  <c r="M459" i="7"/>
  <c r="N459" i="7"/>
  <c r="M460" i="7"/>
  <c r="N460" i="7"/>
  <c r="M461" i="7"/>
  <c r="N461" i="7"/>
  <c r="M462" i="7"/>
  <c r="N462" i="7"/>
  <c r="M463" i="7"/>
  <c r="N463" i="7"/>
  <c r="M464" i="7"/>
  <c r="N464" i="7"/>
  <c r="M465" i="7"/>
  <c r="N465" i="7"/>
  <c r="M466" i="7"/>
  <c r="N466" i="7"/>
  <c r="M467" i="7"/>
  <c r="N467" i="7"/>
  <c r="M468" i="7"/>
  <c r="N468" i="7"/>
  <c r="M469" i="7"/>
  <c r="N469" i="7"/>
  <c r="M470" i="7"/>
  <c r="N470" i="7"/>
  <c r="M471" i="7"/>
  <c r="N471" i="7"/>
  <c r="M472" i="7"/>
  <c r="N472" i="7"/>
  <c r="M473" i="7"/>
  <c r="N473" i="7"/>
  <c r="M474" i="7"/>
  <c r="N474" i="7"/>
  <c r="M475" i="7"/>
  <c r="N475" i="7"/>
  <c r="M476" i="7"/>
  <c r="N476" i="7"/>
  <c r="M477" i="7"/>
  <c r="N477" i="7"/>
  <c r="M478" i="7"/>
  <c r="N478" i="7"/>
  <c r="M479" i="7"/>
  <c r="N479" i="7"/>
  <c r="M480" i="7"/>
  <c r="N480" i="7"/>
  <c r="M481" i="7"/>
  <c r="N481" i="7"/>
  <c r="M482" i="7"/>
  <c r="N482" i="7"/>
  <c r="M483" i="7"/>
  <c r="N483" i="7"/>
  <c r="M484" i="7"/>
  <c r="N484" i="7"/>
  <c r="M485" i="7"/>
  <c r="N485" i="7"/>
  <c r="M486" i="7"/>
  <c r="N486" i="7"/>
  <c r="M487" i="7"/>
  <c r="N487" i="7"/>
  <c r="M488" i="7"/>
  <c r="N488" i="7"/>
  <c r="M489" i="7"/>
  <c r="N489" i="7"/>
  <c r="M490" i="7"/>
  <c r="N490" i="7"/>
  <c r="M491" i="7"/>
  <c r="N491" i="7"/>
  <c r="M492" i="7"/>
  <c r="N492" i="7"/>
  <c r="M493" i="7"/>
  <c r="N493" i="7"/>
  <c r="M494" i="7"/>
  <c r="N494" i="7"/>
  <c r="M495" i="7"/>
  <c r="N495" i="7"/>
  <c r="M496" i="7"/>
  <c r="N496" i="7"/>
  <c r="M497" i="7"/>
  <c r="N497" i="7"/>
  <c r="M498" i="7"/>
  <c r="N498" i="7"/>
  <c r="M499" i="7"/>
  <c r="N499" i="7"/>
  <c r="M500" i="7"/>
  <c r="N500" i="7"/>
  <c r="M501" i="7"/>
  <c r="N501" i="7"/>
  <c r="M502" i="7"/>
  <c r="N502" i="7"/>
  <c r="M503" i="7"/>
  <c r="N503" i="7"/>
  <c r="M504" i="7"/>
  <c r="N504" i="7"/>
  <c r="M505" i="7"/>
  <c r="N505" i="7"/>
  <c r="M506" i="7"/>
  <c r="N506" i="7"/>
  <c r="M507" i="7"/>
  <c r="N507" i="7"/>
  <c r="M508" i="7"/>
  <c r="N508" i="7"/>
  <c r="M509" i="7"/>
  <c r="N509" i="7"/>
  <c r="M510" i="7"/>
  <c r="N510" i="7"/>
  <c r="M511" i="7"/>
  <c r="N511" i="7"/>
  <c r="M512" i="7"/>
  <c r="N512" i="7"/>
  <c r="M513" i="7"/>
  <c r="N513" i="7"/>
  <c r="M514" i="7"/>
  <c r="N514" i="7"/>
  <c r="M515" i="7"/>
  <c r="N515" i="7"/>
  <c r="M516" i="7"/>
  <c r="N516" i="7"/>
  <c r="M517" i="7"/>
  <c r="N517" i="7"/>
  <c r="M518" i="7"/>
  <c r="N518" i="7"/>
  <c r="M519" i="7"/>
  <c r="N519" i="7"/>
  <c r="M520" i="7"/>
  <c r="N520" i="7"/>
  <c r="M521" i="7"/>
  <c r="N521" i="7"/>
  <c r="M522" i="7"/>
  <c r="N522" i="7"/>
  <c r="M523" i="7"/>
  <c r="N523" i="7"/>
  <c r="M524" i="7"/>
  <c r="N524" i="7"/>
  <c r="M525" i="7"/>
  <c r="N525" i="7"/>
  <c r="M526" i="7"/>
  <c r="N526" i="7"/>
  <c r="M527" i="7"/>
  <c r="N527" i="7"/>
  <c r="M528" i="7"/>
  <c r="N528" i="7"/>
  <c r="M529" i="7"/>
  <c r="N529" i="7"/>
  <c r="M530" i="7"/>
  <c r="N530" i="7"/>
  <c r="M531" i="7"/>
  <c r="N531" i="7"/>
  <c r="M532" i="7"/>
  <c r="N532" i="7"/>
  <c r="M533" i="7"/>
  <c r="N533" i="7"/>
  <c r="M534" i="7"/>
  <c r="N534" i="7"/>
  <c r="M535" i="7"/>
  <c r="N535" i="7"/>
  <c r="M536" i="7"/>
  <c r="N536" i="7"/>
  <c r="M537" i="7"/>
  <c r="N537" i="7"/>
  <c r="M538" i="7"/>
  <c r="N538" i="7"/>
  <c r="M539" i="7"/>
  <c r="N539" i="7"/>
  <c r="M540" i="7"/>
  <c r="N540" i="7"/>
  <c r="M541" i="7"/>
  <c r="N541" i="7"/>
  <c r="M542" i="7"/>
  <c r="N542" i="7"/>
  <c r="M543" i="7"/>
  <c r="N543" i="7"/>
  <c r="M544" i="7"/>
  <c r="N544" i="7"/>
  <c r="M545" i="7"/>
  <c r="N545" i="7"/>
  <c r="M546" i="7"/>
  <c r="N546" i="7"/>
  <c r="M547" i="7"/>
  <c r="N547" i="7"/>
  <c r="M548" i="7"/>
  <c r="N548" i="7"/>
  <c r="M549" i="7"/>
  <c r="N549" i="7"/>
  <c r="M550" i="7"/>
  <c r="N550" i="7"/>
  <c r="M551" i="7"/>
  <c r="N551" i="7"/>
  <c r="M552" i="7"/>
  <c r="N552" i="7"/>
  <c r="M553" i="7"/>
  <c r="N553" i="7"/>
  <c r="M554" i="7"/>
  <c r="N554" i="7"/>
  <c r="M555" i="7"/>
  <c r="N555" i="7"/>
  <c r="M556" i="7"/>
  <c r="N556" i="7"/>
  <c r="M557" i="7"/>
  <c r="N557" i="7"/>
  <c r="M558" i="7"/>
  <c r="N558" i="7"/>
  <c r="M559" i="7"/>
  <c r="N559" i="7"/>
  <c r="M560" i="7"/>
  <c r="N560" i="7"/>
  <c r="M561" i="7"/>
  <c r="N561" i="7"/>
  <c r="M562" i="7"/>
  <c r="N562" i="7"/>
  <c r="M563" i="7"/>
  <c r="N563" i="7"/>
  <c r="M564" i="7"/>
  <c r="N564" i="7"/>
  <c r="M565" i="7"/>
  <c r="N565" i="7"/>
  <c r="M566" i="7"/>
  <c r="N566" i="7"/>
  <c r="M567" i="7"/>
  <c r="N567" i="7"/>
  <c r="M568" i="7"/>
  <c r="N568" i="7"/>
  <c r="M569" i="7"/>
  <c r="N569" i="7"/>
  <c r="M570" i="7"/>
  <c r="N570" i="7"/>
  <c r="M571" i="7"/>
  <c r="N571" i="7"/>
  <c r="M572" i="7"/>
  <c r="N572" i="7"/>
  <c r="M573" i="7"/>
  <c r="N573" i="7"/>
  <c r="M574" i="7"/>
  <c r="N574" i="7"/>
  <c r="M575" i="7"/>
  <c r="N575" i="7"/>
  <c r="M576" i="7"/>
  <c r="N576" i="7"/>
  <c r="M577" i="7"/>
  <c r="N577" i="7"/>
  <c r="M578" i="7"/>
  <c r="N578" i="7"/>
  <c r="M579" i="7"/>
  <c r="N579" i="7"/>
  <c r="M580" i="7"/>
  <c r="N580" i="7"/>
  <c r="M581" i="7"/>
  <c r="N581" i="7"/>
  <c r="M582" i="7"/>
  <c r="N582" i="7"/>
  <c r="M583" i="7"/>
  <c r="N583" i="7"/>
  <c r="M584" i="7"/>
  <c r="N584" i="7"/>
  <c r="M585" i="7"/>
  <c r="N585" i="7"/>
  <c r="M586" i="7"/>
  <c r="N586" i="7"/>
  <c r="M587" i="7"/>
  <c r="N587" i="7"/>
  <c r="M588" i="7"/>
  <c r="N588" i="7"/>
  <c r="M589" i="7"/>
  <c r="N589" i="7"/>
  <c r="M590" i="7"/>
  <c r="N590" i="7"/>
  <c r="M591" i="7"/>
  <c r="N591" i="7"/>
  <c r="M592" i="7"/>
  <c r="N592" i="7"/>
  <c r="M593" i="7"/>
  <c r="N593" i="7"/>
  <c r="M594" i="7"/>
  <c r="N594" i="7"/>
  <c r="M595" i="7"/>
  <c r="N595" i="7"/>
  <c r="M596" i="7"/>
  <c r="N596" i="7"/>
  <c r="M597" i="7"/>
  <c r="N597" i="7"/>
  <c r="M598" i="7"/>
  <c r="N598" i="7"/>
  <c r="M599" i="7"/>
  <c r="N599" i="7"/>
  <c r="M600" i="7"/>
  <c r="N600" i="7"/>
  <c r="M601" i="7"/>
  <c r="N601" i="7"/>
  <c r="M602" i="7"/>
  <c r="N602" i="7"/>
  <c r="M603" i="7"/>
  <c r="N603" i="7"/>
  <c r="M604" i="7"/>
  <c r="N604" i="7"/>
  <c r="M605" i="7"/>
  <c r="N605" i="7"/>
  <c r="M606" i="7"/>
  <c r="N606" i="7"/>
  <c r="M607" i="7"/>
  <c r="N607" i="7"/>
  <c r="M608" i="7"/>
  <c r="N608" i="7"/>
  <c r="M609" i="7"/>
  <c r="N609" i="7"/>
  <c r="M610" i="7"/>
  <c r="N610" i="7"/>
  <c r="M611" i="7"/>
  <c r="N611" i="7"/>
  <c r="M612" i="7"/>
  <c r="N612" i="7"/>
  <c r="M613" i="7"/>
  <c r="N613" i="7"/>
  <c r="M614" i="7"/>
  <c r="N614" i="7"/>
  <c r="M615" i="7"/>
  <c r="N615" i="7"/>
  <c r="M616" i="7"/>
  <c r="N616" i="7"/>
  <c r="M617" i="7"/>
  <c r="N617" i="7"/>
  <c r="M618" i="7"/>
  <c r="N618" i="7"/>
  <c r="M619" i="7"/>
  <c r="N619" i="7"/>
  <c r="M620" i="7"/>
  <c r="N620" i="7"/>
  <c r="M621" i="7"/>
  <c r="N621" i="7"/>
  <c r="M622" i="7"/>
  <c r="N622" i="7"/>
  <c r="M623" i="7"/>
  <c r="N623" i="7"/>
  <c r="M624" i="7"/>
  <c r="N624" i="7"/>
  <c r="M625" i="7"/>
  <c r="N625" i="7"/>
  <c r="M626" i="7"/>
  <c r="N626" i="7"/>
  <c r="M627" i="7"/>
  <c r="N627" i="7"/>
  <c r="M628" i="7"/>
  <c r="N628" i="7"/>
  <c r="M629" i="7"/>
  <c r="N629" i="7"/>
  <c r="M630" i="7"/>
  <c r="N630" i="7"/>
  <c r="M631" i="7"/>
  <c r="N631" i="7"/>
  <c r="M632" i="7"/>
  <c r="N632" i="7"/>
  <c r="M633" i="7"/>
  <c r="N633" i="7"/>
  <c r="M634" i="7"/>
  <c r="N634" i="7"/>
  <c r="M635" i="7"/>
  <c r="N635" i="7"/>
  <c r="M636" i="7"/>
  <c r="N636" i="7"/>
  <c r="M637" i="7"/>
  <c r="N637" i="7"/>
  <c r="M638" i="7"/>
  <c r="N638" i="7"/>
  <c r="M639" i="7"/>
  <c r="N639" i="7"/>
  <c r="M640" i="7"/>
  <c r="N640" i="7"/>
  <c r="M641" i="7"/>
  <c r="N641" i="7"/>
  <c r="M642" i="7"/>
  <c r="N642" i="7"/>
  <c r="M643" i="7"/>
  <c r="N643" i="7"/>
  <c r="M644" i="7"/>
  <c r="N644" i="7"/>
  <c r="M645" i="7"/>
  <c r="N645" i="7"/>
  <c r="M646" i="7"/>
  <c r="N646" i="7"/>
  <c r="M647" i="7"/>
  <c r="N647" i="7"/>
  <c r="M648" i="7"/>
  <c r="N648" i="7"/>
  <c r="M649" i="7"/>
  <c r="N649" i="7"/>
  <c r="M650" i="7"/>
  <c r="N650" i="7"/>
  <c r="M651" i="7"/>
  <c r="N651" i="7"/>
  <c r="M652" i="7"/>
  <c r="N652" i="7"/>
  <c r="M653" i="7"/>
  <c r="N653" i="7"/>
  <c r="M654" i="7"/>
  <c r="N654" i="7"/>
  <c r="M655" i="7"/>
  <c r="N655" i="7"/>
  <c r="M656" i="7"/>
  <c r="N656" i="7"/>
  <c r="M657" i="7"/>
  <c r="N657" i="7"/>
  <c r="M658" i="7"/>
  <c r="N658" i="7"/>
  <c r="M659" i="7"/>
  <c r="N659" i="7"/>
  <c r="M660" i="7"/>
  <c r="N660" i="7"/>
  <c r="M661" i="7"/>
  <c r="N661" i="7"/>
  <c r="M662" i="7"/>
  <c r="N662" i="7"/>
  <c r="M663" i="7"/>
  <c r="N663" i="7"/>
  <c r="M664" i="7"/>
  <c r="N664" i="7"/>
  <c r="M665" i="7"/>
  <c r="N665" i="7"/>
  <c r="M666" i="7"/>
  <c r="N666" i="7"/>
  <c r="M667" i="7"/>
  <c r="N667" i="7"/>
  <c r="M668" i="7"/>
  <c r="N668" i="7"/>
  <c r="M669" i="7"/>
  <c r="N669" i="7"/>
  <c r="M670" i="7"/>
  <c r="N670" i="7"/>
  <c r="M671" i="7"/>
  <c r="N671" i="7"/>
  <c r="M672" i="7"/>
  <c r="N672" i="7"/>
  <c r="M673" i="7"/>
  <c r="N673" i="7"/>
  <c r="M674" i="7"/>
  <c r="N674" i="7"/>
  <c r="M675" i="7"/>
  <c r="N675" i="7"/>
  <c r="M676" i="7"/>
  <c r="N676" i="7"/>
  <c r="M677" i="7"/>
  <c r="N677" i="7"/>
  <c r="M678" i="7"/>
  <c r="N678" i="7"/>
  <c r="M679" i="7"/>
  <c r="N679" i="7"/>
  <c r="M680" i="7"/>
  <c r="N680" i="7"/>
  <c r="M681" i="7"/>
  <c r="N681" i="7"/>
  <c r="M682" i="7"/>
  <c r="N682" i="7"/>
  <c r="M683" i="7"/>
  <c r="N683" i="7"/>
  <c r="M684" i="7"/>
  <c r="N684" i="7"/>
  <c r="M685" i="7"/>
  <c r="N685" i="7"/>
  <c r="M686" i="7"/>
  <c r="N686" i="7"/>
  <c r="M687" i="7"/>
  <c r="N687" i="7"/>
  <c r="M688" i="7"/>
  <c r="N688" i="7"/>
  <c r="M689" i="7"/>
  <c r="N689" i="7"/>
  <c r="M690" i="7"/>
  <c r="N690" i="7"/>
  <c r="M691" i="7"/>
  <c r="N691" i="7"/>
  <c r="M692" i="7"/>
  <c r="N692" i="7"/>
  <c r="M693" i="7"/>
  <c r="N693" i="7"/>
  <c r="M694" i="7"/>
  <c r="N694" i="7"/>
  <c r="M695" i="7"/>
  <c r="N695" i="7"/>
  <c r="M696" i="7"/>
  <c r="N696" i="7"/>
  <c r="M697" i="7"/>
  <c r="N697" i="7"/>
  <c r="M698" i="7"/>
  <c r="N698" i="7"/>
  <c r="M699" i="7"/>
  <c r="N699" i="7"/>
  <c r="M700" i="7"/>
  <c r="N700" i="7"/>
  <c r="M701" i="7"/>
  <c r="N701" i="7"/>
  <c r="M702" i="7"/>
  <c r="N702" i="7"/>
  <c r="M703" i="7"/>
  <c r="N703" i="7"/>
  <c r="M704" i="7"/>
  <c r="N704" i="7"/>
  <c r="M705" i="7"/>
  <c r="N705" i="7"/>
  <c r="M706" i="7"/>
  <c r="N706" i="7"/>
  <c r="M707" i="7"/>
  <c r="N707" i="7"/>
  <c r="M708" i="7"/>
  <c r="N708" i="7"/>
  <c r="M709" i="7"/>
  <c r="N709" i="7"/>
  <c r="M710" i="7"/>
  <c r="N710" i="7"/>
  <c r="M711" i="7"/>
  <c r="N711" i="7"/>
  <c r="M712" i="7"/>
  <c r="N712" i="7"/>
  <c r="M713" i="7"/>
  <c r="N713" i="7"/>
  <c r="M714" i="7"/>
  <c r="N714" i="7"/>
  <c r="M715" i="7"/>
  <c r="N715" i="7"/>
  <c r="M716" i="7"/>
  <c r="N716" i="7"/>
  <c r="M717" i="7"/>
  <c r="N717" i="7"/>
  <c r="M718" i="7"/>
  <c r="N718" i="7"/>
  <c r="M719" i="7"/>
  <c r="N719" i="7"/>
  <c r="M720" i="7"/>
  <c r="N720" i="7"/>
  <c r="M721" i="7"/>
  <c r="N721" i="7"/>
  <c r="M722" i="7"/>
  <c r="N722" i="7"/>
  <c r="M723" i="7"/>
  <c r="N723" i="7"/>
  <c r="M724" i="7"/>
  <c r="N724" i="7"/>
  <c r="M725" i="7"/>
  <c r="N725" i="7"/>
  <c r="M726" i="7"/>
  <c r="N726" i="7"/>
  <c r="M727" i="7"/>
  <c r="N727" i="7"/>
  <c r="M728" i="7"/>
  <c r="N728" i="7"/>
  <c r="M729" i="7"/>
  <c r="N729" i="7"/>
  <c r="M730" i="7"/>
  <c r="N730" i="7"/>
  <c r="M731" i="7"/>
  <c r="N731" i="7"/>
  <c r="M732" i="7"/>
  <c r="N732" i="7"/>
  <c r="M733" i="7"/>
  <c r="N733" i="7"/>
  <c r="M734" i="7"/>
  <c r="N734" i="7"/>
  <c r="M735" i="7"/>
  <c r="N735" i="7"/>
  <c r="M736" i="7"/>
  <c r="N736" i="7"/>
  <c r="M737" i="7"/>
  <c r="N737" i="7"/>
  <c r="M738" i="7"/>
  <c r="N738" i="7"/>
  <c r="M739" i="7"/>
  <c r="N739" i="7"/>
  <c r="M740" i="7"/>
  <c r="N740" i="7"/>
  <c r="M741" i="7"/>
  <c r="N741" i="7"/>
  <c r="M742" i="7"/>
  <c r="N742" i="7"/>
  <c r="M743" i="7"/>
  <c r="N743" i="7"/>
  <c r="M744" i="7"/>
  <c r="N744" i="7"/>
  <c r="M745" i="7"/>
  <c r="N745" i="7"/>
  <c r="M746" i="7"/>
  <c r="N746" i="7"/>
  <c r="M747" i="7"/>
  <c r="N747" i="7"/>
  <c r="M748" i="7"/>
  <c r="N748" i="7"/>
  <c r="M749" i="7"/>
  <c r="N749" i="7"/>
  <c r="M750" i="7"/>
  <c r="N750" i="7"/>
  <c r="M751" i="7"/>
  <c r="N751" i="7"/>
  <c r="M752" i="7"/>
  <c r="N752" i="7"/>
  <c r="M753" i="7"/>
  <c r="N753" i="7"/>
  <c r="M754" i="7"/>
  <c r="N754" i="7"/>
  <c r="M755" i="7"/>
  <c r="N755" i="7"/>
  <c r="M756" i="7"/>
  <c r="N756" i="7"/>
  <c r="M757" i="7"/>
  <c r="N757" i="7"/>
  <c r="M758" i="7"/>
  <c r="N758" i="7"/>
  <c r="M759" i="7"/>
  <c r="N759" i="7"/>
  <c r="M760" i="7"/>
  <c r="N760" i="7"/>
  <c r="M761" i="7"/>
  <c r="N761" i="7"/>
  <c r="M762" i="7"/>
  <c r="N762" i="7"/>
  <c r="M763" i="7"/>
  <c r="N763" i="7"/>
  <c r="M764" i="7"/>
  <c r="N764" i="7"/>
  <c r="M765" i="7"/>
  <c r="N765" i="7"/>
  <c r="M766" i="7"/>
  <c r="N766" i="7"/>
  <c r="M767" i="7"/>
  <c r="N767" i="7"/>
  <c r="M768" i="7"/>
  <c r="N768" i="7"/>
  <c r="M769" i="7"/>
  <c r="N769" i="7"/>
  <c r="M770" i="7"/>
  <c r="N770" i="7"/>
  <c r="M771" i="7"/>
  <c r="N771" i="7"/>
  <c r="M772" i="7"/>
  <c r="N772" i="7"/>
  <c r="M773" i="7"/>
  <c r="N773" i="7"/>
  <c r="M774" i="7"/>
  <c r="N774" i="7"/>
  <c r="M775" i="7"/>
  <c r="N775" i="7"/>
  <c r="M776" i="7"/>
  <c r="N776" i="7"/>
  <c r="M777" i="7"/>
  <c r="N777" i="7"/>
  <c r="M778" i="7"/>
  <c r="N778" i="7"/>
  <c r="M779" i="7"/>
  <c r="N779" i="7"/>
  <c r="M780" i="7"/>
  <c r="N780" i="7"/>
  <c r="M781" i="7"/>
  <c r="N781" i="7"/>
  <c r="M782" i="7"/>
  <c r="N782" i="7"/>
  <c r="M783" i="7"/>
  <c r="N783" i="7"/>
  <c r="M784" i="7"/>
  <c r="N784" i="7"/>
  <c r="M785" i="7"/>
  <c r="N785" i="7"/>
  <c r="M786" i="7"/>
  <c r="N786" i="7"/>
  <c r="M787" i="7"/>
  <c r="N787" i="7"/>
  <c r="M788" i="7"/>
  <c r="N788" i="7"/>
  <c r="M789" i="7"/>
  <c r="N789" i="7"/>
  <c r="M790" i="7"/>
  <c r="N790" i="7"/>
  <c r="M791" i="7"/>
  <c r="N791" i="7"/>
  <c r="M792" i="7"/>
  <c r="N792" i="7"/>
  <c r="M793" i="7"/>
  <c r="N793" i="7"/>
  <c r="M794" i="7"/>
  <c r="N794" i="7"/>
  <c r="M795" i="7"/>
  <c r="N795" i="7"/>
  <c r="M796" i="7"/>
  <c r="N796" i="7"/>
  <c r="M797" i="7"/>
  <c r="N797" i="7"/>
  <c r="M798" i="7"/>
  <c r="N798" i="7"/>
  <c r="M799" i="7"/>
  <c r="N799" i="7"/>
  <c r="M800" i="7"/>
  <c r="N800" i="7"/>
  <c r="M801" i="7"/>
  <c r="N801" i="7"/>
  <c r="M802" i="7"/>
  <c r="N802" i="7"/>
  <c r="M803" i="7"/>
  <c r="N803" i="7"/>
  <c r="M804" i="7"/>
  <c r="N804" i="7"/>
  <c r="M805" i="7"/>
  <c r="N805" i="7"/>
  <c r="M806" i="7"/>
  <c r="N806" i="7"/>
  <c r="M807" i="7"/>
  <c r="N807" i="7"/>
  <c r="M808" i="7"/>
  <c r="N808" i="7"/>
  <c r="M809" i="7"/>
  <c r="N809" i="7"/>
  <c r="M810" i="7"/>
  <c r="N810" i="7"/>
  <c r="M811" i="7"/>
  <c r="N811" i="7"/>
  <c r="M812" i="7"/>
  <c r="N812" i="7"/>
  <c r="M813" i="7"/>
  <c r="N813" i="7"/>
  <c r="M814" i="7"/>
  <c r="N814" i="7"/>
  <c r="M815" i="7"/>
  <c r="N815" i="7"/>
  <c r="M816" i="7"/>
  <c r="N816" i="7"/>
  <c r="M817" i="7"/>
  <c r="N817" i="7"/>
  <c r="M818" i="7"/>
  <c r="N818" i="7"/>
  <c r="M819" i="7"/>
  <c r="N819" i="7"/>
  <c r="M820" i="7"/>
  <c r="N820" i="7"/>
  <c r="M821" i="7"/>
  <c r="N821" i="7"/>
  <c r="M822" i="7"/>
  <c r="N822" i="7"/>
  <c r="M823" i="7"/>
  <c r="N823" i="7"/>
  <c r="M824" i="7"/>
  <c r="N824" i="7"/>
  <c r="M825" i="7"/>
  <c r="N825" i="7"/>
  <c r="M826" i="7"/>
  <c r="N826" i="7"/>
  <c r="M827" i="7"/>
  <c r="N827" i="7"/>
  <c r="M828" i="7"/>
  <c r="N828" i="7"/>
  <c r="M829" i="7"/>
  <c r="N829" i="7"/>
  <c r="M830" i="7"/>
  <c r="N830" i="7"/>
  <c r="M831" i="7"/>
  <c r="N831" i="7"/>
  <c r="M832" i="7"/>
  <c r="N832" i="7"/>
  <c r="M833" i="7"/>
  <c r="N833" i="7"/>
  <c r="M834" i="7"/>
  <c r="N834" i="7"/>
  <c r="M835" i="7"/>
  <c r="N835" i="7"/>
  <c r="M836" i="7"/>
  <c r="N836" i="7"/>
  <c r="M837" i="7"/>
  <c r="N837" i="7"/>
  <c r="M838" i="7"/>
  <c r="N838" i="7"/>
  <c r="M839" i="7"/>
  <c r="N839" i="7"/>
  <c r="M840" i="7"/>
  <c r="N840" i="7"/>
  <c r="M841" i="7"/>
  <c r="N841" i="7"/>
  <c r="M842" i="7"/>
  <c r="N842" i="7"/>
  <c r="M843" i="7"/>
  <c r="N843" i="7"/>
  <c r="M844" i="7"/>
  <c r="N844" i="7"/>
  <c r="M845" i="7"/>
  <c r="N845" i="7"/>
  <c r="M846" i="7"/>
  <c r="N846" i="7"/>
  <c r="M847" i="7"/>
  <c r="N847" i="7"/>
  <c r="M848" i="7"/>
  <c r="N848" i="7"/>
  <c r="M849" i="7"/>
  <c r="N849" i="7"/>
  <c r="M850" i="7"/>
  <c r="N850" i="7"/>
  <c r="M851" i="7"/>
  <c r="N851" i="7"/>
  <c r="M852" i="7"/>
  <c r="N852" i="7"/>
  <c r="M853" i="7"/>
  <c r="N853" i="7"/>
  <c r="M854" i="7"/>
  <c r="N854" i="7"/>
  <c r="M855" i="7"/>
  <c r="N855" i="7"/>
  <c r="M856" i="7"/>
  <c r="N856" i="7"/>
  <c r="M857" i="7"/>
  <c r="N857" i="7"/>
  <c r="M858" i="7"/>
  <c r="N858" i="7"/>
  <c r="M859" i="7"/>
  <c r="N859" i="7"/>
  <c r="M860" i="7"/>
  <c r="N860" i="7"/>
  <c r="M861" i="7"/>
  <c r="N861" i="7"/>
  <c r="M862" i="7"/>
  <c r="N862" i="7"/>
  <c r="M863" i="7"/>
  <c r="N863" i="7"/>
  <c r="M864" i="7"/>
  <c r="N864" i="7"/>
  <c r="M865" i="7"/>
  <c r="N865" i="7"/>
  <c r="M866" i="7"/>
  <c r="N866" i="7"/>
  <c r="M867" i="7"/>
  <c r="N867" i="7"/>
  <c r="M868" i="7"/>
  <c r="N868" i="7"/>
  <c r="M869" i="7"/>
  <c r="N869" i="7"/>
  <c r="M870" i="7"/>
  <c r="N870" i="7"/>
  <c r="M871" i="7"/>
  <c r="N871" i="7"/>
  <c r="M872" i="7"/>
  <c r="N872" i="7"/>
  <c r="M873" i="7"/>
  <c r="N873" i="7"/>
  <c r="M874" i="7"/>
  <c r="N874" i="7"/>
  <c r="M875" i="7"/>
  <c r="N875" i="7"/>
  <c r="M876" i="7"/>
  <c r="N876" i="7"/>
  <c r="M877" i="7"/>
  <c r="N877" i="7"/>
  <c r="M878" i="7"/>
  <c r="N878" i="7"/>
  <c r="M879" i="7"/>
  <c r="N879" i="7"/>
  <c r="M880" i="7"/>
  <c r="N880" i="7"/>
  <c r="M881" i="7"/>
  <c r="N881" i="7"/>
  <c r="M882" i="7"/>
  <c r="N882" i="7"/>
  <c r="M883" i="7"/>
  <c r="N883" i="7"/>
  <c r="M884" i="7"/>
  <c r="N884" i="7"/>
  <c r="M885" i="7"/>
  <c r="N885" i="7"/>
  <c r="M886" i="7"/>
  <c r="N886" i="7"/>
  <c r="M887" i="7"/>
  <c r="N887" i="7"/>
  <c r="M888" i="7"/>
  <c r="N888" i="7"/>
  <c r="M889" i="7"/>
  <c r="N889" i="7"/>
  <c r="M890" i="7"/>
  <c r="N890" i="7"/>
  <c r="M891" i="7"/>
  <c r="N891" i="7"/>
  <c r="M892" i="7"/>
  <c r="N892" i="7"/>
  <c r="M893" i="7"/>
  <c r="N893" i="7"/>
  <c r="M894" i="7"/>
  <c r="N894" i="7"/>
  <c r="M895" i="7"/>
  <c r="N895" i="7"/>
  <c r="M896" i="7"/>
  <c r="N896" i="7"/>
  <c r="M897" i="7"/>
  <c r="N897" i="7"/>
  <c r="M898" i="7"/>
  <c r="N898" i="7"/>
  <c r="M899" i="7"/>
  <c r="N899" i="7"/>
  <c r="M900" i="7"/>
  <c r="N900" i="7"/>
  <c r="M901" i="7"/>
  <c r="N901" i="7"/>
  <c r="M902" i="7"/>
  <c r="N902" i="7"/>
  <c r="M903" i="7"/>
  <c r="N903" i="7"/>
  <c r="M904" i="7"/>
  <c r="N904" i="7"/>
  <c r="M905" i="7"/>
  <c r="N905" i="7"/>
  <c r="M906" i="7"/>
  <c r="N906" i="7"/>
  <c r="M907" i="7"/>
  <c r="N907" i="7"/>
  <c r="M908" i="7"/>
  <c r="N908" i="7"/>
  <c r="M909" i="7"/>
  <c r="N909" i="7"/>
  <c r="M910" i="7"/>
  <c r="N910" i="7"/>
  <c r="M911" i="7"/>
  <c r="N911" i="7"/>
  <c r="M912" i="7"/>
  <c r="N912" i="7"/>
  <c r="M913" i="7"/>
  <c r="N913" i="7"/>
  <c r="M914" i="7"/>
  <c r="N914" i="7"/>
  <c r="M915" i="7"/>
  <c r="N915" i="7"/>
  <c r="M916" i="7"/>
  <c r="N916" i="7"/>
  <c r="M917" i="7"/>
  <c r="N917" i="7"/>
  <c r="M918" i="7"/>
  <c r="N918" i="7"/>
  <c r="M919" i="7"/>
  <c r="N919" i="7"/>
  <c r="M920" i="7"/>
  <c r="N920" i="7"/>
  <c r="M921" i="7"/>
  <c r="N921" i="7"/>
  <c r="M922" i="7"/>
  <c r="N922" i="7"/>
  <c r="M923" i="7"/>
  <c r="N923" i="7"/>
  <c r="M924" i="7"/>
  <c r="N924" i="7"/>
  <c r="M925" i="7"/>
  <c r="N925" i="7"/>
  <c r="M926" i="7"/>
  <c r="N926" i="7"/>
  <c r="M927" i="7"/>
  <c r="N927" i="7"/>
  <c r="M928" i="7"/>
  <c r="N928" i="7"/>
  <c r="M929" i="7"/>
  <c r="N929" i="7"/>
  <c r="M930" i="7"/>
  <c r="N930" i="7"/>
  <c r="M931" i="7"/>
  <c r="N931" i="7"/>
  <c r="M932" i="7"/>
  <c r="N932" i="7"/>
  <c r="M933" i="7"/>
  <c r="N933" i="7"/>
  <c r="M934" i="7"/>
  <c r="N934" i="7"/>
  <c r="M935" i="7"/>
  <c r="N935" i="7"/>
  <c r="M936" i="7"/>
  <c r="N936" i="7"/>
  <c r="M937" i="7"/>
  <c r="N937" i="7"/>
  <c r="M938" i="7"/>
  <c r="N938" i="7"/>
  <c r="M939" i="7"/>
  <c r="N939" i="7"/>
  <c r="M940" i="7"/>
  <c r="N940" i="7"/>
  <c r="M941" i="7"/>
  <c r="N941" i="7"/>
  <c r="M942" i="7"/>
  <c r="N942" i="7"/>
  <c r="M943" i="7"/>
  <c r="N943" i="7"/>
  <c r="M944" i="7"/>
  <c r="N944" i="7"/>
  <c r="M945" i="7"/>
  <c r="N945" i="7"/>
  <c r="M946" i="7"/>
  <c r="N946" i="7"/>
  <c r="M947" i="7"/>
  <c r="N947" i="7"/>
  <c r="M948" i="7"/>
  <c r="N948" i="7"/>
  <c r="M949" i="7"/>
  <c r="N949" i="7"/>
  <c r="M950" i="7"/>
  <c r="N950" i="7"/>
  <c r="M951" i="7"/>
  <c r="N951" i="7"/>
  <c r="M952" i="7"/>
  <c r="N952" i="7"/>
  <c r="M953" i="7"/>
  <c r="N953" i="7"/>
  <c r="M954" i="7"/>
  <c r="N954" i="7"/>
  <c r="M955" i="7"/>
  <c r="N955" i="7"/>
  <c r="M956" i="7"/>
  <c r="N956" i="7"/>
  <c r="M957" i="7"/>
  <c r="N957" i="7"/>
  <c r="M958" i="7"/>
  <c r="N958" i="7"/>
  <c r="M959" i="7"/>
  <c r="N959" i="7"/>
  <c r="M960" i="7"/>
  <c r="N960" i="7"/>
  <c r="M961" i="7"/>
  <c r="N961" i="7"/>
  <c r="M962" i="7"/>
  <c r="N962" i="7"/>
  <c r="M963" i="7"/>
  <c r="N963" i="7"/>
  <c r="M964" i="7"/>
  <c r="N964" i="7"/>
  <c r="M965" i="7"/>
  <c r="N965" i="7"/>
  <c r="M966" i="7"/>
  <c r="N966" i="7"/>
  <c r="M967" i="7"/>
  <c r="N967" i="7"/>
  <c r="M968" i="7"/>
  <c r="N968" i="7"/>
  <c r="M969" i="7"/>
  <c r="N969" i="7"/>
  <c r="M970" i="7"/>
  <c r="N970" i="7"/>
  <c r="M971" i="7"/>
  <c r="N971" i="7"/>
  <c r="M972" i="7"/>
  <c r="N972" i="7"/>
  <c r="M973" i="7"/>
  <c r="N973" i="7"/>
  <c r="M974" i="7"/>
  <c r="N974" i="7"/>
  <c r="M975" i="7"/>
  <c r="N975" i="7"/>
  <c r="M976" i="7"/>
  <c r="N976" i="7"/>
  <c r="M977" i="7"/>
  <c r="N977" i="7"/>
  <c r="M978" i="7"/>
  <c r="N978" i="7"/>
  <c r="M979" i="7"/>
  <c r="N979" i="7"/>
  <c r="M980" i="7"/>
  <c r="N980" i="7"/>
  <c r="M981" i="7"/>
  <c r="N981" i="7"/>
  <c r="M982" i="7"/>
  <c r="N982" i="7"/>
  <c r="M983" i="7"/>
  <c r="N983" i="7"/>
  <c r="M984" i="7"/>
  <c r="N984" i="7"/>
  <c r="M985" i="7"/>
  <c r="N985" i="7"/>
  <c r="M986" i="7"/>
  <c r="N986" i="7"/>
  <c r="M987" i="7"/>
  <c r="N987" i="7"/>
  <c r="M988" i="7"/>
  <c r="N988" i="7"/>
  <c r="M989" i="7"/>
  <c r="N989" i="7"/>
  <c r="M990" i="7"/>
  <c r="N990" i="7"/>
  <c r="M991" i="7"/>
  <c r="N991" i="7"/>
  <c r="M992" i="7"/>
  <c r="N992" i="7"/>
  <c r="M993" i="7"/>
  <c r="N993" i="7"/>
  <c r="M994" i="7"/>
  <c r="N994" i="7"/>
  <c r="M995" i="7"/>
  <c r="N995" i="7"/>
  <c r="M996" i="7"/>
  <c r="N996" i="7"/>
  <c r="M997" i="7"/>
  <c r="N997" i="7"/>
  <c r="M998" i="7"/>
  <c r="N998" i="7"/>
  <c r="M999" i="7"/>
  <c r="N999" i="7"/>
  <c r="M1000" i="7"/>
  <c r="N1000" i="7"/>
  <c r="M1001" i="7"/>
  <c r="N1001" i="7"/>
  <c r="M1002" i="7"/>
  <c r="N1002" i="7"/>
  <c r="M1003" i="7"/>
  <c r="N1003" i="7"/>
  <c r="G24" i="7"/>
  <c r="G44" i="7"/>
  <c r="G34" i="7"/>
  <c r="G43" i="7"/>
  <c r="G32" i="7"/>
  <c r="G33" i="7" s="1"/>
  <c r="G42" i="7"/>
  <c r="G22" i="7"/>
  <c r="G23" i="7" s="1"/>
  <c r="AI4" i="7" l="1"/>
  <c r="AM4" i="7"/>
  <c r="AG4" i="7" s="1"/>
  <c r="AE4" i="7" s="1"/>
  <c r="AC5" i="7" s="1"/>
  <c r="AJ4" i="7"/>
  <c r="AH4" i="7"/>
  <c r="AF4" i="7" l="1"/>
  <c r="AD4" i="7"/>
  <c r="Z5" i="7" s="1"/>
  <c r="AA5" i="7"/>
  <c r="AM5" i="7" l="1"/>
  <c r="AF5" i="7" s="1"/>
  <c r="AG5" i="7"/>
  <c r="AN5" i="7"/>
  <c r="AI5" i="7" s="1"/>
  <c r="AO5" i="7"/>
  <c r="AK5" i="7" s="1"/>
  <c r="AB5" i="7"/>
  <c r="AJ5" i="7" l="1"/>
  <c r="AH5" i="7"/>
  <c r="AD5" i="7"/>
  <c r="Z6" i="7" s="1"/>
  <c r="AE5" i="7"/>
  <c r="AC6" i="7" s="1"/>
  <c r="AB6" i="7" l="1"/>
  <c r="AA6" i="7"/>
  <c r="AO6" i="7" s="1"/>
  <c r="AK6" i="7" s="1"/>
  <c r="AN6" i="7" l="1"/>
  <c r="AI6" i="7" s="1"/>
  <c r="AM6" i="7"/>
  <c r="AG6" i="7" s="1"/>
  <c r="AJ6" i="7"/>
  <c r="AH6" i="7" l="1"/>
  <c r="AF6" i="7"/>
  <c r="AE6" i="7"/>
  <c r="AC7" i="7" s="1"/>
  <c r="AD6" i="7" l="1"/>
  <c r="Z7" i="7" s="1"/>
  <c r="AB7" i="7"/>
  <c r="AA7" i="7"/>
  <c r="AN7" i="7" l="1"/>
  <c r="AH7" i="7" s="1"/>
  <c r="AM7" i="7"/>
  <c r="AF7" i="7" s="1"/>
  <c r="AO7" i="7"/>
  <c r="AI7" i="7" l="1"/>
  <c r="AG7" i="7"/>
  <c r="AJ7" i="7"/>
  <c r="AD7" i="7" s="1"/>
  <c r="AK7" i="7"/>
  <c r="AB8" i="7" l="1"/>
  <c r="Z8" i="7"/>
  <c r="AE7" i="7"/>
  <c r="AA8" i="7" s="1"/>
  <c r="AC8" i="7" l="1"/>
  <c r="AN8" i="7"/>
  <c r="AI8" i="7" s="1"/>
  <c r="AO8" i="7"/>
  <c r="AK8" i="7" s="1"/>
  <c r="AM8" i="7"/>
  <c r="AG8" i="7" s="1"/>
  <c r="AF8" i="7" l="1"/>
  <c r="AJ8" i="7"/>
  <c r="AH8" i="7"/>
  <c r="AE8" i="7"/>
  <c r="AD8" i="7" l="1"/>
  <c r="Z9" i="7" s="1"/>
  <c r="AA9" i="7"/>
  <c r="AC9" i="7"/>
  <c r="AB9" i="7" l="1"/>
  <c r="AO9" i="7"/>
  <c r="AJ9" i="7" s="1"/>
  <c r="AM9" i="7"/>
  <c r="AF9" i="7" s="1"/>
  <c r="AN9" i="7"/>
  <c r="AH9" i="7" s="1"/>
  <c r="AD9" i="7" l="1"/>
  <c r="AK9" i="7"/>
  <c r="AI9" i="7"/>
  <c r="AG9" i="7"/>
  <c r="AE9" i="7" l="1"/>
  <c r="AC10" i="7" s="1"/>
  <c r="Z10" i="7"/>
  <c r="AB10" i="7"/>
  <c r="AA10" i="7" l="1"/>
  <c r="AN10" i="7" l="1"/>
  <c r="AH10" i="7" s="1"/>
  <c r="AM10" i="7"/>
  <c r="AF10" i="7" s="1"/>
  <c r="AO10" i="7"/>
  <c r="AJ10" i="7" s="1"/>
  <c r="AD10" i="7" l="1"/>
  <c r="AB11" i="7" s="1"/>
  <c r="AI10" i="7"/>
  <c r="AG10" i="7"/>
  <c r="AK10" i="7"/>
  <c r="AE10" i="7" l="1"/>
  <c r="AC11" i="7" s="1"/>
  <c r="Z11" i="7"/>
  <c r="AA11" i="7" l="1"/>
  <c r="AM11" i="7" l="1"/>
  <c r="AF11" i="7" s="1"/>
  <c r="AO11" i="7"/>
  <c r="AJ11" i="7" s="1"/>
  <c r="AN11" i="7"/>
  <c r="AH11" i="7" s="1"/>
  <c r="AD11" i="7" l="1"/>
  <c r="AB12" i="7" s="1"/>
  <c r="AG11" i="7"/>
  <c r="AI11" i="7"/>
  <c r="AK11" i="7"/>
  <c r="Z12" i="7" l="1"/>
  <c r="AE11" i="7"/>
  <c r="AC12" i="7" l="1"/>
  <c r="AA12" i="7"/>
  <c r="AM12" i="7" l="1"/>
  <c r="AF12" i="7" s="1"/>
  <c r="AO12" i="7"/>
  <c r="AJ12" i="7" s="1"/>
  <c r="AN12" i="7"/>
  <c r="AH12" i="7" s="1"/>
  <c r="AD12" i="7" l="1"/>
  <c r="AG12" i="7"/>
  <c r="AI12" i="7"/>
  <c r="AK12" i="7"/>
  <c r="Z13" i="7" l="1"/>
  <c r="AB13" i="7"/>
  <c r="AE12" i="7"/>
  <c r="AC13" i="7" l="1"/>
  <c r="AA13" i="7"/>
  <c r="AM13" i="7" l="1"/>
  <c r="AF13" i="7" s="1"/>
  <c r="AO13" i="7"/>
  <c r="AJ13" i="7" s="1"/>
  <c r="AN13" i="7"/>
  <c r="AH13" i="7" s="1"/>
  <c r="AD13" i="7" l="1"/>
  <c r="AG13" i="7"/>
  <c r="AI13" i="7"/>
  <c r="AK13" i="7"/>
  <c r="Z14" i="7" l="1"/>
  <c r="AB14" i="7"/>
  <c r="AE13" i="7"/>
  <c r="AC14" i="7" l="1"/>
  <c r="AA14" i="7"/>
  <c r="AO14" i="7" s="1"/>
  <c r="AJ14" i="7" s="1"/>
  <c r="AN14" i="7"/>
  <c r="AH14" i="7" s="1"/>
  <c r="AM14" i="7"/>
  <c r="AF14" i="7" s="1"/>
  <c r="AD14" i="7" l="1"/>
  <c r="Z15" i="7"/>
  <c r="AB15" i="7"/>
  <c r="AI14" i="7"/>
  <c r="AG14" i="7"/>
  <c r="AK14" i="7"/>
  <c r="AE14" i="7" l="1"/>
  <c r="AC15" i="7" l="1"/>
  <c r="AA15" i="7"/>
  <c r="AN15" i="7" l="1"/>
  <c r="AH15" i="7" s="1"/>
  <c r="AM15" i="7"/>
  <c r="AF15" i="7" s="1"/>
  <c r="AO15" i="7"/>
  <c r="AJ15" i="7" s="1"/>
  <c r="AD15" i="7" l="1"/>
  <c r="AB16" i="7"/>
  <c r="Z16" i="7"/>
  <c r="AK15" i="7"/>
  <c r="AI15" i="7"/>
  <c r="AG15" i="7"/>
  <c r="AE15" i="7" l="1"/>
  <c r="AC16" i="7"/>
  <c r="AA16" i="7"/>
  <c r="AO16" i="7"/>
  <c r="AJ16" i="7" s="1"/>
  <c r="AM16" i="7"/>
  <c r="AF16" i="7" s="1"/>
  <c r="AN16" i="7"/>
  <c r="AH16" i="7" s="1"/>
  <c r="AD16" i="7" l="1"/>
  <c r="AB17" i="7"/>
  <c r="Z17" i="7"/>
  <c r="AG16" i="7"/>
  <c r="AI16" i="7"/>
  <c r="AK16" i="7"/>
  <c r="AE16" i="7" l="1"/>
  <c r="AC17" i="7" l="1"/>
  <c r="AA17" i="7"/>
  <c r="AN17" i="7" l="1"/>
  <c r="AH17" i="7" s="1"/>
  <c r="AO17" i="7"/>
  <c r="AJ17" i="7" s="1"/>
  <c r="AM17" i="7"/>
  <c r="AF17" i="7" s="1"/>
  <c r="AD17" i="7" l="1"/>
  <c r="Z18" i="7"/>
  <c r="AB18" i="7"/>
  <c r="AK17" i="7"/>
  <c r="AI17" i="7"/>
  <c r="AG17" i="7"/>
  <c r="AE17" i="7" l="1"/>
  <c r="AC18" i="7"/>
  <c r="AA18" i="7"/>
  <c r="AN18" i="7" s="1"/>
  <c r="AH18" i="7" s="1"/>
  <c r="AO18" i="7" l="1"/>
  <c r="AJ18" i="7" s="1"/>
  <c r="AM18" i="7"/>
  <c r="AF18" i="7" s="1"/>
  <c r="AK18" i="7"/>
  <c r="AI18" i="7"/>
  <c r="AG18" i="7" l="1"/>
  <c r="AD18" i="7"/>
  <c r="AB19" i="7" s="1"/>
  <c r="AE18" i="7"/>
  <c r="Z19" i="7" l="1"/>
  <c r="AC19" i="7"/>
  <c r="AA19" i="7"/>
  <c r="AM19" i="7" l="1"/>
  <c r="AF19" i="7" s="1"/>
  <c r="AO19" i="7"/>
  <c r="AJ19" i="7" s="1"/>
  <c r="AN19" i="7"/>
  <c r="AH19" i="7" s="1"/>
  <c r="AD19" i="7" l="1"/>
  <c r="AI19" i="7"/>
  <c r="AG19" i="7"/>
  <c r="AK19" i="7"/>
  <c r="AB20" i="7" l="1"/>
  <c r="Z20" i="7"/>
  <c r="AE19" i="7"/>
  <c r="AC20" i="7" l="1"/>
  <c r="AA20" i="7"/>
  <c r="AO20" i="7"/>
  <c r="AJ20" i="7" s="1"/>
  <c r="AM20" i="7"/>
  <c r="AF20" i="7" s="1"/>
  <c r="AN20" i="7"/>
  <c r="AH20" i="7" s="1"/>
  <c r="AD20" i="7" l="1"/>
  <c r="AB21" i="7"/>
  <c r="Z21" i="7"/>
  <c r="AI20" i="7"/>
  <c r="AG20" i="7"/>
  <c r="AK20" i="7"/>
  <c r="AE20" i="7" l="1"/>
  <c r="AC21" i="7" l="1"/>
  <c r="AA21" i="7"/>
  <c r="AN21" i="7" l="1"/>
  <c r="AH21" i="7" s="1"/>
  <c r="AO21" i="7"/>
  <c r="AJ21" i="7" s="1"/>
  <c r="AI21" i="7"/>
  <c r="AM21" i="7"/>
  <c r="AF21" i="7" s="1"/>
  <c r="AD21" i="7" l="1"/>
  <c r="Z22" i="7" s="1"/>
  <c r="AK21" i="7"/>
  <c r="AB22" i="7"/>
  <c r="AG21" i="7"/>
  <c r="AE21" i="7" l="1"/>
  <c r="AC22" i="7"/>
  <c r="AA22" i="7"/>
  <c r="AO22" i="7" l="1"/>
  <c r="AN22" i="7"/>
  <c r="AM22" i="7"/>
  <c r="AH22" i="7" l="1"/>
  <c r="AI22" i="7"/>
  <c r="AG22" i="7"/>
  <c r="AF22" i="7"/>
  <c r="AK22" i="7"/>
  <c r="AJ22" i="7"/>
  <c r="AD22" i="7" l="1"/>
  <c r="Z23" i="7" s="1"/>
  <c r="AB23" i="7"/>
  <c r="AE22" i="7"/>
  <c r="AC23" i="7" l="1"/>
  <c r="AA23" i="7"/>
  <c r="AN23" i="7" s="1"/>
  <c r="AM23" i="7" l="1"/>
  <c r="AF23" i="7" s="1"/>
  <c r="AO23" i="7"/>
  <c r="AK23" i="7" s="1"/>
  <c r="AI23" i="7"/>
  <c r="AH23" i="7"/>
  <c r="AG23" i="7" l="1"/>
  <c r="AE23" i="7" s="1"/>
  <c r="AC24" i="7" s="1"/>
  <c r="AJ23" i="7"/>
  <c r="AD23" i="7" s="1"/>
  <c r="AA24" i="7" l="1"/>
  <c r="Z24" i="7"/>
  <c r="AB24" i="7"/>
  <c r="AN24" i="7" l="1"/>
  <c r="AI24" i="7" s="1"/>
  <c r="AO24" i="7"/>
  <c r="AK24" i="7" s="1"/>
  <c r="AM24" i="7"/>
  <c r="AG24" i="7" s="1"/>
  <c r="AH24" i="7" l="1"/>
  <c r="AE24" i="7"/>
  <c r="AJ24" i="7"/>
  <c r="AC25" i="7"/>
  <c r="AA25" i="7"/>
  <c r="AF24" i="7"/>
  <c r="AD24" i="7" s="1"/>
  <c r="AB25" i="7" l="1"/>
  <c r="Z25" i="7"/>
  <c r="AM25" i="7" l="1"/>
  <c r="AN25" i="7"/>
  <c r="AI25" i="7" s="1"/>
  <c r="AO25" i="7"/>
  <c r="AK25" i="7" s="1"/>
  <c r="AJ25" i="7" l="1"/>
  <c r="AF25" i="7"/>
  <c r="AG25" i="7"/>
  <c r="AE25" i="7" s="1"/>
  <c r="AH25" i="7"/>
  <c r="AA26" i="7" l="1"/>
  <c r="AC26" i="7"/>
  <c r="AD25" i="7"/>
  <c r="AB26" i="7" l="1"/>
  <c r="Z26" i="7"/>
  <c r="AM26" i="7" l="1"/>
  <c r="AO26" i="7"/>
  <c r="AN26" i="7"/>
  <c r="AJ26" i="7" l="1"/>
  <c r="AK26" i="7"/>
  <c r="AH26" i="7"/>
  <c r="AI26" i="7"/>
  <c r="AF26" i="7"/>
  <c r="AG26" i="7"/>
  <c r="AE26" i="7" s="1"/>
  <c r="AD26" i="7" l="1"/>
  <c r="AB27" i="7" s="1"/>
  <c r="AC27" i="7"/>
  <c r="AA27" i="7"/>
  <c r="Z27" i="7" l="1"/>
  <c r="AO27" i="7" s="1"/>
  <c r="AK27" i="7" s="1"/>
  <c r="AM27" i="7" l="1"/>
  <c r="AF27" i="7" s="1"/>
  <c r="AJ27" i="7"/>
  <c r="AN27" i="7"/>
  <c r="AH27" i="7" s="1"/>
  <c r="AI27" i="7" l="1"/>
  <c r="AD27" i="7"/>
  <c r="AG27" i="7"/>
  <c r="AE27" i="7" s="1"/>
  <c r="Z28" i="7"/>
  <c r="AB28" i="7"/>
  <c r="AC28" i="7" l="1"/>
  <c r="AA28" i="7"/>
  <c r="AM28" i="7" s="1"/>
  <c r="AN28" i="7" l="1"/>
  <c r="AH28" i="7" s="1"/>
  <c r="AO28" i="7"/>
  <c r="AG28" i="7"/>
  <c r="AF28" i="7"/>
  <c r="AI28" i="7"/>
  <c r="AK28" i="7" l="1"/>
  <c r="AE28" i="7" s="1"/>
  <c r="AJ28" i="7"/>
  <c r="AD28" i="7" s="1"/>
  <c r="AB29" i="7" l="1"/>
  <c r="Z29" i="7"/>
  <c r="AC29" i="7"/>
  <c r="AA29" i="7"/>
  <c r="AO29" i="7" s="1"/>
  <c r="AK29" i="7" s="1"/>
  <c r="AN29" i="7" l="1"/>
  <c r="AI29" i="7" s="1"/>
  <c r="AM29" i="7"/>
  <c r="AG29" i="7" s="1"/>
  <c r="AE29" i="7" s="1"/>
  <c r="AJ29" i="7"/>
  <c r="AH29" i="7"/>
  <c r="AA30" i="7" l="1"/>
  <c r="AC30" i="7"/>
  <c r="AF29" i="7"/>
  <c r="AD29" i="7" s="1"/>
  <c r="AB30" i="7" l="1"/>
  <c r="Z30" i="7"/>
  <c r="AN30" i="7"/>
  <c r="AI30" i="7" s="1"/>
  <c r="AO30" i="7"/>
  <c r="AK30" i="7" s="1"/>
  <c r="AM30" i="7"/>
  <c r="AH30" i="7" l="1"/>
  <c r="AJ30" i="7"/>
  <c r="AF30" i="7"/>
  <c r="AG30" i="7"/>
  <c r="AE30" i="7" s="1"/>
  <c r="AD30" i="7" l="1"/>
  <c r="Z31" i="7" s="1"/>
  <c r="AA31" i="7"/>
  <c r="AC31" i="7"/>
  <c r="AB31" i="7" l="1"/>
  <c r="AN31" i="7"/>
  <c r="AI31" i="7" s="1"/>
  <c r="AM31" i="7"/>
  <c r="AF31" i="7" s="1"/>
  <c r="AO31" i="7"/>
  <c r="AK31" i="7" s="1"/>
  <c r="AG31" i="7" l="1"/>
  <c r="AE31" i="7" s="1"/>
  <c r="AJ31" i="7"/>
  <c r="AH31" i="7"/>
  <c r="AD31" i="7" l="1"/>
  <c r="AB32" i="7" s="1"/>
  <c r="AC32" i="7"/>
  <c r="AA32" i="7"/>
  <c r="Z32" i="7" l="1"/>
  <c r="AO32" i="7" s="1"/>
  <c r="AK32" i="7" s="1"/>
  <c r="AJ32" i="7" l="1"/>
  <c r="AM32" i="7"/>
  <c r="AG32" i="7" s="1"/>
  <c r="AN32" i="7"/>
  <c r="AI32" i="7" s="1"/>
  <c r="AE32" i="7" l="1"/>
  <c r="AH32" i="7"/>
  <c r="AF32" i="7"/>
  <c r="AA33" i="7"/>
  <c r="AC33" i="7"/>
  <c r="AD32" i="7" l="1"/>
  <c r="AB33" i="7" s="1"/>
  <c r="Z33" i="7"/>
  <c r="AN33" i="7" l="1"/>
  <c r="AO33" i="7"/>
  <c r="AM33" i="7"/>
  <c r="AG33" i="7" l="1"/>
  <c r="AF33" i="7"/>
  <c r="AJ33" i="7"/>
  <c r="AK33" i="7"/>
  <c r="AH33" i="7"/>
  <c r="AI33" i="7"/>
  <c r="AD33" i="7" l="1"/>
  <c r="AE33" i="7"/>
  <c r="Z34" i="7"/>
  <c r="AB34" i="7"/>
  <c r="AA34" i="7"/>
  <c r="AC34" i="7"/>
  <c r="AN34" i="7" l="1"/>
  <c r="AI34" i="7" s="1"/>
  <c r="AO34" i="7"/>
  <c r="AM34" i="7"/>
  <c r="AF34" i="7" s="1"/>
  <c r="AJ34" i="7" l="1"/>
  <c r="AK34" i="7"/>
  <c r="AH34" i="7"/>
  <c r="AD34" i="7" s="1"/>
  <c r="AG34" i="7"/>
  <c r="Z35" i="7" l="1"/>
  <c r="AB35" i="7"/>
  <c r="AE34" i="7"/>
  <c r="AA35" i="7" l="1"/>
  <c r="AN35" i="7" s="1"/>
  <c r="AH35" i="7" s="1"/>
  <c r="AC35" i="7"/>
  <c r="AI35" i="7" l="1"/>
  <c r="AM35" i="7"/>
  <c r="AF35" i="7" s="1"/>
  <c r="AO35" i="7"/>
  <c r="AJ35" i="7" s="1"/>
  <c r="AD35" i="7" l="1"/>
  <c r="Z36" i="7"/>
  <c r="AB36" i="7"/>
  <c r="AG35" i="7"/>
  <c r="AK35" i="7"/>
  <c r="AE35" i="7" l="1"/>
  <c r="AC36" i="7" l="1"/>
  <c r="AA36" i="7"/>
  <c r="AM36" i="7" l="1"/>
  <c r="AF36" i="7" s="1"/>
  <c r="AO36" i="7"/>
  <c r="AJ36" i="7" s="1"/>
  <c r="AN36" i="7"/>
  <c r="AH36" i="7" s="1"/>
  <c r="AK36" i="7" l="1"/>
  <c r="AD36" i="7"/>
  <c r="AI36" i="7"/>
  <c r="AG36" i="7"/>
  <c r="AE36" i="7" l="1"/>
  <c r="AA37" i="7"/>
  <c r="AC37" i="7"/>
  <c r="AB37" i="7"/>
  <c r="Z37" i="7"/>
  <c r="AO37" i="7" l="1"/>
  <c r="AK37" i="7" s="1"/>
  <c r="AM37" i="7"/>
  <c r="AG37" i="7" s="1"/>
  <c r="AJ37" i="7"/>
  <c r="AN37" i="7"/>
  <c r="AI37" i="7" s="1"/>
  <c r="AF37" i="7" l="1"/>
  <c r="AH37" i="7"/>
  <c r="AD37" i="7" s="1"/>
  <c r="AE37" i="7"/>
  <c r="AA38" i="7" l="1"/>
  <c r="AC38" i="7"/>
  <c r="AB38" i="7"/>
  <c r="Z38" i="7"/>
  <c r="AN38" i="7" l="1"/>
  <c r="AI38" i="7" s="1"/>
  <c r="AM38" i="7"/>
  <c r="AG38" i="7" s="1"/>
  <c r="AO38" i="7"/>
  <c r="AK38" i="7" s="1"/>
  <c r="AH38" i="7"/>
  <c r="AF38" i="7" l="1"/>
  <c r="AJ38" i="7"/>
  <c r="AE38" i="7"/>
  <c r="AA39" i="7" l="1"/>
  <c r="AC39" i="7"/>
  <c r="AD38" i="7"/>
  <c r="AB39" i="7" l="1"/>
  <c r="Z39" i="7"/>
  <c r="AO39" i="7" l="1"/>
  <c r="AK39" i="7" s="1"/>
  <c r="AN39" i="7"/>
  <c r="AI39" i="7" s="1"/>
  <c r="AM39" i="7"/>
  <c r="AG39" i="7" s="1"/>
  <c r="AH39" i="7"/>
  <c r="AJ39" i="7"/>
  <c r="AE39" i="7" l="1"/>
  <c r="AA40" i="7"/>
  <c r="AC40" i="7"/>
  <c r="AF39" i="7"/>
  <c r="AD39" i="7" s="1"/>
  <c r="AB40" i="7" l="1"/>
  <c r="Z40" i="7"/>
  <c r="AO40" i="7" l="1"/>
  <c r="AK40" i="7" s="1"/>
  <c r="AM40" i="7"/>
  <c r="AG40" i="7" s="1"/>
  <c r="AN40" i="7"/>
  <c r="AI40" i="7" s="1"/>
  <c r="AF40" i="7"/>
  <c r="AJ40" i="7"/>
  <c r="AH40" i="7"/>
  <c r="AD40" i="7" l="1"/>
  <c r="Z41" i="7" s="1"/>
  <c r="AB41" i="7"/>
  <c r="AE40" i="7"/>
  <c r="AC41" i="7" s="1"/>
  <c r="AA41" i="7"/>
  <c r="AO41" i="7" l="1"/>
  <c r="AJ41" i="7" s="1"/>
  <c r="AN41" i="7"/>
  <c r="AH41" i="7" s="1"/>
  <c r="AM41" i="7"/>
  <c r="AF41" i="7" s="1"/>
  <c r="AD41" i="7" s="1"/>
  <c r="AG41" i="7" l="1"/>
  <c r="AB42" i="7"/>
  <c r="Z42" i="7"/>
  <c r="AK41" i="7"/>
  <c r="AI41" i="7"/>
  <c r="AE41" i="7" l="1"/>
  <c r="AC42" i="7" l="1"/>
  <c r="AA42" i="7"/>
  <c r="AO42" i="7" l="1"/>
  <c r="AN42" i="7"/>
  <c r="AM42" i="7"/>
  <c r="AG42" i="7" l="1"/>
  <c r="AF42" i="7"/>
  <c r="AK42" i="7"/>
  <c r="AJ42" i="7"/>
  <c r="AI42" i="7"/>
  <c r="AH42" i="7"/>
  <c r="AD42" i="7" l="1"/>
  <c r="AE42" i="7"/>
  <c r="AA43" i="7" l="1"/>
  <c r="AC43" i="7"/>
  <c r="AB43" i="7"/>
  <c r="Z43" i="7"/>
  <c r="AM43" i="7" l="1"/>
  <c r="AG43" i="7" s="1"/>
  <c r="AO43" i="7"/>
  <c r="AK43" i="7" s="1"/>
  <c r="AN43" i="7"/>
  <c r="AI43" i="7" s="1"/>
  <c r="AF43" i="7"/>
  <c r="AJ43" i="7"/>
  <c r="AH43" i="7" l="1"/>
  <c r="AD43" i="7"/>
  <c r="AE43" i="7"/>
  <c r="AC44" i="7" l="1"/>
  <c r="AA44" i="7"/>
  <c r="AB44" i="7"/>
  <c r="Z44" i="7"/>
  <c r="AO44" i="7" l="1"/>
  <c r="AK44" i="7" s="1"/>
  <c r="AM44" i="7"/>
  <c r="AG44" i="7" s="1"/>
  <c r="AN44" i="7"/>
  <c r="AI44" i="7" s="1"/>
  <c r="AJ44" i="7"/>
  <c r="AF44" i="7"/>
  <c r="AH44" i="7"/>
  <c r="AD44" i="7" l="1"/>
  <c r="AB45" i="7" s="1"/>
  <c r="Z45" i="7"/>
  <c r="AE44" i="7"/>
  <c r="AA45" i="7" l="1"/>
  <c r="AC45" i="7"/>
  <c r="AO45" i="7"/>
  <c r="AK45" i="7" s="1"/>
  <c r="AM45" i="7"/>
  <c r="AG45" i="7" s="1"/>
  <c r="AN45" i="7"/>
  <c r="AI45" i="7" s="1"/>
  <c r="AJ45" i="7"/>
  <c r="AF45" i="7"/>
  <c r="AH45" i="7" l="1"/>
  <c r="AD45" i="7" s="1"/>
  <c r="AE45" i="7"/>
  <c r="AC46" i="7" s="1"/>
  <c r="AA46" i="7" l="1"/>
  <c r="AB46" i="7"/>
  <c r="Z46" i="7"/>
  <c r="AN46" i="7"/>
  <c r="AI46" i="7" s="1"/>
  <c r="AO46" i="7"/>
  <c r="AK46" i="7" s="1"/>
  <c r="AM46" i="7"/>
  <c r="AG46" i="7" s="1"/>
  <c r="AE46" i="7" s="1"/>
  <c r="AC47" i="7" s="1"/>
  <c r="AJ46" i="7"/>
  <c r="AH46" i="7"/>
  <c r="AF46" i="7" l="1"/>
  <c r="AA47" i="7"/>
  <c r="AD46" i="7"/>
  <c r="AB47" i="7" l="1"/>
  <c r="Z47" i="7"/>
  <c r="AN47" i="7" l="1"/>
  <c r="AI47" i="7" s="1"/>
  <c r="AM47" i="7"/>
  <c r="AG47" i="7" s="1"/>
  <c r="AO47" i="7"/>
  <c r="AK47" i="7" s="1"/>
  <c r="AJ47" i="7"/>
  <c r="AH47" i="7"/>
  <c r="AF47" i="7"/>
  <c r="AD47" i="7" s="1"/>
  <c r="Z48" i="7" s="1"/>
  <c r="AB48" i="7" l="1"/>
  <c r="AE47" i="7"/>
  <c r="AA48" i="7" l="1"/>
  <c r="AC48" i="7"/>
  <c r="AN48" i="7" l="1"/>
  <c r="AM48" i="7"/>
  <c r="AO48" i="7"/>
  <c r="AK48" i="7" l="1"/>
  <c r="AJ48" i="7"/>
  <c r="AG48" i="7"/>
  <c r="AF48" i="7"/>
  <c r="AI48" i="7"/>
  <c r="AH48" i="7"/>
  <c r="AD48" i="7" l="1"/>
  <c r="AE48" i="7"/>
  <c r="AC49" i="7" l="1"/>
  <c r="AA49" i="7"/>
  <c r="AB49" i="7"/>
  <c r="Z49" i="7"/>
  <c r="AM49" i="7" l="1"/>
  <c r="AG49" i="7" s="1"/>
  <c r="AO49" i="7"/>
  <c r="AK49" i="7" s="1"/>
  <c r="AN49" i="7"/>
  <c r="AI49" i="7" s="1"/>
  <c r="AF49" i="7"/>
  <c r="AJ49" i="7"/>
  <c r="AH49" i="7" l="1"/>
  <c r="AD49" i="7" s="1"/>
  <c r="AE49" i="7"/>
  <c r="AB50" i="7" l="1"/>
  <c r="Z50" i="7"/>
  <c r="AC50" i="7"/>
  <c r="AA50" i="7"/>
  <c r="AM50" i="7" l="1"/>
  <c r="AG50" i="7" s="1"/>
  <c r="AN50" i="7"/>
  <c r="AI50" i="7" s="1"/>
  <c r="AO50" i="7"/>
  <c r="AK50" i="7" s="1"/>
  <c r="AH50" i="7"/>
  <c r="AF50" i="7"/>
  <c r="AJ50" i="7" l="1"/>
  <c r="AD50" i="7" s="1"/>
  <c r="AE50" i="7"/>
  <c r="Z51" i="7" l="1"/>
  <c r="AB51" i="7"/>
  <c r="AC51" i="7"/>
  <c r="AA51" i="7"/>
  <c r="AO51" i="7" l="1"/>
  <c r="AK51" i="7" s="1"/>
  <c r="AN51" i="7"/>
  <c r="AI51" i="7" s="1"/>
  <c r="AM51" i="7"/>
  <c r="AG51" i="7" s="1"/>
  <c r="AH51" i="7"/>
  <c r="AF51" i="7"/>
  <c r="AJ51" i="7" l="1"/>
  <c r="AE51" i="7"/>
  <c r="AA52" i="7" s="1"/>
  <c r="AD51" i="7"/>
  <c r="AC52" i="7"/>
  <c r="AB52" i="7" l="1"/>
  <c r="Z52" i="7"/>
  <c r="AN52" i="7" l="1"/>
  <c r="AI52" i="7" s="1"/>
  <c r="AO52" i="7"/>
  <c r="AK52" i="7" s="1"/>
  <c r="AM52" i="7"/>
  <c r="AG52" i="7" s="1"/>
  <c r="AH52" i="7"/>
  <c r="AJ52" i="7"/>
  <c r="AF52" i="7"/>
  <c r="AD52" i="7" s="1"/>
  <c r="Z53" i="7" s="1"/>
  <c r="AE52" i="7" l="1"/>
  <c r="AB53" i="7"/>
  <c r="AA53" i="7"/>
  <c r="AC53" i="7"/>
  <c r="AM53" i="7"/>
  <c r="AG53" i="7" s="1"/>
  <c r="AN53" i="7"/>
  <c r="AI53" i="7" s="1"/>
  <c r="AO53" i="7"/>
  <c r="AJ53" i="7" s="1"/>
  <c r="AF53" i="7"/>
  <c r="AH53" i="7" l="1"/>
  <c r="AD53" i="7" s="1"/>
  <c r="AK53" i="7"/>
  <c r="AE53" i="7" s="1"/>
  <c r="Z54" i="7" l="1"/>
  <c r="AB54" i="7"/>
  <c r="AC54" i="7"/>
  <c r="AA54" i="7"/>
  <c r="AO54" i="7" l="1"/>
  <c r="AN54" i="7"/>
  <c r="AM54" i="7"/>
  <c r="AH54" i="7" l="1"/>
  <c r="AI54" i="7"/>
  <c r="AF54" i="7"/>
  <c r="AG54" i="7"/>
  <c r="AJ54" i="7"/>
  <c r="AK54" i="7"/>
  <c r="AE54" i="7" l="1"/>
  <c r="AD54" i="7"/>
  <c r="AB55" i="7" l="1"/>
  <c r="Z55" i="7"/>
  <c r="AC55" i="7"/>
  <c r="AA55" i="7"/>
  <c r="AO55" i="7" l="1"/>
  <c r="AJ55" i="7" s="1"/>
  <c r="AM55" i="7"/>
  <c r="AF55" i="7" s="1"/>
  <c r="AN55" i="7"/>
  <c r="AH55" i="7" s="1"/>
  <c r="AD55" i="7" l="1"/>
  <c r="AI55" i="7"/>
  <c r="AK55" i="7"/>
  <c r="AG55" i="7"/>
  <c r="AE55" i="7" l="1"/>
  <c r="AC56" i="7"/>
  <c r="AA56" i="7"/>
  <c r="Z56" i="7"/>
  <c r="AB56" i="7"/>
  <c r="AN56" i="7" l="1"/>
  <c r="AM56" i="7"/>
  <c r="AO56" i="7"/>
  <c r="AG56" i="7" l="1"/>
  <c r="AF56" i="7"/>
  <c r="AK56" i="7"/>
  <c r="AJ56" i="7"/>
  <c r="AI56" i="7"/>
  <c r="AH56" i="7"/>
  <c r="AD56" i="7" l="1"/>
  <c r="AE56" i="7"/>
  <c r="AA57" i="7" l="1"/>
  <c r="AC57" i="7"/>
  <c r="AB57" i="7"/>
  <c r="Z57" i="7"/>
  <c r="AO57" i="7" l="1"/>
  <c r="AJ57" i="7" s="1"/>
  <c r="AM57" i="7"/>
  <c r="AF57" i="7" s="1"/>
  <c r="AD57" i="7" s="1"/>
  <c r="AN57" i="7"/>
  <c r="AH57" i="7" s="1"/>
  <c r="AK57" i="7"/>
  <c r="AG57" i="7"/>
  <c r="AI57" i="7"/>
  <c r="AB58" i="7" l="1"/>
  <c r="Z58" i="7"/>
  <c r="AE57" i="7"/>
  <c r="AC58" i="7" l="1"/>
  <c r="AA58" i="7"/>
  <c r="AN58" i="7"/>
  <c r="AH58" i="7" s="1"/>
  <c r="AM58" i="7"/>
  <c r="AF58" i="7" s="1"/>
  <c r="AO58" i="7"/>
  <c r="AK58" i="7" l="1"/>
  <c r="AJ58" i="7"/>
  <c r="AD58" i="7" s="1"/>
  <c r="AI58" i="7"/>
  <c r="AG58" i="7"/>
  <c r="AE58" i="7" s="1"/>
  <c r="AC59" i="7" l="1"/>
  <c r="AA59" i="7"/>
  <c r="Z59" i="7"/>
  <c r="AB59" i="7"/>
  <c r="AN59" i="7" l="1"/>
  <c r="AO59" i="7"/>
  <c r="AM59" i="7"/>
  <c r="AJ59" i="7" l="1"/>
  <c r="AK59" i="7"/>
  <c r="AF59" i="7"/>
  <c r="AG59" i="7"/>
  <c r="AH59" i="7"/>
  <c r="AI59" i="7"/>
  <c r="AE59" i="7" l="1"/>
  <c r="AD59" i="7"/>
  <c r="AB60" i="7" l="1"/>
  <c r="Z60" i="7"/>
  <c r="AC60" i="7"/>
  <c r="AA60" i="7"/>
  <c r="AM60" i="7" l="1"/>
  <c r="AG60" i="7" s="1"/>
  <c r="AO60" i="7"/>
  <c r="AK60" i="7" s="1"/>
  <c r="AN60" i="7"/>
  <c r="AI60" i="7" s="1"/>
  <c r="AF60" i="7"/>
  <c r="AJ60" i="7"/>
  <c r="AH60" i="7"/>
  <c r="AD60" i="7" s="1"/>
  <c r="AB61" i="7" l="1"/>
  <c r="Z61" i="7"/>
  <c r="AE60" i="7"/>
  <c r="AA61" i="7" l="1"/>
  <c r="AC61" i="7"/>
  <c r="AN61" i="7"/>
  <c r="AM61" i="7"/>
  <c r="AF61" i="7" s="1"/>
  <c r="AI61" i="7" l="1"/>
  <c r="AH61" i="7"/>
  <c r="AO61" i="7"/>
  <c r="AJ61" i="7" s="1"/>
  <c r="AG61" i="7"/>
  <c r="AD61" i="7" l="1"/>
  <c r="AB62" i="7" s="1"/>
  <c r="Z62" i="7"/>
  <c r="AK61" i="7"/>
  <c r="AE61" i="7" s="1"/>
  <c r="AA62" i="7" l="1"/>
  <c r="AC62" i="7"/>
  <c r="AM62" i="7"/>
  <c r="AN62" i="7"/>
  <c r="AO62" i="7"/>
  <c r="AK62" i="7" l="1"/>
  <c r="AJ62" i="7"/>
  <c r="AI62" i="7"/>
  <c r="AH62" i="7"/>
  <c r="AG62" i="7"/>
  <c r="AF62" i="7"/>
  <c r="AD62" i="7" s="1"/>
  <c r="AE62" i="7" l="1"/>
  <c r="AC63" i="7" s="1"/>
  <c r="Z63" i="7"/>
  <c r="AB63" i="7"/>
  <c r="AA63" i="7"/>
  <c r="AO63" i="7" l="1"/>
  <c r="AK63" i="7" s="1"/>
  <c r="AM63" i="7"/>
  <c r="AG63" i="7" s="1"/>
  <c r="AN63" i="7"/>
  <c r="AI63" i="7" s="1"/>
  <c r="AF63" i="7"/>
  <c r="AH63" i="7"/>
  <c r="AJ63" i="7"/>
  <c r="AD63" i="7" l="1"/>
  <c r="AE63" i="7"/>
  <c r="AC64" i="7" l="1"/>
  <c r="AA64" i="7"/>
  <c r="AB64" i="7"/>
  <c r="Z64" i="7"/>
  <c r="AM64" i="7" l="1"/>
  <c r="AF64" i="7" s="1"/>
  <c r="AO64" i="7"/>
  <c r="AJ64" i="7" s="1"/>
  <c r="AN64" i="7"/>
  <c r="AH64" i="7" s="1"/>
  <c r="AK64" i="7"/>
  <c r="AG64" i="7"/>
  <c r="AI64" i="7" l="1"/>
  <c r="AE64" i="7" s="1"/>
  <c r="AD64" i="7"/>
  <c r="AA65" i="7" l="1"/>
  <c r="R4" i="8" s="1"/>
  <c r="AC65" i="7"/>
  <c r="Z65" i="7"/>
  <c r="Q4" i="8" s="1"/>
  <c r="AB65" i="7"/>
  <c r="AN65" i="7" l="1"/>
  <c r="AM65" i="7"/>
  <c r="AO65" i="7"/>
  <c r="AJ65" i="7" l="1"/>
  <c r="AK65" i="7"/>
  <c r="AF65" i="7"/>
  <c r="AG65" i="7"/>
  <c r="AH65" i="7"/>
  <c r="AI65" i="7"/>
  <c r="AE65" i="7" s="1"/>
  <c r="AA66" i="7" l="1"/>
  <c r="AC66" i="7"/>
  <c r="AD65" i="7"/>
  <c r="AB66" i="7" l="1"/>
  <c r="Z66" i="7"/>
  <c r="Q5" i="8" s="1"/>
  <c r="AO66" i="7" l="1"/>
  <c r="AK66" i="7" s="1"/>
  <c r="AM66" i="7"/>
  <c r="AG66" i="7" s="1"/>
  <c r="AN66" i="7"/>
  <c r="AI66" i="7" s="1"/>
  <c r="AF66" i="7"/>
  <c r="AJ66" i="7" l="1"/>
  <c r="AH66" i="7"/>
  <c r="AE66" i="7"/>
  <c r="AD66" i="7"/>
  <c r="AB67" i="7" l="1"/>
  <c r="Z67" i="7"/>
  <c r="AA67" i="7"/>
  <c r="AC67" i="7"/>
  <c r="AN67" i="7" l="1"/>
  <c r="AO67" i="7"/>
  <c r="AM67" i="7"/>
  <c r="AK67" i="7" l="1"/>
  <c r="AJ67" i="7"/>
  <c r="AG67" i="7"/>
  <c r="AF67" i="7"/>
  <c r="AI67" i="7"/>
  <c r="AH67" i="7"/>
  <c r="AD67" i="7" l="1"/>
  <c r="AE67" i="7"/>
  <c r="AA68" i="7" l="1"/>
  <c r="AC68" i="7"/>
  <c r="Z68" i="7"/>
  <c r="AB68" i="7"/>
  <c r="AN68" i="7" l="1"/>
  <c r="AH68" i="7" s="1"/>
  <c r="AM68" i="7"/>
  <c r="AF68" i="7" s="1"/>
  <c r="AO68" i="7"/>
  <c r="AJ68" i="7" s="1"/>
  <c r="AI68" i="7"/>
  <c r="AG68" i="7"/>
  <c r="AK68" i="7"/>
  <c r="AE68" i="7" l="1"/>
  <c r="AD68" i="7"/>
  <c r="Z69" i="7" l="1"/>
  <c r="AB69" i="7"/>
  <c r="AC69" i="7"/>
  <c r="AA69" i="7"/>
  <c r="AM69" i="7" l="1"/>
  <c r="AG69" i="7" s="1"/>
  <c r="AO69" i="7"/>
  <c r="AK69" i="7" s="1"/>
  <c r="AN69" i="7"/>
  <c r="AI69" i="7" s="1"/>
  <c r="AJ69" i="7"/>
  <c r="AF69" i="7"/>
  <c r="AH69" i="7" l="1"/>
  <c r="AD69" i="7"/>
  <c r="AE69" i="7"/>
  <c r="AA70" i="7" l="1"/>
  <c r="AC70" i="7"/>
  <c r="Z70" i="7"/>
  <c r="AB70" i="7"/>
  <c r="AO70" i="7" l="1"/>
  <c r="AN70" i="7"/>
  <c r="AM70" i="7"/>
  <c r="AF70" i="7" l="1"/>
  <c r="AG70" i="7"/>
  <c r="AH70" i="7"/>
  <c r="AI70" i="7"/>
  <c r="AJ70" i="7"/>
  <c r="AK70" i="7"/>
  <c r="AE70" i="7" l="1"/>
  <c r="AD70" i="7"/>
  <c r="Z71" i="7" l="1"/>
  <c r="AB71" i="7"/>
  <c r="AC71" i="7"/>
  <c r="AA71" i="7"/>
  <c r="AN71" i="7" l="1"/>
  <c r="AM71" i="7"/>
  <c r="AF71" i="7" s="1"/>
  <c r="AO71" i="7"/>
  <c r="AJ71" i="7" s="1"/>
  <c r="AH71" i="7" l="1"/>
  <c r="AD71" i="7" s="1"/>
  <c r="AI71" i="7"/>
  <c r="AK71" i="7"/>
  <c r="AG71" i="7"/>
  <c r="AE71" i="7" s="1"/>
  <c r="AB72" i="7" l="1"/>
  <c r="Z72" i="7"/>
  <c r="AC72" i="7"/>
  <c r="AA72" i="7"/>
  <c r="AM72" i="7" l="1"/>
  <c r="AF72" i="7" s="1"/>
  <c r="AO72" i="7"/>
  <c r="AJ72" i="7" s="1"/>
  <c r="AN72" i="7"/>
  <c r="AH72" i="7" s="1"/>
  <c r="AD72" i="7" l="1"/>
  <c r="AI72" i="7"/>
  <c r="AK72" i="7"/>
  <c r="AG72" i="7"/>
  <c r="AE72" i="7" l="1"/>
  <c r="AA73" i="7" s="1"/>
  <c r="Z73" i="7"/>
  <c r="AB73" i="7"/>
  <c r="AC73" i="7" l="1"/>
  <c r="AN73" i="7"/>
  <c r="AM73" i="7"/>
  <c r="AO73" i="7"/>
  <c r="AF73" i="7" l="1"/>
  <c r="AG73" i="7"/>
  <c r="AJ73" i="7"/>
  <c r="AK73" i="7"/>
  <c r="AH73" i="7"/>
  <c r="AI73" i="7"/>
  <c r="AE73" i="7" l="1"/>
  <c r="AD73" i="7"/>
  <c r="AB74" i="7" l="1"/>
  <c r="Z74" i="7"/>
  <c r="AA74" i="7"/>
  <c r="AC74" i="7"/>
  <c r="AO74" i="7" l="1"/>
  <c r="AJ74" i="7" s="1"/>
  <c r="AM74" i="7"/>
  <c r="AF74" i="7" s="1"/>
  <c r="AN74" i="7"/>
  <c r="AH74" i="7" s="1"/>
  <c r="AD74" i="7" l="1"/>
  <c r="AK74" i="7"/>
  <c r="AG74" i="7"/>
  <c r="AI74" i="7"/>
  <c r="AE74" i="7" l="1"/>
  <c r="Z75" i="7"/>
  <c r="AB75" i="7"/>
  <c r="AC75" i="7" l="1"/>
  <c r="AA75" i="7"/>
  <c r="AM75" i="7" s="1"/>
  <c r="AF75" i="7" s="1"/>
  <c r="AG75" i="7" l="1"/>
  <c r="AO75" i="7"/>
  <c r="AJ75" i="7" s="1"/>
  <c r="AN75" i="7"/>
  <c r="AH75" i="7" s="1"/>
  <c r="AD75" i="7" s="1"/>
  <c r="Z76" i="7" l="1"/>
  <c r="AB76" i="7"/>
  <c r="AI75" i="7"/>
  <c r="AK75" i="7"/>
  <c r="AE75" i="7" l="1"/>
  <c r="AC76" i="7"/>
  <c r="AA76" i="7"/>
  <c r="AM76" i="7"/>
  <c r="AF76" i="7" s="1"/>
  <c r="AO76" i="7" l="1"/>
  <c r="AJ76" i="7" s="1"/>
  <c r="AG76" i="7"/>
  <c r="AK76" i="7"/>
  <c r="AN76" i="7"/>
  <c r="AH76" i="7" s="1"/>
  <c r="AD76" i="7" s="1"/>
  <c r="AB77" i="7" l="1"/>
  <c r="Z77" i="7"/>
  <c r="AI76" i="7"/>
  <c r="AE76" i="7" s="1"/>
  <c r="AA77" i="7" l="1"/>
  <c r="AC77" i="7"/>
  <c r="AO77" i="7"/>
  <c r="AJ77" i="7" s="1"/>
  <c r="AN77" i="7"/>
  <c r="AH77" i="7" s="1"/>
  <c r="AM77" i="7"/>
  <c r="AF77" i="7" s="1"/>
  <c r="AD77" i="7" s="1"/>
  <c r="AB78" i="7" s="1"/>
  <c r="Z78" i="7" l="1"/>
  <c r="AI77" i="7"/>
  <c r="AK77" i="7"/>
  <c r="AG77" i="7"/>
  <c r="AE77" i="7" l="1"/>
  <c r="AA78" i="7" l="1"/>
  <c r="AC78" i="7"/>
  <c r="AO78" i="7" l="1"/>
  <c r="AJ78" i="7" s="1"/>
  <c r="AM78" i="7"/>
  <c r="AF78" i="7" s="1"/>
  <c r="AN78" i="7"/>
  <c r="AH78" i="7" s="1"/>
  <c r="AK78" i="7"/>
  <c r="AG78" i="7"/>
  <c r="AI78" i="7" l="1"/>
  <c r="AD78" i="7"/>
  <c r="AE78" i="7"/>
  <c r="AC79" i="7" l="1"/>
  <c r="AA79" i="7"/>
  <c r="AB79" i="7"/>
  <c r="Z79" i="7"/>
  <c r="AO79" i="7" l="1"/>
  <c r="AK79" i="7" s="1"/>
  <c r="AM79" i="7"/>
  <c r="AG79" i="7" s="1"/>
  <c r="AN79" i="7"/>
  <c r="AI79" i="7" s="1"/>
  <c r="AF79" i="7" l="1"/>
  <c r="AH79" i="7"/>
  <c r="AJ79" i="7"/>
  <c r="AD79" i="7" s="1"/>
  <c r="AE79" i="7"/>
  <c r="AB80" i="7" l="1"/>
  <c r="Z80" i="7"/>
  <c r="AA80" i="7"/>
  <c r="AC80" i="7"/>
  <c r="AO80" i="7" l="1"/>
  <c r="AK80" i="7" s="1"/>
  <c r="AM80" i="7"/>
  <c r="AF80" i="7" s="1"/>
  <c r="AN80" i="7"/>
  <c r="AH80" i="7" s="1"/>
  <c r="AJ80" i="7" l="1"/>
  <c r="AD80" i="7" s="1"/>
  <c r="AB81" i="7" s="1"/>
  <c r="AI80" i="7"/>
  <c r="AG80" i="7"/>
  <c r="Z81" i="7" l="1"/>
  <c r="AE80" i="7"/>
  <c r="AC81" i="7" l="1"/>
  <c r="AA81" i="7"/>
  <c r="AN81" i="7" l="1"/>
  <c r="AM81" i="7"/>
  <c r="AO81" i="7"/>
  <c r="AG81" i="7" l="1"/>
  <c r="AF81" i="7"/>
  <c r="AK81" i="7"/>
  <c r="AJ81" i="7"/>
  <c r="AI81" i="7"/>
  <c r="AH81" i="7"/>
  <c r="AD81" i="7" l="1"/>
  <c r="AE81" i="7"/>
  <c r="AC82" i="7" l="1"/>
  <c r="AA82" i="7"/>
  <c r="Z82" i="7"/>
  <c r="AB82" i="7"/>
  <c r="AO82" i="7" l="1"/>
  <c r="AJ82" i="7" s="1"/>
  <c r="AM82" i="7"/>
  <c r="AF82" i="7" s="1"/>
  <c r="AN82" i="7"/>
  <c r="AH82" i="7" s="1"/>
  <c r="AK82" i="7"/>
  <c r="AI82" i="7"/>
  <c r="AG82" i="7" l="1"/>
  <c r="AD82" i="7"/>
  <c r="AE82" i="7"/>
  <c r="AC83" i="7" l="1"/>
  <c r="AA83" i="7"/>
  <c r="AB83" i="7"/>
  <c r="Z83" i="7"/>
  <c r="AO83" i="7" l="1"/>
  <c r="AJ83" i="7" s="1"/>
  <c r="AM83" i="7"/>
  <c r="AG83" i="7" s="1"/>
  <c r="AN83" i="7"/>
  <c r="AH83" i="7" s="1"/>
  <c r="AK83" i="7"/>
  <c r="AI83" i="7" l="1"/>
  <c r="AE83" i="7"/>
  <c r="AF83" i="7"/>
  <c r="AD83" i="7" s="1"/>
  <c r="AA84" i="7"/>
  <c r="AC84" i="7"/>
  <c r="AB84" i="7" l="1"/>
  <c r="Z84" i="7"/>
  <c r="AM84" i="7" l="1"/>
  <c r="AG84" i="7" s="1"/>
  <c r="AN84" i="7"/>
  <c r="AI84" i="7" s="1"/>
  <c r="AO84" i="7"/>
  <c r="AK84" i="7" s="1"/>
  <c r="AF84" i="7"/>
  <c r="AH84" i="7"/>
  <c r="AJ84" i="7" l="1"/>
  <c r="AD84" i="7" s="1"/>
  <c r="AE84" i="7"/>
  <c r="AB85" i="7" l="1"/>
  <c r="Z85" i="7"/>
  <c r="AA85" i="7"/>
  <c r="AC85" i="7"/>
  <c r="AN85" i="7" l="1"/>
  <c r="AH85" i="7" s="1"/>
  <c r="AO85" i="7"/>
  <c r="AK85" i="7" s="1"/>
  <c r="AM85" i="7"/>
  <c r="AF85" i="7" s="1"/>
  <c r="AI85" i="7"/>
  <c r="AG85" i="7" l="1"/>
  <c r="AE85" i="7" s="1"/>
  <c r="AJ85" i="7"/>
  <c r="AD85" i="7" s="1"/>
  <c r="AB86" i="7" l="1"/>
  <c r="Z86" i="7"/>
  <c r="AA86" i="7"/>
  <c r="AC86" i="7"/>
  <c r="AN86" i="7" l="1"/>
  <c r="AI86" i="7" s="1"/>
  <c r="AM86" i="7"/>
  <c r="AG86" i="7" s="1"/>
  <c r="AO86" i="7"/>
  <c r="AK86" i="7" s="1"/>
  <c r="AF86" i="7"/>
  <c r="AE86" i="7" l="1"/>
  <c r="AJ86" i="7"/>
  <c r="AH86" i="7"/>
  <c r="AD86" i="7" s="1"/>
  <c r="Z87" i="7" l="1"/>
  <c r="AB87" i="7"/>
  <c r="AC87" i="7"/>
  <c r="AA87" i="7"/>
  <c r="AO87" i="7" l="1"/>
  <c r="AJ87" i="7" s="1"/>
  <c r="AM87" i="7"/>
  <c r="AG87" i="7" s="1"/>
  <c r="AN87" i="7"/>
  <c r="AH87" i="7" s="1"/>
  <c r="AK87" i="7" l="1"/>
  <c r="AI87" i="7"/>
  <c r="AE87" i="7" s="1"/>
  <c r="AF87" i="7"/>
  <c r="AD87" i="7" s="1"/>
  <c r="Z88" i="7" l="1"/>
  <c r="AB88" i="7"/>
  <c r="AC88" i="7"/>
  <c r="AA88" i="7"/>
  <c r="AO88" i="7" l="1"/>
  <c r="AK88" i="7" s="1"/>
  <c r="AN88" i="7"/>
  <c r="AI88" i="7" s="1"/>
  <c r="AM88" i="7"/>
  <c r="AG88" i="7" s="1"/>
  <c r="AF88" i="7"/>
  <c r="AH88" i="7" l="1"/>
  <c r="AE88" i="7"/>
  <c r="AJ88" i="7"/>
  <c r="AD88" i="7" l="1"/>
  <c r="Z89" i="7"/>
  <c r="AB89" i="7"/>
  <c r="AC89" i="7"/>
  <c r="AA89" i="7"/>
  <c r="AM89" i="7" l="1"/>
  <c r="AG89" i="7" s="1"/>
  <c r="AN89" i="7"/>
  <c r="AI89" i="7" s="1"/>
  <c r="AO89" i="7"/>
  <c r="AJ89" i="7" s="1"/>
  <c r="AH89" i="7"/>
  <c r="AF89" i="7" l="1"/>
  <c r="AD89" i="7" s="1"/>
  <c r="AK89" i="7"/>
  <c r="AE89" i="7" s="1"/>
  <c r="AC90" i="7" l="1"/>
  <c r="AA90" i="7"/>
  <c r="Z90" i="7"/>
  <c r="AB90" i="7"/>
  <c r="AM90" i="7" l="1"/>
  <c r="AF90" i="7" s="1"/>
  <c r="AO90" i="7"/>
  <c r="AK90" i="7" s="1"/>
  <c r="AN90" i="7"/>
  <c r="AI90" i="7" s="1"/>
  <c r="AJ90" i="7"/>
  <c r="AH90" i="7"/>
  <c r="AG90" i="7"/>
  <c r="AE90" i="7" s="1"/>
  <c r="AA91" i="7" s="1"/>
  <c r="AD90" i="7" l="1"/>
  <c r="AC91" i="7"/>
  <c r="Z91" i="7" l="1"/>
  <c r="AB91" i="7"/>
  <c r="AO91" i="7" l="1"/>
  <c r="AK91" i="7" s="1"/>
  <c r="AM91" i="7"/>
  <c r="AG91" i="7" s="1"/>
  <c r="AJ91" i="7"/>
  <c r="AN91" i="7"/>
  <c r="AI91" i="7" s="1"/>
  <c r="AF91" i="7" l="1"/>
  <c r="AE91" i="7"/>
  <c r="AH91" i="7"/>
  <c r="AD91" i="7" s="1"/>
  <c r="AB92" i="7" l="1"/>
  <c r="Z92" i="7"/>
  <c r="AC92" i="7"/>
  <c r="AA92" i="7"/>
  <c r="AN92" i="7" l="1"/>
  <c r="AI92" i="7" s="1"/>
  <c r="AM92" i="7"/>
  <c r="AG92" i="7" s="1"/>
  <c r="AO92" i="7"/>
  <c r="AK92" i="7" s="1"/>
  <c r="AH92" i="7"/>
  <c r="AF92" i="7"/>
  <c r="AE92" i="7" l="1"/>
  <c r="AJ92" i="7"/>
  <c r="AD92" i="7" s="1"/>
  <c r="Z93" i="7" l="1"/>
  <c r="AB93" i="7"/>
  <c r="AC93" i="7"/>
  <c r="AA93" i="7"/>
  <c r="AN93" i="7" l="1"/>
  <c r="AI93" i="7" s="1"/>
  <c r="AO93" i="7"/>
  <c r="AK93" i="7" s="1"/>
  <c r="AM93" i="7"/>
  <c r="AG93" i="7" s="1"/>
  <c r="AH93" i="7"/>
  <c r="AJ93" i="7"/>
  <c r="AE93" i="7" l="1"/>
  <c r="AA94" i="7" s="1"/>
  <c r="AF93" i="7"/>
  <c r="AD93" i="7" s="1"/>
  <c r="AC94" i="7"/>
  <c r="AB94" i="7" l="1"/>
  <c r="Z94" i="7"/>
  <c r="AO94" i="7" l="1"/>
  <c r="AK94" i="7" s="1"/>
  <c r="AN94" i="7"/>
  <c r="AI94" i="7" s="1"/>
  <c r="AM94" i="7"/>
  <c r="AG94" i="7" s="1"/>
  <c r="AJ94" i="7"/>
  <c r="AH94" i="7"/>
  <c r="AF94" i="7"/>
  <c r="AD94" i="7" l="1"/>
  <c r="AE94" i="7"/>
  <c r="AC95" i="7" s="1"/>
  <c r="AA95" i="7"/>
  <c r="Z95" i="7"/>
  <c r="AB95" i="7"/>
  <c r="AN95" i="7" l="1"/>
  <c r="AM95" i="7"/>
  <c r="AO95" i="7"/>
  <c r="AG95" i="7" l="1"/>
  <c r="AF95" i="7"/>
  <c r="AK95" i="7"/>
  <c r="AJ95" i="7"/>
  <c r="AI95" i="7"/>
  <c r="AH95" i="7"/>
  <c r="AD95" i="7" l="1"/>
  <c r="AE95" i="7"/>
  <c r="AC96" i="7" l="1"/>
  <c r="AA96" i="7"/>
  <c r="AB96" i="7"/>
  <c r="Z96" i="7"/>
  <c r="AN96" i="7" l="1"/>
  <c r="AM96" i="7"/>
  <c r="AO96" i="7"/>
  <c r="AG96" i="7" l="1"/>
  <c r="AF96" i="7"/>
  <c r="AK96" i="7"/>
  <c r="AJ96" i="7"/>
  <c r="AI96" i="7"/>
  <c r="AH96" i="7"/>
  <c r="AD96" i="7" l="1"/>
  <c r="AE96" i="7"/>
  <c r="AC97" i="7" l="1"/>
  <c r="AA97" i="7"/>
  <c r="AB97" i="7"/>
  <c r="Z97" i="7"/>
  <c r="AO97" i="7" l="1"/>
  <c r="AK97" i="7" s="1"/>
  <c r="AM97" i="7"/>
  <c r="AG97" i="7" s="1"/>
  <c r="AN97" i="7"/>
  <c r="AI97" i="7" s="1"/>
  <c r="AF97" i="7"/>
  <c r="AJ97" i="7"/>
  <c r="AH97" i="7"/>
  <c r="AE97" i="7" l="1"/>
  <c r="AD97" i="7"/>
  <c r="Z98" i="7" l="1"/>
  <c r="AB98" i="7"/>
  <c r="AA98" i="7"/>
  <c r="AC98" i="7"/>
  <c r="AO98" i="7" l="1"/>
  <c r="AK98" i="7" s="1"/>
  <c r="AN98" i="7"/>
  <c r="AI98" i="7" s="1"/>
  <c r="AM98" i="7"/>
  <c r="AG98" i="7" s="1"/>
  <c r="AH98" i="7"/>
  <c r="AJ98" i="7"/>
  <c r="AE98" i="7" l="1"/>
  <c r="AA99" i="7" s="1"/>
  <c r="AF98" i="7"/>
  <c r="AD98" i="7" s="1"/>
  <c r="AC99" i="7"/>
  <c r="AB99" i="7" l="1"/>
  <c r="Z99" i="7"/>
  <c r="AM99" i="7" l="1"/>
  <c r="AO99" i="7"/>
  <c r="AN99" i="7"/>
  <c r="AK99" i="7" l="1"/>
  <c r="AJ99" i="7"/>
  <c r="AI99" i="7"/>
  <c r="AH99" i="7"/>
  <c r="AG99" i="7"/>
  <c r="AF99" i="7"/>
  <c r="AD99" i="7" s="1"/>
  <c r="AE99" i="7" l="1"/>
  <c r="Z100" i="7"/>
  <c r="AB100" i="7"/>
  <c r="AC100" i="7"/>
  <c r="AA100" i="7"/>
  <c r="AN100" i="7" l="1"/>
  <c r="AM100" i="7"/>
  <c r="AO100" i="7"/>
  <c r="AJ100" i="7" l="1"/>
  <c r="AK100" i="7"/>
  <c r="AF100" i="7"/>
  <c r="AG100" i="7"/>
  <c r="AH100" i="7"/>
  <c r="AI100" i="7"/>
  <c r="AD100" i="7" l="1"/>
  <c r="Z101" i="7"/>
  <c r="AB101" i="7"/>
  <c r="AE100" i="7"/>
  <c r="AA101" i="7" l="1"/>
  <c r="AC101" i="7"/>
  <c r="AN101" i="7"/>
  <c r="AH101" i="7" s="1"/>
  <c r="AM101" i="7"/>
  <c r="AO101" i="7"/>
  <c r="AJ101" i="7" s="1"/>
  <c r="AG101" i="7" l="1"/>
  <c r="AF101" i="7"/>
  <c r="AD101" i="7" s="1"/>
  <c r="AK101" i="7"/>
  <c r="AI101" i="7"/>
  <c r="AE101" i="7" l="1"/>
  <c r="Z102" i="7"/>
  <c r="AB102" i="7"/>
  <c r="AA102" i="7"/>
  <c r="AC102" i="7"/>
  <c r="AM102" i="7" l="1"/>
  <c r="AN102" i="7"/>
  <c r="AH102" i="7" s="1"/>
  <c r="AO102" i="7"/>
  <c r="AK102" i="7" l="1"/>
  <c r="AJ102" i="7"/>
  <c r="AF102" i="7"/>
  <c r="AG102" i="7"/>
  <c r="AI102" i="7"/>
  <c r="AD102" i="7" l="1"/>
  <c r="Z103" i="7"/>
  <c r="AB103" i="7"/>
  <c r="AE102" i="7"/>
  <c r="AA103" i="7" l="1"/>
  <c r="AC103" i="7"/>
  <c r="AN103" i="7"/>
  <c r="AO103" i="7"/>
  <c r="AM103" i="7"/>
  <c r="AK103" i="7" l="1"/>
  <c r="AJ103" i="7"/>
  <c r="AG103" i="7"/>
  <c r="AF103" i="7"/>
  <c r="AI103" i="7"/>
  <c r="AH103" i="7"/>
  <c r="AE103" i="7" l="1"/>
  <c r="AC104" i="7" s="1"/>
  <c r="AA104" i="7"/>
  <c r="AD103" i="7"/>
  <c r="AB104" i="7" l="1"/>
  <c r="Z104" i="7"/>
  <c r="AO104" i="7" l="1"/>
  <c r="AK104" i="7" s="1"/>
  <c r="AM104" i="7"/>
  <c r="AG104" i="7" s="1"/>
  <c r="AN104" i="7"/>
  <c r="AI104" i="7" s="1"/>
  <c r="AH104" i="7"/>
  <c r="AJ104" i="7"/>
  <c r="AF104" i="7"/>
  <c r="AD104" i="7" s="1"/>
  <c r="Z105" i="7" s="1"/>
  <c r="AB105" i="7" l="1"/>
  <c r="AE104" i="7"/>
  <c r="AC105" i="7" l="1"/>
  <c r="AA105" i="7"/>
  <c r="AN105" i="7" l="1"/>
  <c r="AM105" i="7"/>
  <c r="AO105" i="7"/>
  <c r="AK105" i="7" l="1"/>
  <c r="AJ105" i="7"/>
  <c r="AG105" i="7"/>
  <c r="AF105" i="7"/>
  <c r="AI105" i="7"/>
  <c r="AH105" i="7"/>
  <c r="AD105" i="7" l="1"/>
  <c r="AE105" i="7"/>
  <c r="AC106" i="7" l="1"/>
  <c r="AA106" i="7"/>
  <c r="AB106" i="7"/>
  <c r="Z106" i="7"/>
  <c r="AO106" i="7" l="1"/>
  <c r="AK106" i="7" s="1"/>
  <c r="AM106" i="7"/>
  <c r="AG106" i="7" s="1"/>
  <c r="AN106" i="7"/>
  <c r="AJ106" i="7"/>
  <c r="AI106" i="7" l="1"/>
  <c r="AH106" i="7"/>
  <c r="AE106" i="7"/>
  <c r="AF106" i="7"/>
  <c r="AD106" i="7" s="1"/>
  <c r="AA107" i="7" l="1"/>
  <c r="AC107" i="7"/>
  <c r="Z107" i="7"/>
  <c r="AB107" i="7"/>
  <c r="AN107" i="7" l="1"/>
  <c r="AO107" i="7"/>
  <c r="AK107" i="7" s="1"/>
  <c r="AM107" i="7"/>
  <c r="AJ107" i="7"/>
  <c r="AG107" i="7" l="1"/>
  <c r="AF107" i="7"/>
  <c r="AI107" i="7"/>
  <c r="AH107" i="7"/>
  <c r="AD107" i="7" l="1"/>
  <c r="AE107" i="7"/>
  <c r="AC108" i="7" l="1"/>
  <c r="AA108" i="7"/>
  <c r="AB108" i="7"/>
  <c r="Z108" i="7"/>
  <c r="AM108" i="7" l="1"/>
  <c r="AN108" i="7"/>
  <c r="AO108" i="7"/>
  <c r="AI108" i="7" l="1"/>
  <c r="AH108" i="7"/>
  <c r="AK108" i="7"/>
  <c r="AJ108" i="7"/>
  <c r="AG108" i="7"/>
  <c r="AE108" i="7" s="1"/>
  <c r="AF108" i="7"/>
  <c r="AD108" i="7" s="1"/>
  <c r="Z109" i="7" s="1"/>
  <c r="AB109" i="7" l="1"/>
  <c r="AC109" i="7"/>
  <c r="AA109" i="7"/>
  <c r="AO109" i="7"/>
  <c r="AK109" i="7" s="1"/>
  <c r="AM109" i="7"/>
  <c r="AN109" i="7"/>
  <c r="AI109" i="7" s="1"/>
  <c r="AG109" i="7" l="1"/>
  <c r="AE109" i="7" s="1"/>
  <c r="AF109" i="7"/>
  <c r="AH109" i="7"/>
  <c r="AJ109" i="7"/>
  <c r="AD109" i="7" l="1"/>
  <c r="AB110" i="7"/>
  <c r="Z110" i="7"/>
  <c r="AA110" i="7"/>
  <c r="AC110" i="7"/>
  <c r="AO110" i="7" l="1"/>
  <c r="AJ110" i="7" s="1"/>
  <c r="AN110" i="7"/>
  <c r="AI110" i="7" s="1"/>
  <c r="AM110" i="7"/>
  <c r="AF110" i="7" s="1"/>
  <c r="AG110" i="7" l="1"/>
  <c r="AK110" i="7"/>
  <c r="AH110" i="7"/>
  <c r="AD110" i="7" s="1"/>
  <c r="AB111" i="7" l="1"/>
  <c r="Z111" i="7"/>
  <c r="AE110" i="7"/>
  <c r="AA111" i="7" l="1"/>
  <c r="AC111" i="7"/>
  <c r="AN111" i="7"/>
  <c r="AH111" i="7" s="1"/>
  <c r="AO111" i="7"/>
  <c r="AJ111" i="7" s="1"/>
  <c r="AM111" i="7"/>
  <c r="AF111" i="7" s="1"/>
  <c r="AD111" i="7" s="1"/>
  <c r="Z112" i="7" l="1"/>
  <c r="AB112" i="7"/>
  <c r="AI111" i="7"/>
  <c r="AK111" i="7"/>
  <c r="AG111" i="7"/>
  <c r="AE111" i="7" l="1"/>
  <c r="AA112" i="7" l="1"/>
  <c r="AC112" i="7"/>
  <c r="AN112" i="7" l="1"/>
  <c r="AH112" i="7" s="1"/>
  <c r="AO112" i="7"/>
  <c r="AJ112" i="7" s="1"/>
  <c r="AM112" i="7"/>
  <c r="AF112" i="7" s="1"/>
  <c r="AD112" i="7" l="1"/>
  <c r="AG112" i="7"/>
  <c r="Z113" i="7"/>
  <c r="AB113" i="7"/>
  <c r="AK112" i="7"/>
  <c r="AI112" i="7"/>
  <c r="AE112" i="7" l="1"/>
  <c r="AC113" i="7" l="1"/>
  <c r="AA113" i="7"/>
  <c r="AN113" i="7" l="1"/>
  <c r="AH113" i="7" s="1"/>
  <c r="AM113" i="7"/>
  <c r="AF113" i="7" s="1"/>
  <c r="AO113" i="7"/>
  <c r="AJ113" i="7" s="1"/>
  <c r="AD113" i="7" l="1"/>
  <c r="AG113" i="7"/>
  <c r="AK113" i="7"/>
  <c r="AI113" i="7"/>
  <c r="AE113" i="7" l="1"/>
  <c r="Z114" i="7"/>
  <c r="AB114" i="7"/>
  <c r="AC114" i="7" l="1"/>
  <c r="AA114" i="7"/>
  <c r="AO114" i="7" s="1"/>
  <c r="AJ114" i="7" s="1"/>
  <c r="AN114" i="7" l="1"/>
  <c r="AH114" i="7" s="1"/>
  <c r="AM114" i="7"/>
  <c r="AF114" i="7" s="1"/>
  <c r="AD114" i="7" s="1"/>
  <c r="AB115" i="7" s="1"/>
  <c r="AI114" i="7"/>
  <c r="AK114" i="7"/>
  <c r="Z115" i="7" l="1"/>
  <c r="AG114" i="7"/>
  <c r="AE114" i="7" s="1"/>
  <c r="AA115" i="7" l="1"/>
  <c r="AC115" i="7"/>
  <c r="AN115" i="7" l="1"/>
  <c r="AH115" i="7" s="1"/>
  <c r="AO115" i="7"/>
  <c r="AJ115" i="7" s="1"/>
  <c r="AM115" i="7"/>
  <c r="AF115" i="7" s="1"/>
  <c r="AD115" i="7" l="1"/>
  <c r="AB116" i="7"/>
  <c r="Z116" i="7"/>
  <c r="AI115" i="7"/>
  <c r="AK115" i="7"/>
  <c r="AG115" i="7"/>
  <c r="AE115" i="7" s="1"/>
  <c r="AC116" i="7" l="1"/>
  <c r="AA116" i="7"/>
  <c r="AN116" i="7"/>
  <c r="AH116" i="7" s="1"/>
  <c r="AM116" i="7"/>
  <c r="AO116" i="7"/>
  <c r="AJ116" i="7" s="1"/>
  <c r="AG116" i="7" l="1"/>
  <c r="AI116" i="7"/>
  <c r="AK116" i="7"/>
  <c r="AF116" i="7"/>
  <c r="AD116" i="7" s="1"/>
  <c r="Z117" i="7" l="1"/>
  <c r="AB117" i="7"/>
  <c r="AE116" i="7"/>
  <c r="AA117" i="7" l="1"/>
  <c r="AC117" i="7"/>
  <c r="AO117" i="7"/>
  <c r="AJ117" i="7" s="1"/>
  <c r="AN117" i="7"/>
  <c r="AH117" i="7" s="1"/>
  <c r="AM117" i="7"/>
  <c r="AF117" i="7" s="1"/>
  <c r="AD117" i="7" l="1"/>
  <c r="AI117" i="7"/>
  <c r="AG117" i="7"/>
  <c r="AK117" i="7"/>
  <c r="AE117" i="7" l="1"/>
  <c r="Z118" i="7"/>
  <c r="AB118" i="7"/>
  <c r="AC118" i="7" l="1"/>
  <c r="AA118" i="7"/>
  <c r="AO118" i="7" s="1"/>
  <c r="AJ118" i="7" s="1"/>
  <c r="AN118" i="7" l="1"/>
  <c r="AH118" i="7" s="1"/>
  <c r="AM118" i="7"/>
  <c r="AF118" i="7" s="1"/>
  <c r="AD118" i="7" s="1"/>
  <c r="AB119" i="7" s="1"/>
  <c r="AK118" i="7"/>
  <c r="AI118" i="7"/>
  <c r="AG118" i="7" l="1"/>
  <c r="Z119" i="7"/>
  <c r="AE118" i="7"/>
  <c r="AC119" i="7" l="1"/>
  <c r="AA119" i="7"/>
  <c r="AN119" i="7" l="1"/>
  <c r="AH119" i="7" s="1"/>
  <c r="AO119" i="7"/>
  <c r="AJ119" i="7" s="1"/>
  <c r="AM119" i="7"/>
  <c r="AF119" i="7" l="1"/>
  <c r="AD119" i="7" s="1"/>
  <c r="AI119" i="7"/>
  <c r="AG119" i="7"/>
  <c r="AK119" i="7"/>
  <c r="AB120" i="7" l="1"/>
  <c r="Z120" i="7"/>
  <c r="AE119" i="7"/>
  <c r="AA120" i="7" l="1"/>
  <c r="AC120" i="7"/>
  <c r="AN120" i="7"/>
  <c r="AH120" i="7" s="1"/>
  <c r="AO120" i="7"/>
  <c r="AJ120" i="7" s="1"/>
  <c r="AM120" i="7"/>
  <c r="AF120" i="7" l="1"/>
  <c r="AD120" i="7" s="1"/>
  <c r="AG120" i="7"/>
  <c r="AI120" i="7"/>
  <c r="AK120" i="7"/>
  <c r="Z121" i="7" l="1"/>
  <c r="AB121" i="7"/>
  <c r="AE120" i="7"/>
  <c r="AC121" i="7" l="1"/>
  <c r="AA121" i="7"/>
  <c r="AN121" i="7"/>
  <c r="AH121" i="7" s="1"/>
  <c r="AM121" i="7"/>
  <c r="AF121" i="7" s="1"/>
  <c r="AI121" i="7" l="1"/>
  <c r="AG121" i="7"/>
  <c r="AO121" i="7"/>
  <c r="AJ121" i="7" s="1"/>
  <c r="AD121" i="7" s="1"/>
  <c r="Z122" i="7" l="1"/>
  <c r="AB122" i="7"/>
  <c r="AK121" i="7"/>
  <c r="AE121" i="7" s="1"/>
  <c r="AC122" i="7" l="1"/>
  <c r="AA122" i="7"/>
  <c r="AM122" i="7" s="1"/>
  <c r="AF122" i="7" s="1"/>
  <c r="AO122" i="7"/>
  <c r="AJ122" i="7" s="1"/>
  <c r="AK122" i="7" l="1"/>
  <c r="AG122" i="7"/>
  <c r="AN122" i="7"/>
  <c r="AH122" i="7" s="1"/>
  <c r="AD122" i="7" s="1"/>
  <c r="Z123" i="7" l="1"/>
  <c r="AB123" i="7"/>
  <c r="AI122" i="7"/>
  <c r="AE122" i="7" s="1"/>
  <c r="AA123" i="7" l="1"/>
  <c r="AC123" i="7"/>
  <c r="AN123" i="7"/>
  <c r="AH123" i="7" s="1"/>
  <c r="AM123" i="7"/>
  <c r="AF123" i="7" s="1"/>
  <c r="AO123" i="7"/>
  <c r="AJ123" i="7" s="1"/>
  <c r="AD123" i="7" l="1"/>
  <c r="Z124" i="7"/>
  <c r="AB124" i="7"/>
  <c r="AI123" i="7"/>
  <c r="AK123" i="7"/>
  <c r="AG123" i="7"/>
  <c r="AE123" i="7" l="1"/>
  <c r="AC124" i="7" s="1"/>
  <c r="AA124" i="7"/>
  <c r="AM124" i="7" s="1"/>
  <c r="AF124" i="7" s="1"/>
  <c r="AO124" i="7"/>
  <c r="AJ124" i="7" s="1"/>
  <c r="AG124" i="7" l="1"/>
  <c r="AK124" i="7"/>
  <c r="AN124" i="7"/>
  <c r="AH124" i="7" s="1"/>
  <c r="AD124" i="7" s="1"/>
  <c r="Z125" i="7" l="1"/>
  <c r="AB125" i="7"/>
  <c r="AI124" i="7"/>
  <c r="AE124" i="7" s="1"/>
  <c r="AC125" i="7" l="1"/>
  <c r="AA125" i="7"/>
  <c r="AO125" i="7"/>
  <c r="AJ125" i="7" s="1"/>
  <c r="AN125" i="7"/>
  <c r="AH125" i="7" s="1"/>
  <c r="AI125" i="7" l="1"/>
  <c r="AK125" i="7"/>
  <c r="AM125" i="7"/>
  <c r="AF125" i="7" s="1"/>
  <c r="AD125" i="7" s="1"/>
  <c r="AG125" i="7" l="1"/>
  <c r="AE125" i="7" s="1"/>
  <c r="Z126" i="7"/>
  <c r="AB126" i="7"/>
  <c r="AA126" i="7" l="1"/>
  <c r="AO126" i="7" s="1"/>
  <c r="AJ126" i="7" s="1"/>
  <c r="AC126" i="7"/>
  <c r="AN126" i="7" l="1"/>
  <c r="AH126" i="7" s="1"/>
  <c r="AM126" i="7"/>
  <c r="AF126" i="7" s="1"/>
  <c r="AD126" i="7" s="1"/>
  <c r="Z127" i="7" s="1"/>
  <c r="AK126" i="7"/>
  <c r="AI126" i="7"/>
  <c r="AG126" i="7"/>
  <c r="AE126" i="7" l="1"/>
  <c r="AA127" i="7" s="1"/>
  <c r="AB127" i="7"/>
  <c r="AC127" i="7"/>
  <c r="AO127" i="7"/>
  <c r="AK127" i="7" s="1"/>
  <c r="AM127" i="7"/>
  <c r="AG127" i="7" s="1"/>
  <c r="AN127" i="7"/>
  <c r="AH127" i="7" s="1"/>
  <c r="AF127" i="7" l="1"/>
  <c r="AJ127" i="7"/>
  <c r="AI127" i="7"/>
  <c r="AE127" i="7" s="1"/>
  <c r="AD127" i="7"/>
  <c r="AA128" i="7" l="1"/>
  <c r="AC128" i="7"/>
  <c r="Z128" i="7"/>
  <c r="AB128" i="7"/>
  <c r="AN128" i="7" l="1"/>
  <c r="AH128" i="7" s="1"/>
  <c r="AM128" i="7"/>
  <c r="AG128" i="7" s="1"/>
  <c r="AO128" i="7"/>
  <c r="AJ128" i="7" s="1"/>
  <c r="AK128" i="7" l="1"/>
  <c r="AF128" i="7"/>
  <c r="AD128" i="7" s="1"/>
  <c r="AI128" i="7"/>
  <c r="AE128" i="7" s="1"/>
  <c r="AC129" i="7" l="1"/>
  <c r="AA129" i="7"/>
  <c r="AB129" i="7"/>
  <c r="Z129" i="7"/>
  <c r="AO129" i="7" l="1"/>
  <c r="AJ129" i="7" s="1"/>
  <c r="AN129" i="7"/>
  <c r="AI129" i="7" s="1"/>
  <c r="AM129" i="7"/>
  <c r="AG129" i="7" s="1"/>
  <c r="AF129" i="7" l="1"/>
  <c r="AH129" i="7"/>
  <c r="AK129" i="7"/>
  <c r="AE129" i="7" s="1"/>
  <c r="AA130" i="7" l="1"/>
  <c r="AC130" i="7"/>
  <c r="AD129" i="7"/>
  <c r="AB130" i="7" l="1"/>
  <c r="Z130" i="7"/>
  <c r="AO130" i="7" l="1"/>
  <c r="AK130" i="7" s="1"/>
  <c r="AM130" i="7"/>
  <c r="AN130" i="7"/>
  <c r="AI130" i="7" s="1"/>
  <c r="AG130" i="7" l="1"/>
  <c r="AE130" i="7" s="1"/>
  <c r="AJ130" i="7"/>
  <c r="AF130" i="7"/>
  <c r="AH130" i="7"/>
  <c r="AC131" i="7" l="1"/>
  <c r="AA131" i="7"/>
  <c r="AD130" i="7"/>
  <c r="Z131" i="7" l="1"/>
  <c r="AB131" i="7"/>
  <c r="AM131" i="7" l="1"/>
  <c r="AG131" i="7" s="1"/>
  <c r="AO131" i="7"/>
  <c r="AK131" i="7" s="1"/>
  <c r="AN131" i="7"/>
  <c r="AI131" i="7" s="1"/>
  <c r="AH131" i="7" l="1"/>
  <c r="AE131" i="7"/>
  <c r="AF131" i="7"/>
  <c r="AJ131" i="7"/>
  <c r="AA132" i="7" l="1"/>
  <c r="AC132" i="7"/>
  <c r="AD131" i="7"/>
  <c r="AB132" i="7" l="1"/>
  <c r="Z132" i="7"/>
  <c r="AN132" i="7" l="1"/>
  <c r="AI132" i="7" s="1"/>
  <c r="AO132" i="7"/>
  <c r="AK132" i="7" s="1"/>
  <c r="AM132" i="7"/>
  <c r="AG132" i="7" s="1"/>
  <c r="AE132" i="7" l="1"/>
  <c r="AC133" i="7"/>
  <c r="AA133" i="7"/>
  <c r="AJ132" i="7"/>
  <c r="AF132" i="7"/>
  <c r="AH132" i="7"/>
  <c r="AD132" i="7" l="1"/>
  <c r="AB133" i="7" l="1"/>
  <c r="Z133" i="7"/>
  <c r="AO133" i="7" l="1"/>
  <c r="AK133" i="7" s="1"/>
  <c r="AM133" i="7"/>
  <c r="AG133" i="7" s="1"/>
  <c r="AN133" i="7"/>
  <c r="AI133" i="7" s="1"/>
  <c r="AE133" i="7" l="1"/>
  <c r="AJ133" i="7"/>
  <c r="AF133" i="7"/>
  <c r="AH133" i="7"/>
  <c r="AD133" i="7" l="1"/>
  <c r="Z134" i="7"/>
  <c r="AB134" i="7"/>
  <c r="AA134" i="7"/>
  <c r="AC134" i="7"/>
  <c r="AO134" i="7" l="1"/>
  <c r="AJ134" i="7" s="1"/>
  <c r="AM134" i="7"/>
  <c r="AF134" i="7" s="1"/>
  <c r="AN134" i="7"/>
  <c r="AH134" i="7" s="1"/>
  <c r="AG134" i="7" l="1"/>
  <c r="AD134" i="7"/>
  <c r="AI134" i="7"/>
  <c r="AK134" i="7"/>
  <c r="AE134" i="7" l="1"/>
  <c r="AC135" i="7" s="1"/>
  <c r="AA135" i="7"/>
  <c r="Z135" i="7"/>
  <c r="AB135" i="7"/>
  <c r="AM135" i="7" l="1"/>
  <c r="AF135" i="7" s="1"/>
  <c r="AO135" i="7"/>
  <c r="AK135" i="7" s="1"/>
  <c r="AN135" i="7"/>
  <c r="AI135" i="7" s="1"/>
  <c r="AJ135" i="7" l="1"/>
  <c r="AH135" i="7"/>
  <c r="AG135" i="7"/>
  <c r="AE135" i="7" s="1"/>
  <c r="AD135" i="7" l="1"/>
  <c r="AB136" i="7"/>
  <c r="Z136" i="7"/>
  <c r="AC136" i="7"/>
  <c r="AA136" i="7"/>
  <c r="AO136" i="7" s="1"/>
  <c r="AJ136" i="7" s="1"/>
  <c r="AN136" i="7" l="1"/>
  <c r="AH136" i="7" s="1"/>
  <c r="AM136" i="7"/>
  <c r="AF136" i="7" s="1"/>
  <c r="AK136" i="7"/>
  <c r="AI136" i="7" l="1"/>
  <c r="AD136" i="7"/>
  <c r="AB137" i="7" s="1"/>
  <c r="AG136" i="7"/>
  <c r="AE136" i="7" s="1"/>
  <c r="Z137" i="7"/>
  <c r="AA137" i="7" l="1"/>
  <c r="AC137" i="7"/>
  <c r="AM137" i="7" l="1"/>
  <c r="AF137" i="7" s="1"/>
  <c r="AN137" i="7"/>
  <c r="AH137" i="7" s="1"/>
  <c r="AO137" i="7"/>
  <c r="AJ137" i="7" s="1"/>
  <c r="AI137" i="7" l="1"/>
  <c r="AD137" i="7"/>
  <c r="AG137" i="7"/>
  <c r="AK137" i="7"/>
  <c r="AB138" i="7" l="1"/>
  <c r="Z138" i="7"/>
  <c r="AE137" i="7"/>
  <c r="AC138" i="7" l="1"/>
  <c r="AA138" i="7"/>
  <c r="AN138" i="7" s="1"/>
  <c r="AH138" i="7" s="1"/>
  <c r="AM138" i="7"/>
  <c r="AF138" i="7" s="1"/>
  <c r="AO138" i="7" l="1"/>
  <c r="AJ138" i="7" s="1"/>
  <c r="AD138" i="7" s="1"/>
  <c r="Z139" i="7" s="1"/>
  <c r="AI138" i="7"/>
  <c r="AG138" i="7"/>
  <c r="AK138" i="7" l="1"/>
  <c r="AB139" i="7"/>
  <c r="AE138" i="7"/>
  <c r="AC139" i="7" s="1"/>
  <c r="AA139" i="7" l="1"/>
  <c r="AO139" i="7" s="1"/>
  <c r="AJ139" i="7" s="1"/>
  <c r="AN139" i="7"/>
  <c r="AH139" i="7" s="1"/>
  <c r="AI139" i="7"/>
  <c r="AK139" i="7"/>
  <c r="AM139" i="7"/>
  <c r="AF139" i="7" s="1"/>
  <c r="AD139" i="7" s="1"/>
  <c r="Z140" i="7" l="1"/>
  <c r="AB140" i="7"/>
  <c r="AG139" i="7"/>
  <c r="AE139" i="7" s="1"/>
  <c r="AC140" i="7" l="1"/>
  <c r="AA140" i="7"/>
  <c r="AO140" i="7" s="1"/>
  <c r="AJ140" i="7" s="1"/>
  <c r="AM140" i="7"/>
  <c r="AF140" i="7" s="1"/>
  <c r="AG140" i="7" l="1"/>
  <c r="AK140" i="7"/>
  <c r="AN140" i="7"/>
  <c r="AH140" i="7" s="1"/>
  <c r="AD140" i="7" s="1"/>
  <c r="Z141" i="7" l="1"/>
  <c r="AB141" i="7"/>
  <c r="AI140" i="7"/>
  <c r="AE140" i="7" s="1"/>
  <c r="AC141" i="7" l="1"/>
  <c r="AA141" i="7"/>
  <c r="AO141" i="7"/>
  <c r="AJ141" i="7" s="1"/>
  <c r="AM141" i="7"/>
  <c r="AF141" i="7" s="1"/>
  <c r="AN141" i="7"/>
  <c r="AH141" i="7" s="1"/>
  <c r="AD141" i="7" l="1"/>
  <c r="AB142" i="7"/>
  <c r="Z142" i="7"/>
  <c r="AI141" i="7"/>
  <c r="AG141" i="7"/>
  <c r="AK141" i="7"/>
  <c r="AE141" i="7" l="1"/>
  <c r="AC142" i="7" l="1"/>
  <c r="AA142" i="7"/>
  <c r="AN142" i="7" l="1"/>
  <c r="AH142" i="7" s="1"/>
  <c r="AM142" i="7"/>
  <c r="AF142" i="7" s="1"/>
  <c r="AO142" i="7"/>
  <c r="AJ142" i="7" s="1"/>
  <c r="AD142" i="7" l="1"/>
  <c r="AG142" i="7"/>
  <c r="AI142" i="7"/>
  <c r="AK142" i="7"/>
  <c r="AE142" i="7" l="1"/>
  <c r="AB143" i="7"/>
  <c r="Z143" i="7"/>
  <c r="AA143" i="7" l="1"/>
  <c r="AC143" i="7"/>
  <c r="AO143" i="7" l="1"/>
  <c r="AJ143" i="7" s="1"/>
  <c r="AM143" i="7"/>
  <c r="AF143" i="7" s="1"/>
  <c r="AN143" i="7"/>
  <c r="AH143" i="7" s="1"/>
  <c r="AK143" i="7" l="1"/>
  <c r="AD143" i="7"/>
  <c r="AG143" i="7"/>
  <c r="AI143" i="7"/>
  <c r="AB144" i="7" l="1"/>
  <c r="Z144" i="7"/>
  <c r="AE143" i="7"/>
  <c r="AA144" i="7" l="1"/>
  <c r="AC144" i="7"/>
  <c r="AN144" i="7" l="1"/>
  <c r="AH144" i="7" s="1"/>
  <c r="AM144" i="7"/>
  <c r="AF144" i="7" s="1"/>
  <c r="AO144" i="7"/>
  <c r="AJ144" i="7" s="1"/>
  <c r="AI144" i="7" l="1"/>
  <c r="AD144" i="7"/>
  <c r="AK144" i="7"/>
  <c r="AG144" i="7"/>
  <c r="AE144" i="7" l="1"/>
  <c r="AC145" i="7" s="1"/>
  <c r="AB145" i="7"/>
  <c r="Z145" i="7"/>
  <c r="AA145" i="7" l="1"/>
  <c r="AM145" i="7" s="1"/>
  <c r="AG145" i="7" s="1"/>
  <c r="AO145" i="7" l="1"/>
  <c r="AK145" i="7" s="1"/>
  <c r="AN145" i="7"/>
  <c r="AI145" i="7" s="1"/>
  <c r="AF145" i="7"/>
  <c r="AH145" i="7" l="1"/>
  <c r="AE145" i="7"/>
  <c r="AJ145" i="7"/>
  <c r="AD145" i="7" s="1"/>
  <c r="AC146" i="7"/>
  <c r="AA146" i="7"/>
  <c r="Z146" i="7" l="1"/>
  <c r="AO146" i="7" s="1"/>
  <c r="AK146" i="7" s="1"/>
  <c r="AB146" i="7"/>
  <c r="AN146" i="7" l="1"/>
  <c r="AH146" i="7" s="1"/>
  <c r="AM146" i="7"/>
  <c r="AG146" i="7" s="1"/>
  <c r="AJ146" i="7"/>
  <c r="AF146" i="7" l="1"/>
  <c r="AD146" i="7" s="1"/>
  <c r="AI146" i="7"/>
  <c r="AE146" i="7" s="1"/>
  <c r="AA147" i="7" s="1"/>
  <c r="AB147" i="7"/>
  <c r="Z147" i="7"/>
  <c r="AC147" i="7" l="1"/>
  <c r="AN147" i="7"/>
  <c r="AI147" i="7" s="1"/>
  <c r="AM147" i="7"/>
  <c r="AG147" i="7" s="1"/>
  <c r="AO147" i="7"/>
  <c r="AK147" i="7" s="1"/>
  <c r="AE147" i="7" l="1"/>
  <c r="AA148" i="7" s="1"/>
  <c r="AF147" i="7"/>
  <c r="AJ147" i="7"/>
  <c r="AH147" i="7"/>
  <c r="AC148" i="7" l="1"/>
  <c r="AD147" i="7"/>
  <c r="Z148" i="7" l="1"/>
  <c r="AB148" i="7"/>
  <c r="AN148" i="7" l="1"/>
  <c r="AI148" i="7" s="1"/>
  <c r="AM148" i="7"/>
  <c r="AG148" i="7" s="1"/>
  <c r="AO148" i="7"/>
  <c r="AK148" i="7" s="1"/>
  <c r="AE148" i="7" l="1"/>
  <c r="AJ148" i="7"/>
  <c r="AH148" i="7"/>
  <c r="AF148" i="7"/>
  <c r="AD148" i="7" l="1"/>
  <c r="AB149" i="7" s="1"/>
  <c r="AA149" i="7"/>
  <c r="AC149" i="7"/>
  <c r="Z149" i="7" l="1"/>
  <c r="AN149" i="7" s="1"/>
  <c r="AH149" i="7" s="1"/>
  <c r="AM149" i="7" l="1"/>
  <c r="AG149" i="7" s="1"/>
  <c r="AO149" i="7"/>
  <c r="AK149" i="7" s="1"/>
  <c r="AI149" i="7"/>
  <c r="AJ149" i="7" l="1"/>
  <c r="AF149" i="7"/>
  <c r="AD149" i="7" s="1"/>
  <c r="AB150" i="7" s="1"/>
  <c r="AE149" i="7"/>
  <c r="AA150" i="7" s="1"/>
  <c r="Z150" i="7" l="1"/>
  <c r="AN150" i="7" s="1"/>
  <c r="AH150" i="7" s="1"/>
  <c r="AC150" i="7"/>
  <c r="AO150" i="7" l="1"/>
  <c r="AJ150" i="7" s="1"/>
  <c r="AM150" i="7"/>
  <c r="AG150" i="7" s="1"/>
  <c r="AI150" i="7"/>
  <c r="AF150" i="7" l="1"/>
  <c r="AD150" i="7" s="1"/>
  <c r="Z151" i="7" s="1"/>
  <c r="AK150" i="7"/>
  <c r="AE150" i="7" s="1"/>
  <c r="AA151" i="7" l="1"/>
  <c r="AN151" i="7" s="1"/>
  <c r="AI151" i="7" s="1"/>
  <c r="AC151" i="7"/>
  <c r="AB151" i="7"/>
  <c r="AM151" i="7" l="1"/>
  <c r="AG151" i="7" s="1"/>
  <c r="AO151" i="7"/>
  <c r="AK151" i="7" s="1"/>
  <c r="AH151" i="7"/>
  <c r="AJ151" i="7" l="1"/>
  <c r="AE151" i="7"/>
  <c r="AA152" i="7" s="1"/>
  <c r="AC152" i="7"/>
  <c r="AF151" i="7"/>
  <c r="AD151" i="7" s="1"/>
  <c r="Z152" i="7" l="1"/>
  <c r="AM152" i="7" s="1"/>
  <c r="AG152" i="7" s="1"/>
  <c r="AB152" i="7"/>
  <c r="AN152" i="7" l="1"/>
  <c r="AI152" i="7" s="1"/>
  <c r="AO152" i="7"/>
  <c r="AK152" i="7" s="1"/>
  <c r="AF152" i="7"/>
  <c r="AJ152" i="7"/>
  <c r="AE152" i="7" l="1"/>
  <c r="AH152" i="7"/>
  <c r="AD152" i="7" s="1"/>
  <c r="AC153" i="7"/>
  <c r="AA153" i="7"/>
  <c r="AB153" i="7" l="1"/>
  <c r="Z153" i="7"/>
  <c r="AM153" i="7" l="1"/>
  <c r="AG153" i="7" s="1"/>
  <c r="AO153" i="7"/>
  <c r="AK153" i="7" s="1"/>
  <c r="AN153" i="7"/>
  <c r="AI153" i="7" s="1"/>
  <c r="AE153" i="7" l="1"/>
  <c r="AJ153" i="7"/>
  <c r="AH153" i="7"/>
  <c r="AF153" i="7"/>
  <c r="AD153" i="7" l="1"/>
  <c r="AA154" i="7"/>
  <c r="AC154" i="7"/>
  <c r="Z154" i="7" l="1"/>
  <c r="AB154" i="7"/>
  <c r="AM154" i="7" l="1"/>
  <c r="AG154" i="7" s="1"/>
  <c r="AN154" i="7"/>
  <c r="AI154" i="7" s="1"/>
  <c r="AO154" i="7"/>
  <c r="AK154" i="7" s="1"/>
  <c r="AE154" i="7" l="1"/>
  <c r="AJ154" i="7"/>
  <c r="AH154" i="7"/>
  <c r="AF154" i="7"/>
  <c r="AD154" i="7" l="1"/>
  <c r="AC155" i="7"/>
  <c r="AA155" i="7"/>
  <c r="AB155" i="7" l="1"/>
  <c r="Z155" i="7"/>
  <c r="AN155" i="7" l="1"/>
  <c r="AI155" i="7" s="1"/>
  <c r="AO155" i="7"/>
  <c r="AK155" i="7" s="1"/>
  <c r="AM155" i="7"/>
  <c r="AG155" i="7" l="1"/>
  <c r="AE155" i="7" s="1"/>
  <c r="AJ155" i="7"/>
  <c r="AH155" i="7"/>
  <c r="AF155" i="7"/>
  <c r="AD155" i="7" l="1"/>
  <c r="AB156" i="7"/>
  <c r="Z156" i="7"/>
  <c r="AC156" i="7"/>
  <c r="AA156" i="7"/>
  <c r="AM156" i="7" l="1"/>
  <c r="AG156" i="7" s="1"/>
  <c r="AN156" i="7"/>
  <c r="AI156" i="7" s="1"/>
  <c r="AO156" i="7"/>
  <c r="AK156" i="7" s="1"/>
  <c r="AJ156" i="7" l="1"/>
  <c r="AF156" i="7"/>
  <c r="AH156" i="7"/>
  <c r="AE156" i="7"/>
  <c r="AD156" i="7" l="1"/>
  <c r="AB157" i="7"/>
  <c r="Z157" i="7"/>
  <c r="AC157" i="7"/>
  <c r="AA157" i="7"/>
  <c r="AM157" i="7" l="1"/>
  <c r="AF157" i="7" s="1"/>
  <c r="AN157" i="7"/>
  <c r="AI157" i="7" s="1"/>
  <c r="AO157" i="7"/>
  <c r="AJ157" i="7" s="1"/>
  <c r="AK157" i="7" l="1"/>
  <c r="AH157" i="7"/>
  <c r="AD157" i="7" s="1"/>
  <c r="AG157" i="7"/>
  <c r="AE157" i="7" s="1"/>
  <c r="AB158" i="7" l="1"/>
  <c r="Z158" i="7"/>
  <c r="AC158" i="7"/>
  <c r="AA158" i="7"/>
  <c r="AN158" i="7" l="1"/>
  <c r="AI158" i="7" s="1"/>
  <c r="AM158" i="7"/>
  <c r="AG158" i="7" s="1"/>
  <c r="AO158" i="7"/>
  <c r="AK158" i="7" s="1"/>
  <c r="AE158" i="7" l="1"/>
  <c r="AF158" i="7"/>
  <c r="AJ158" i="7"/>
  <c r="AA159" i="7"/>
  <c r="AC159" i="7"/>
  <c r="AH158" i="7"/>
  <c r="AD158" i="7" l="1"/>
  <c r="Z159" i="7"/>
  <c r="AB159" i="7"/>
  <c r="AM159" i="7" l="1"/>
  <c r="AG159" i="7" s="1"/>
  <c r="AO159" i="7"/>
  <c r="AK159" i="7" s="1"/>
  <c r="AN159" i="7"/>
  <c r="AI159" i="7" s="1"/>
  <c r="AJ159" i="7" l="1"/>
  <c r="AH159" i="7"/>
  <c r="AF159" i="7"/>
  <c r="AE159" i="7"/>
  <c r="AD159" i="7" l="1"/>
  <c r="AB160" i="7" s="1"/>
  <c r="AA160" i="7"/>
  <c r="AC160" i="7"/>
  <c r="Z160" i="7"/>
  <c r="AO160" i="7" l="1"/>
  <c r="AK160" i="7" s="1"/>
  <c r="AM160" i="7"/>
  <c r="AF160" i="7" s="1"/>
  <c r="AN160" i="7"/>
  <c r="AI160" i="7" s="1"/>
  <c r="AH160" i="7" l="1"/>
  <c r="AG160" i="7"/>
  <c r="AE160" i="7" s="1"/>
  <c r="AJ160" i="7"/>
  <c r="AD160" i="7" l="1"/>
  <c r="AB161" i="7"/>
  <c r="Z161" i="7"/>
  <c r="AA161" i="7"/>
  <c r="AC161" i="7"/>
  <c r="AM161" i="7" l="1"/>
  <c r="AG161" i="7" s="1"/>
  <c r="AO161" i="7"/>
  <c r="AK161" i="7" s="1"/>
  <c r="AN161" i="7"/>
  <c r="AI161" i="7" s="1"/>
  <c r="AH161" i="7" l="1"/>
  <c r="AF161" i="7"/>
  <c r="AJ161" i="7"/>
  <c r="AE161" i="7"/>
  <c r="AD161" i="7" l="1"/>
  <c r="Z162" i="7" s="1"/>
  <c r="AA162" i="7"/>
  <c r="AC162" i="7"/>
  <c r="AB162" i="7" l="1"/>
  <c r="AO162" i="7"/>
  <c r="AJ162" i="7" s="1"/>
  <c r="AM162" i="7"/>
  <c r="AF162" i="7" s="1"/>
  <c r="AN162" i="7"/>
  <c r="AH162" i="7" s="1"/>
  <c r="AI162" i="7" l="1"/>
  <c r="AK162" i="7"/>
  <c r="AG162" i="7"/>
  <c r="AD162" i="7"/>
  <c r="Z163" i="7" l="1"/>
  <c r="AB163" i="7"/>
  <c r="AE162" i="7"/>
  <c r="AC163" i="7" l="1"/>
  <c r="AA163" i="7"/>
  <c r="AM163" i="7" s="1"/>
  <c r="AF163" i="7" s="1"/>
  <c r="AO163" i="7"/>
  <c r="AJ163" i="7" s="1"/>
  <c r="AG163" i="7" l="1"/>
  <c r="AK163" i="7"/>
  <c r="AN163" i="7"/>
  <c r="AH163" i="7" s="1"/>
  <c r="AD163" i="7" s="1"/>
  <c r="Z164" i="7" l="1"/>
  <c r="AB164" i="7"/>
  <c r="AI163" i="7"/>
  <c r="AE163" i="7" s="1"/>
  <c r="AA164" i="7" l="1"/>
  <c r="AC164" i="7"/>
  <c r="AN164" i="7"/>
  <c r="AH164" i="7" s="1"/>
  <c r="AM164" i="7"/>
  <c r="AF164" i="7" s="1"/>
  <c r="AO164" i="7"/>
  <c r="AJ164" i="7" s="1"/>
  <c r="AD164" i="7" l="1"/>
  <c r="AB165" i="7"/>
  <c r="Z165" i="7"/>
  <c r="AI164" i="7"/>
  <c r="AK164" i="7"/>
  <c r="AG164" i="7"/>
  <c r="AE164" i="7" s="1"/>
  <c r="AC165" i="7" s="1"/>
  <c r="AA165" i="7" l="1"/>
  <c r="AM165" i="7" s="1"/>
  <c r="AF165" i="7" s="1"/>
  <c r="AO165" i="7" l="1"/>
  <c r="AJ165" i="7" s="1"/>
  <c r="AN165" i="7"/>
  <c r="AH165" i="7" s="1"/>
  <c r="AK165" i="7"/>
  <c r="AG165" i="7"/>
  <c r="AI165" i="7" l="1"/>
  <c r="AD165" i="7"/>
  <c r="AE165" i="7"/>
  <c r="AC166" i="7" s="1"/>
  <c r="AB166" i="7"/>
  <c r="Z166" i="7"/>
  <c r="AA166" i="7" l="1"/>
  <c r="AN166" i="7"/>
  <c r="AI166" i="7" s="1"/>
  <c r="AM166" i="7"/>
  <c r="AG166" i="7" s="1"/>
  <c r="AO166" i="7"/>
  <c r="AK166" i="7" s="1"/>
  <c r="AE166" i="7" l="1"/>
  <c r="AC167" i="7"/>
  <c r="AA167" i="7"/>
  <c r="AH166" i="7"/>
  <c r="AF166" i="7"/>
  <c r="AJ166" i="7"/>
  <c r="AD166" i="7" l="1"/>
  <c r="AB167" i="7" l="1"/>
  <c r="Z167" i="7"/>
  <c r="AM167" i="7" l="1"/>
  <c r="AG167" i="7" s="1"/>
  <c r="AN167" i="7"/>
  <c r="AI167" i="7" s="1"/>
  <c r="AO167" i="7"/>
  <c r="AK167" i="7" s="1"/>
  <c r="AE167" i="7" l="1"/>
  <c r="AH167" i="7"/>
  <c r="AJ167" i="7"/>
  <c r="AF167" i="7"/>
  <c r="AD167" i="7" l="1"/>
  <c r="AA168" i="7"/>
  <c r="AC168" i="7"/>
  <c r="AB168" i="7" l="1"/>
  <c r="Z168" i="7"/>
  <c r="AM168" i="7" l="1"/>
  <c r="AG168" i="7" s="1"/>
  <c r="AO168" i="7"/>
  <c r="AK168" i="7" s="1"/>
  <c r="AN168" i="7"/>
  <c r="AI168" i="7" s="1"/>
  <c r="AE168" i="7" l="1"/>
  <c r="AF168" i="7"/>
  <c r="AH168" i="7"/>
  <c r="AJ168" i="7"/>
  <c r="AD168" i="7" l="1"/>
  <c r="AC169" i="7"/>
  <c r="AA169" i="7"/>
  <c r="AB169" i="7" l="1"/>
  <c r="Z169" i="7"/>
  <c r="AM169" i="7" l="1"/>
  <c r="AG169" i="7" s="1"/>
  <c r="AO169" i="7"/>
  <c r="AK169" i="7" s="1"/>
  <c r="AN169" i="7"/>
  <c r="AI169" i="7" s="1"/>
  <c r="AE169" i="7" l="1"/>
  <c r="AJ169" i="7"/>
  <c r="AH169" i="7"/>
  <c r="AF169" i="7"/>
  <c r="AD169" i="7" l="1"/>
  <c r="AC170" i="7"/>
  <c r="AA170" i="7"/>
  <c r="AB170" i="7" l="1"/>
  <c r="Z170" i="7"/>
  <c r="AN170" i="7" l="1"/>
  <c r="AI170" i="7" s="1"/>
  <c r="AO170" i="7"/>
  <c r="AK170" i="7" s="1"/>
  <c r="AM170" i="7"/>
  <c r="AG170" i="7" s="1"/>
  <c r="AE170" i="7" l="1"/>
  <c r="AC171" i="7" s="1"/>
  <c r="AA171" i="7"/>
  <c r="AH170" i="7"/>
  <c r="AF170" i="7"/>
  <c r="AJ170" i="7"/>
  <c r="AD170" i="7" l="1"/>
  <c r="AB171" i="7" l="1"/>
  <c r="Z171" i="7"/>
  <c r="AO171" i="7" l="1"/>
  <c r="AK171" i="7" s="1"/>
  <c r="AM171" i="7"/>
  <c r="AG171" i="7" s="1"/>
  <c r="AN171" i="7"/>
  <c r="AI171" i="7" s="1"/>
  <c r="AJ171" i="7" l="1"/>
  <c r="AE171" i="7"/>
  <c r="AH171" i="7"/>
  <c r="AF171" i="7"/>
  <c r="AD171" i="7" l="1"/>
  <c r="AB172" i="7"/>
  <c r="Z172" i="7"/>
  <c r="AC172" i="7"/>
  <c r="AA172" i="7"/>
  <c r="AO172" i="7" l="1"/>
  <c r="AK172" i="7" s="1"/>
  <c r="AN172" i="7"/>
  <c r="AI172" i="7" s="1"/>
  <c r="AM172" i="7"/>
  <c r="AG172" i="7" s="1"/>
  <c r="AE172" i="7" l="1"/>
  <c r="AH172" i="7"/>
  <c r="AJ172" i="7"/>
  <c r="AF172" i="7"/>
  <c r="AC173" i="7"/>
  <c r="AA173" i="7"/>
  <c r="AD172" i="7"/>
  <c r="AB173" i="7" l="1"/>
  <c r="Z173" i="7"/>
  <c r="AO173" i="7" l="1"/>
  <c r="AK173" i="7" s="1"/>
  <c r="AN173" i="7"/>
  <c r="AI173" i="7" s="1"/>
  <c r="AM173" i="7"/>
  <c r="AG173" i="7" s="1"/>
  <c r="AE173" i="7" l="1"/>
  <c r="AC174" i="7" s="1"/>
  <c r="AA174" i="7"/>
  <c r="AH173" i="7"/>
  <c r="AJ173" i="7"/>
  <c r="AF173" i="7"/>
  <c r="AD173" i="7" l="1"/>
  <c r="AB174" i="7"/>
  <c r="Z174" i="7"/>
  <c r="AO174" i="7" l="1"/>
  <c r="AK174" i="7" s="1"/>
  <c r="AM174" i="7"/>
  <c r="AG174" i="7" s="1"/>
  <c r="AN174" i="7"/>
  <c r="AI174" i="7" s="1"/>
  <c r="AE174" i="7" l="1"/>
  <c r="AH174" i="7"/>
  <c r="AJ174" i="7"/>
  <c r="AF174" i="7"/>
  <c r="AD174" i="7" l="1"/>
  <c r="Z175" i="7"/>
  <c r="AB175" i="7"/>
  <c r="AA175" i="7"/>
  <c r="AC175" i="7"/>
  <c r="AO175" i="7" l="1"/>
  <c r="AK175" i="7" s="1"/>
  <c r="AN175" i="7"/>
  <c r="AH175" i="7" s="1"/>
  <c r="AM175" i="7"/>
  <c r="AG175" i="7" s="1"/>
  <c r="AF175" i="7" l="1"/>
  <c r="AJ175" i="7"/>
  <c r="AD175" i="7" s="1"/>
  <c r="AI175" i="7"/>
  <c r="AE175" i="7" s="1"/>
  <c r="AC176" i="7" l="1"/>
  <c r="AA176" i="7"/>
  <c r="Z176" i="7"/>
  <c r="AB176" i="7"/>
  <c r="AM176" i="7" l="1"/>
  <c r="AF176" i="7" s="1"/>
  <c r="AN176" i="7"/>
  <c r="AH176" i="7" s="1"/>
  <c r="AO176" i="7"/>
  <c r="AJ176" i="7" s="1"/>
  <c r="AK176" i="7" l="1"/>
  <c r="AD176" i="7"/>
  <c r="AI176" i="7"/>
  <c r="AG176" i="7"/>
  <c r="AE176" i="7" l="1"/>
  <c r="AA177" i="7"/>
  <c r="AC177" i="7"/>
  <c r="Z177" i="7"/>
  <c r="AB177" i="7"/>
  <c r="AN177" i="7" l="1"/>
  <c r="AH177" i="7" s="1"/>
  <c r="AM177" i="7"/>
  <c r="AG177" i="7" s="1"/>
  <c r="AO177" i="7"/>
  <c r="AJ177" i="7" s="1"/>
  <c r="AK177" i="7" l="1"/>
  <c r="AF177" i="7"/>
  <c r="AD177" i="7" s="1"/>
  <c r="AI177" i="7"/>
  <c r="AE177" i="7" s="1"/>
  <c r="AA178" i="7" l="1"/>
  <c r="AC178" i="7"/>
  <c r="AB178" i="7"/>
  <c r="Z178" i="7"/>
  <c r="AN178" i="7" l="1"/>
  <c r="AI178" i="7" s="1"/>
  <c r="AM178" i="7"/>
  <c r="AG178" i="7" s="1"/>
  <c r="AO178" i="7"/>
  <c r="AK178" i="7" s="1"/>
  <c r="AE178" i="7" l="1"/>
  <c r="AC179" i="7" s="1"/>
  <c r="AA179" i="7"/>
  <c r="AH178" i="7"/>
  <c r="AF178" i="7"/>
  <c r="AJ178" i="7"/>
  <c r="AD178" i="7" l="1"/>
  <c r="AB179" i="7" l="1"/>
  <c r="Z179" i="7"/>
  <c r="AO179" i="7" l="1"/>
  <c r="AK179" i="7" s="1"/>
  <c r="AM179" i="7"/>
  <c r="AG179" i="7" s="1"/>
  <c r="AN179" i="7"/>
  <c r="AI179" i="7" s="1"/>
  <c r="AE179" i="7" l="1"/>
  <c r="AJ179" i="7"/>
  <c r="AH179" i="7"/>
  <c r="AF179" i="7"/>
  <c r="AD179" i="7" l="1"/>
  <c r="AA180" i="7"/>
  <c r="AC180" i="7"/>
  <c r="AB180" i="7" l="1"/>
  <c r="Z180" i="7"/>
  <c r="AM180" i="7" l="1"/>
  <c r="AG180" i="7" s="1"/>
  <c r="AO180" i="7"/>
  <c r="AK180" i="7" s="1"/>
  <c r="AN180" i="7"/>
  <c r="AI180" i="7" s="1"/>
  <c r="AE180" i="7" l="1"/>
  <c r="AF180" i="7"/>
  <c r="AJ180" i="7"/>
  <c r="AH180" i="7"/>
  <c r="AD180" i="7" l="1"/>
  <c r="AC181" i="7"/>
  <c r="AA181" i="7"/>
  <c r="AB181" i="7" l="1"/>
  <c r="Z181" i="7"/>
  <c r="AO181" i="7" l="1"/>
  <c r="AK181" i="7" s="1"/>
  <c r="AM181" i="7"/>
  <c r="AG181" i="7" s="1"/>
  <c r="AN181" i="7"/>
  <c r="AI181" i="7" s="1"/>
  <c r="AE181" i="7" l="1"/>
  <c r="AH181" i="7"/>
  <c r="AF181" i="7"/>
  <c r="AJ181" i="7"/>
  <c r="AD181" i="7" l="1"/>
  <c r="AC182" i="7"/>
  <c r="AA182" i="7"/>
  <c r="AB182" i="7" l="1"/>
  <c r="Z182" i="7"/>
  <c r="AN182" i="7" l="1"/>
  <c r="AI182" i="7" s="1"/>
  <c r="AO182" i="7"/>
  <c r="AK182" i="7" s="1"/>
  <c r="AM182" i="7"/>
  <c r="AG182" i="7" s="1"/>
  <c r="AE182" i="7" l="1"/>
  <c r="AH182" i="7"/>
  <c r="AJ182" i="7"/>
  <c r="AF182" i="7"/>
  <c r="AD182" i="7" s="1"/>
  <c r="AB183" i="7" l="1"/>
  <c r="Z183" i="7"/>
  <c r="AA183" i="7"/>
  <c r="AC183" i="7"/>
  <c r="AM183" i="7" l="1"/>
  <c r="AG183" i="7" s="1"/>
  <c r="AN183" i="7"/>
  <c r="AI183" i="7" s="1"/>
  <c r="AO183" i="7"/>
  <c r="AK183" i="7" s="1"/>
  <c r="AF183" i="7" l="1"/>
  <c r="AH183" i="7"/>
  <c r="AJ183" i="7"/>
  <c r="AE183" i="7"/>
  <c r="AD183" i="7" l="1"/>
  <c r="AA184" i="7"/>
  <c r="AC184" i="7"/>
  <c r="Z184" i="7" l="1"/>
  <c r="AB184" i="7"/>
  <c r="AN184" i="7"/>
  <c r="AH184" i="7" s="1"/>
  <c r="AM184" i="7"/>
  <c r="AF184" i="7" s="1"/>
  <c r="AO184" i="7"/>
  <c r="AJ184" i="7" s="1"/>
  <c r="AD184" i="7" l="1"/>
  <c r="Z185" i="7"/>
  <c r="AB185" i="7"/>
  <c r="AI184" i="7"/>
  <c r="AK184" i="7"/>
  <c r="AG184" i="7"/>
  <c r="AE184" i="7" s="1"/>
  <c r="AC185" i="7" l="1"/>
  <c r="AA185" i="7"/>
  <c r="AN185" i="7"/>
  <c r="AH185" i="7" s="1"/>
  <c r="AM185" i="7"/>
  <c r="AF185" i="7" s="1"/>
  <c r="AG185" i="7" l="1"/>
  <c r="AI185" i="7"/>
  <c r="AO185" i="7"/>
  <c r="AJ185" i="7" s="1"/>
  <c r="AD185" i="7" s="1"/>
  <c r="Z186" i="7" l="1"/>
  <c r="AB186" i="7"/>
  <c r="AK185" i="7"/>
  <c r="AE185" i="7" s="1"/>
  <c r="AC186" i="7" l="1"/>
  <c r="AA186" i="7"/>
  <c r="AM186" i="7"/>
  <c r="AF186" i="7" s="1"/>
  <c r="AN186" i="7"/>
  <c r="AH186" i="7" s="1"/>
  <c r="AG186" i="7" l="1"/>
  <c r="AI186" i="7"/>
  <c r="AO186" i="7"/>
  <c r="AJ186" i="7" s="1"/>
  <c r="AD186" i="7" s="1"/>
  <c r="Z187" i="7" l="1"/>
  <c r="AB187" i="7"/>
  <c r="AK186" i="7"/>
  <c r="AE186" i="7" s="1"/>
  <c r="AA187" i="7" l="1"/>
  <c r="AC187" i="7"/>
  <c r="AM187" i="7"/>
  <c r="AF187" i="7" s="1"/>
  <c r="AO187" i="7"/>
  <c r="AJ187" i="7" s="1"/>
  <c r="AN187" i="7"/>
  <c r="AH187" i="7" s="1"/>
  <c r="AD187" i="7" l="1"/>
  <c r="AG187" i="7"/>
  <c r="AI187" i="7"/>
  <c r="AK187" i="7"/>
  <c r="AE187" i="7" l="1"/>
  <c r="AB188" i="7"/>
  <c r="Z188" i="7"/>
  <c r="AC188" i="7" l="1"/>
  <c r="AA188" i="7"/>
  <c r="AO188" i="7" s="1"/>
  <c r="AJ188" i="7" s="1"/>
  <c r="AN188" i="7" l="1"/>
  <c r="AH188" i="7" s="1"/>
  <c r="AM188" i="7"/>
  <c r="AF188" i="7" s="1"/>
  <c r="AI188" i="7"/>
  <c r="AK188" i="7"/>
  <c r="AG188" i="7" l="1"/>
  <c r="AD188" i="7"/>
  <c r="AB189" i="7" s="1"/>
  <c r="AE188" i="7"/>
  <c r="Z189" i="7" l="1"/>
  <c r="AC189" i="7"/>
  <c r="AA189" i="7"/>
  <c r="AM189" i="7" l="1"/>
  <c r="AF189" i="7" s="1"/>
  <c r="AO189" i="7"/>
  <c r="AJ189" i="7" s="1"/>
  <c r="AN189" i="7"/>
  <c r="AH189" i="7" s="1"/>
  <c r="AD189" i="7" l="1"/>
  <c r="AI189" i="7"/>
  <c r="AK189" i="7"/>
  <c r="AB190" i="7"/>
  <c r="Z190" i="7"/>
  <c r="AG189" i="7"/>
  <c r="AE189" i="7" s="1"/>
  <c r="AA190" i="7" l="1"/>
  <c r="AN190" i="7" s="1"/>
  <c r="AH190" i="7" s="1"/>
  <c r="AC190" i="7"/>
  <c r="AO190" i="7" l="1"/>
  <c r="AJ190" i="7" s="1"/>
  <c r="AI190" i="7"/>
  <c r="AK190" i="7"/>
  <c r="AM190" i="7"/>
  <c r="AF190" i="7" s="1"/>
  <c r="AD190" i="7" s="1"/>
  <c r="AB191" i="7" l="1"/>
  <c r="Z191" i="7"/>
  <c r="AG190" i="7"/>
  <c r="AE190" i="7" s="1"/>
  <c r="AC191" i="7" l="1"/>
  <c r="AA191" i="7"/>
  <c r="AN191" i="7" s="1"/>
  <c r="AH191" i="7" s="1"/>
  <c r="AO191" i="7" l="1"/>
  <c r="AJ191" i="7" s="1"/>
  <c r="AM191" i="7"/>
  <c r="AF191" i="7" s="1"/>
  <c r="AD191" i="7" s="1"/>
  <c r="AB192" i="7" s="1"/>
  <c r="AK191" i="7"/>
  <c r="AI191" i="7"/>
  <c r="AG191" i="7" l="1"/>
  <c r="Z192" i="7"/>
  <c r="AE191" i="7"/>
  <c r="AC192" i="7" l="1"/>
  <c r="AA192" i="7"/>
  <c r="AO192" i="7" l="1"/>
  <c r="AJ192" i="7" s="1"/>
  <c r="AM192" i="7"/>
  <c r="AF192" i="7" s="1"/>
  <c r="AN192" i="7"/>
  <c r="AH192" i="7" s="1"/>
  <c r="AD192" i="7" l="1"/>
  <c r="AB193" i="7"/>
  <c r="Z193" i="7"/>
  <c r="AG192" i="7"/>
  <c r="AI192" i="7"/>
  <c r="AK192" i="7"/>
  <c r="AE192" i="7" l="1"/>
  <c r="AA193" i="7" l="1"/>
  <c r="AC193" i="7"/>
  <c r="AO193" i="7" l="1"/>
  <c r="AJ193" i="7" s="1"/>
  <c r="AM193" i="7"/>
  <c r="AF193" i="7" s="1"/>
  <c r="AN193" i="7"/>
  <c r="AH193" i="7" s="1"/>
  <c r="AD193" i="7" l="1"/>
  <c r="AB194" i="7"/>
  <c r="Z194" i="7"/>
  <c r="AK193" i="7"/>
  <c r="AG193" i="7"/>
  <c r="AI193" i="7"/>
  <c r="AE193" i="7" l="1"/>
  <c r="AC194" i="7" l="1"/>
  <c r="AA194" i="7"/>
  <c r="AN194" i="7" l="1"/>
  <c r="AH194" i="7" s="1"/>
  <c r="AM194" i="7"/>
  <c r="AF194" i="7" s="1"/>
  <c r="AO194" i="7"/>
  <c r="AJ194" i="7" s="1"/>
  <c r="AD194" i="7" l="1"/>
  <c r="AB195" i="7"/>
  <c r="Z195" i="7"/>
  <c r="AK194" i="7"/>
  <c r="AG194" i="7"/>
  <c r="AI194" i="7"/>
  <c r="AE194" i="7" l="1"/>
  <c r="AA195" i="7" l="1"/>
  <c r="AC195" i="7"/>
  <c r="AM195" i="7" l="1"/>
  <c r="AF195" i="7" s="1"/>
  <c r="AO195" i="7"/>
  <c r="AN195" i="7"/>
  <c r="AH195" i="7" s="1"/>
  <c r="AJ195" i="7" l="1"/>
  <c r="AD195" i="7" s="1"/>
  <c r="AG195" i="7"/>
  <c r="AK195" i="7"/>
  <c r="AI195" i="7"/>
  <c r="AB196" i="7" l="1"/>
  <c r="Z196" i="7"/>
  <c r="AE195" i="7"/>
  <c r="AC196" i="7" l="1"/>
  <c r="AA196" i="7"/>
  <c r="AO196" i="7"/>
  <c r="AJ196" i="7" s="1"/>
  <c r="AN196" i="7"/>
  <c r="AH196" i="7" s="1"/>
  <c r="AM196" i="7"/>
  <c r="AF196" i="7" s="1"/>
  <c r="AD196" i="7" l="1"/>
  <c r="AG196" i="7"/>
  <c r="AI196" i="7"/>
  <c r="AK196" i="7"/>
  <c r="AE196" i="7" l="1"/>
  <c r="Z197" i="7"/>
  <c r="AB197" i="7"/>
  <c r="AA197" i="7" l="1"/>
  <c r="AM197" i="7" s="1"/>
  <c r="AF197" i="7" s="1"/>
  <c r="AC197" i="7"/>
  <c r="AO197" i="7" l="1"/>
  <c r="AJ197" i="7" s="1"/>
  <c r="AN197" i="7"/>
  <c r="AH197" i="7" s="1"/>
  <c r="AD197" i="7" s="1"/>
  <c r="AK197" i="7"/>
  <c r="AG197" i="7"/>
  <c r="AI197" i="7" l="1"/>
  <c r="AE197" i="7"/>
  <c r="AB198" i="7"/>
  <c r="Z198" i="7"/>
  <c r="AC198" i="7" l="1"/>
  <c r="AA198" i="7"/>
  <c r="AO198" i="7" s="1"/>
  <c r="AJ198" i="7" s="1"/>
  <c r="AN198" i="7" l="1"/>
  <c r="AH198" i="7" s="1"/>
  <c r="AM198" i="7"/>
  <c r="AF198" i="7" s="1"/>
  <c r="AD198" i="7" s="1"/>
  <c r="AB199" i="7" s="1"/>
  <c r="AI198" i="7"/>
  <c r="AK198" i="7"/>
  <c r="AG198" i="7" l="1"/>
  <c r="AE198" i="7" s="1"/>
  <c r="Z199" i="7"/>
  <c r="AC199" i="7" l="1"/>
  <c r="AA199" i="7"/>
  <c r="AM199" i="7" l="1"/>
  <c r="AF199" i="7" s="1"/>
  <c r="AO199" i="7"/>
  <c r="AJ199" i="7" s="1"/>
  <c r="AN199" i="7"/>
  <c r="AH199" i="7" s="1"/>
  <c r="AD199" i="7" l="1"/>
  <c r="AG199" i="7"/>
  <c r="AI199" i="7"/>
  <c r="AK199" i="7"/>
  <c r="AE199" i="7" l="1"/>
  <c r="AB200" i="7"/>
  <c r="Z200" i="7"/>
  <c r="AA200" i="7" l="1"/>
  <c r="AO200" i="7" s="1"/>
  <c r="AJ200" i="7" s="1"/>
  <c r="AC200" i="7"/>
  <c r="AN200" i="7" l="1"/>
  <c r="AH200" i="7" s="1"/>
  <c r="AK200" i="7"/>
  <c r="AM200" i="7"/>
  <c r="AF200" i="7" s="1"/>
  <c r="AD200" i="7" s="1"/>
  <c r="AI200" i="7" l="1"/>
  <c r="AB201" i="7"/>
  <c r="Z201" i="7"/>
  <c r="AG200" i="7"/>
  <c r="AE200" i="7" s="1"/>
  <c r="AA201" i="7" l="1"/>
  <c r="AC201" i="7"/>
  <c r="AM201" i="7"/>
  <c r="AF201" i="7" s="1"/>
  <c r="AO201" i="7"/>
  <c r="AJ201" i="7" s="1"/>
  <c r="AN201" i="7"/>
  <c r="AH201" i="7" s="1"/>
  <c r="AD201" i="7" l="1"/>
  <c r="AG201" i="7"/>
  <c r="AI201" i="7"/>
  <c r="AK201" i="7"/>
  <c r="AE201" i="7" l="1"/>
  <c r="Z202" i="7"/>
  <c r="AB202" i="7"/>
  <c r="AC202" i="7" l="1"/>
  <c r="AA202" i="7"/>
  <c r="AN202" i="7"/>
  <c r="AI202" i="7" s="1"/>
  <c r="AM202" i="7"/>
  <c r="AG202" i="7" s="1"/>
  <c r="AO202" i="7"/>
  <c r="AK202" i="7" s="1"/>
  <c r="AE202" i="7" l="1"/>
  <c r="AF202" i="7"/>
  <c r="AH202" i="7"/>
  <c r="AJ202" i="7"/>
  <c r="AD202" i="7" l="1"/>
  <c r="AC203" i="7"/>
  <c r="AA203" i="7"/>
  <c r="AB203" i="7" l="1"/>
  <c r="Z203" i="7"/>
  <c r="AO203" i="7" l="1"/>
  <c r="AK203" i="7" s="1"/>
  <c r="AN203" i="7"/>
  <c r="AI203" i="7" s="1"/>
  <c r="AM203" i="7"/>
  <c r="AG203" i="7" s="1"/>
  <c r="AE203" i="7" l="1"/>
  <c r="AA204" i="7"/>
  <c r="AC204" i="7"/>
  <c r="AJ203" i="7"/>
  <c r="AH203" i="7"/>
  <c r="AF203" i="7"/>
  <c r="AD203" i="7" l="1"/>
  <c r="Z204" i="7"/>
  <c r="AB204" i="7"/>
  <c r="AO204" i="7" l="1"/>
  <c r="AK204" i="7" s="1"/>
  <c r="AN204" i="7"/>
  <c r="AI204" i="7" s="1"/>
  <c r="AM204" i="7"/>
  <c r="AG204" i="7" s="1"/>
  <c r="AE204" i="7" l="1"/>
  <c r="AC205" i="7"/>
  <c r="AA205" i="7"/>
  <c r="AF204" i="7"/>
  <c r="AJ204" i="7"/>
  <c r="AH204" i="7"/>
  <c r="AD204" i="7" l="1"/>
  <c r="AB205" i="7" l="1"/>
  <c r="Z205" i="7"/>
  <c r="AO205" i="7" l="1"/>
  <c r="AK205" i="7" s="1"/>
  <c r="AM205" i="7"/>
  <c r="AG205" i="7" s="1"/>
  <c r="AN205" i="7"/>
  <c r="AI205" i="7" s="1"/>
  <c r="AE205" i="7" l="1"/>
  <c r="AF205" i="7"/>
  <c r="AJ205" i="7"/>
  <c r="AH205" i="7"/>
  <c r="AD205" i="7" l="1"/>
  <c r="AA206" i="7"/>
  <c r="AC206" i="7"/>
  <c r="AB206" i="7" l="1"/>
  <c r="Z206" i="7"/>
  <c r="AN206" i="7" l="1"/>
  <c r="AI206" i="7" s="1"/>
  <c r="AO206" i="7"/>
  <c r="AK206" i="7" s="1"/>
  <c r="AM206" i="7"/>
  <c r="AG206" i="7" s="1"/>
  <c r="AE206" i="7" l="1"/>
  <c r="AC207" i="7" s="1"/>
  <c r="AH206" i="7"/>
  <c r="AF206" i="7"/>
  <c r="AJ206" i="7"/>
  <c r="AA207" i="7" l="1"/>
  <c r="AD206" i="7"/>
  <c r="Z207" i="7" s="1"/>
  <c r="AB207" i="7"/>
  <c r="AM207" i="7" l="1"/>
  <c r="AG207" i="7" s="1"/>
  <c r="AO207" i="7"/>
  <c r="AK207" i="7" s="1"/>
  <c r="AN207" i="7"/>
  <c r="AI207" i="7" s="1"/>
  <c r="AE207" i="7" l="1"/>
  <c r="AH207" i="7"/>
  <c r="AF207" i="7"/>
  <c r="AJ207" i="7"/>
  <c r="AD207" i="7" l="1"/>
  <c r="AB208" i="7"/>
  <c r="Z208" i="7"/>
  <c r="AA208" i="7"/>
  <c r="AC208" i="7"/>
  <c r="AM208" i="7" l="1"/>
  <c r="AF208" i="7" s="1"/>
  <c r="AO208" i="7"/>
  <c r="AK208" i="7" s="1"/>
  <c r="AN208" i="7"/>
  <c r="AH208" i="7" s="1"/>
  <c r="AJ208" i="7" l="1"/>
  <c r="AD208" i="7"/>
  <c r="AG208" i="7"/>
  <c r="AI208" i="7"/>
  <c r="AE208" i="7" l="1"/>
  <c r="AB209" i="7"/>
  <c r="Z209" i="7"/>
  <c r="AA209" i="7" l="1"/>
  <c r="AN209" i="7" s="1"/>
  <c r="AH209" i="7" s="1"/>
  <c r="AC209" i="7"/>
  <c r="AM209" i="7" l="1"/>
  <c r="AF209" i="7" s="1"/>
  <c r="AO209" i="7"/>
  <c r="AJ209" i="7" s="1"/>
  <c r="AG209" i="7"/>
  <c r="AI209" i="7"/>
  <c r="AK209" i="7" l="1"/>
  <c r="AD209" i="7"/>
  <c r="AE209" i="7"/>
  <c r="AB210" i="7" l="1"/>
  <c r="Z210" i="7"/>
  <c r="AC210" i="7"/>
  <c r="AA210" i="7"/>
  <c r="AN210" i="7" l="1"/>
  <c r="AH210" i="7" s="1"/>
  <c r="AM210" i="7"/>
  <c r="AF210" i="7" s="1"/>
  <c r="AO210" i="7"/>
  <c r="AJ210" i="7" s="1"/>
  <c r="AD210" i="7" l="1"/>
  <c r="AB211" i="7"/>
  <c r="Z211" i="7"/>
  <c r="AI210" i="7"/>
  <c r="AG210" i="7"/>
  <c r="AK210" i="7"/>
  <c r="AE210" i="7" l="1"/>
  <c r="AA211" i="7"/>
  <c r="AC211" i="7"/>
  <c r="AN211" i="7"/>
  <c r="AH211" i="7" s="1"/>
  <c r="AO211" i="7"/>
  <c r="AJ211" i="7" s="1"/>
  <c r="AM211" i="7"/>
  <c r="AF211" i="7" s="1"/>
  <c r="AD211" i="7" s="1"/>
  <c r="Z212" i="7" l="1"/>
  <c r="AB212" i="7"/>
  <c r="AG211" i="7"/>
  <c r="AI211" i="7"/>
  <c r="AK211" i="7"/>
  <c r="AE211" i="7" l="1"/>
  <c r="AC212" i="7" l="1"/>
  <c r="AA212" i="7"/>
  <c r="AN212" i="7" l="1"/>
  <c r="AH212" i="7" s="1"/>
  <c r="AO212" i="7"/>
  <c r="AJ212" i="7" s="1"/>
  <c r="AM212" i="7"/>
  <c r="AF212" i="7" s="1"/>
  <c r="AD212" i="7" l="1"/>
  <c r="Z213" i="7" s="1"/>
  <c r="AB213" i="7"/>
  <c r="AK212" i="7"/>
  <c r="AI212" i="7"/>
  <c r="AG212" i="7"/>
  <c r="AE212" i="7" l="1"/>
  <c r="AC213" i="7"/>
  <c r="AA213" i="7"/>
  <c r="AN213" i="7" s="1"/>
  <c r="AH213" i="7" s="1"/>
  <c r="AO213" i="7"/>
  <c r="AJ213" i="7" s="1"/>
  <c r="AI213" i="7" l="1"/>
  <c r="AK213" i="7"/>
  <c r="AM213" i="7"/>
  <c r="AF213" i="7" s="1"/>
  <c r="AD213" i="7" s="1"/>
  <c r="Z214" i="7" l="1"/>
  <c r="AB214" i="7"/>
  <c r="AG213" i="7"/>
  <c r="AE213" i="7" s="1"/>
  <c r="AA214" i="7" l="1"/>
  <c r="AN214" i="7" s="1"/>
  <c r="AH214" i="7" s="1"/>
  <c r="AC214" i="7"/>
  <c r="AM214" i="7"/>
  <c r="AF214" i="7" s="1"/>
  <c r="AO214" i="7"/>
  <c r="AJ214" i="7" s="1"/>
  <c r="AD214" i="7" l="1"/>
  <c r="Z215" i="7"/>
  <c r="AB215" i="7"/>
  <c r="AK214" i="7"/>
  <c r="AI214" i="7"/>
  <c r="AG214" i="7"/>
  <c r="AE214" i="7" l="1"/>
  <c r="AC215" i="7" s="1"/>
  <c r="AA215" i="7"/>
  <c r="AO215" i="7" s="1"/>
  <c r="AJ215" i="7" s="1"/>
  <c r="AN215" i="7"/>
  <c r="AH215" i="7" s="1"/>
  <c r="AI215" i="7" l="1"/>
  <c r="AK215" i="7"/>
  <c r="AM215" i="7"/>
  <c r="AF215" i="7" s="1"/>
  <c r="AD215" i="7" s="1"/>
  <c r="Z216" i="7" l="1"/>
  <c r="AB216" i="7"/>
  <c r="AG215" i="7"/>
  <c r="AE215" i="7" s="1"/>
  <c r="AC216" i="7" l="1"/>
  <c r="AA216" i="7"/>
  <c r="AN216" i="7" s="1"/>
  <c r="AH216" i="7" s="1"/>
  <c r="AM216" i="7"/>
  <c r="AF216" i="7" l="1"/>
  <c r="AG216" i="7"/>
  <c r="AI216" i="7"/>
  <c r="AO216" i="7"/>
  <c r="AJ216" i="7" s="1"/>
  <c r="AD216" i="7" l="1"/>
  <c r="Z217" i="7"/>
  <c r="AB217" i="7"/>
  <c r="AK216" i="7"/>
  <c r="AE216" i="7" s="1"/>
  <c r="AC217" i="7" l="1"/>
  <c r="AA217" i="7"/>
  <c r="AN217" i="7" s="1"/>
  <c r="AH217" i="7" s="1"/>
  <c r="AM217" i="7"/>
  <c r="AF217" i="7" s="1"/>
  <c r="AI217" i="7" l="1"/>
  <c r="AG217" i="7"/>
  <c r="AO217" i="7"/>
  <c r="AJ217" i="7" l="1"/>
  <c r="AD217" i="7" s="1"/>
  <c r="AK217" i="7"/>
  <c r="AE217" i="7" s="1"/>
  <c r="AA218" i="7" l="1"/>
  <c r="AC218" i="7"/>
  <c r="Z218" i="7"/>
  <c r="AB218" i="7"/>
  <c r="AO218" i="7" l="1"/>
  <c r="AK218" i="7" s="1"/>
  <c r="AM218" i="7"/>
  <c r="AF218" i="7" s="1"/>
  <c r="AN218" i="7"/>
  <c r="AH218" i="7" s="1"/>
  <c r="AI218" i="7" l="1"/>
  <c r="AG218" i="7"/>
  <c r="AE218" i="7" s="1"/>
  <c r="AJ218" i="7"/>
  <c r="AD218" i="7" s="1"/>
  <c r="AB219" i="7" l="1"/>
  <c r="Z219" i="7"/>
  <c r="AC219" i="7"/>
  <c r="AA219" i="7"/>
  <c r="AM219" i="7" l="1"/>
  <c r="AG219" i="7" s="1"/>
  <c r="AN219" i="7"/>
  <c r="AI219" i="7" s="1"/>
  <c r="AO219" i="7"/>
  <c r="AK219" i="7" s="1"/>
  <c r="AJ219" i="7" l="1"/>
  <c r="AF219" i="7"/>
  <c r="AH219" i="7"/>
  <c r="AE219" i="7"/>
  <c r="AD219" i="7" l="1"/>
  <c r="Z220" i="7" s="1"/>
  <c r="AB220" i="7"/>
  <c r="AC220" i="7"/>
  <c r="AA220" i="7"/>
  <c r="AO220" i="7" l="1"/>
  <c r="AJ220" i="7" s="1"/>
  <c r="AM220" i="7"/>
  <c r="AF220" i="7" s="1"/>
  <c r="AN220" i="7"/>
  <c r="AH220" i="7" s="1"/>
  <c r="AD220" i="7" l="1"/>
  <c r="AK220" i="7"/>
  <c r="AI220" i="7"/>
  <c r="AG220" i="7"/>
  <c r="AE220" i="7" l="1"/>
  <c r="AA221" i="7"/>
  <c r="AC221" i="7"/>
  <c r="Z221" i="7"/>
  <c r="AB221" i="7"/>
  <c r="AN221" i="7" l="1"/>
  <c r="AH221" i="7" s="1"/>
  <c r="AO221" i="7"/>
  <c r="AJ221" i="7" s="1"/>
  <c r="AM221" i="7"/>
  <c r="AF221" i="7" s="1"/>
  <c r="AD221" i="7" l="1"/>
  <c r="AK221" i="7"/>
  <c r="AG221" i="7"/>
  <c r="AI221" i="7"/>
  <c r="AE221" i="7" l="1"/>
  <c r="Z222" i="7"/>
  <c r="AB222" i="7"/>
  <c r="AA222" i="7" l="1"/>
  <c r="AO222" i="7" s="1"/>
  <c r="AJ222" i="7" s="1"/>
  <c r="AC222" i="7"/>
  <c r="AM222" i="7" l="1"/>
  <c r="AF222" i="7" s="1"/>
  <c r="AN222" i="7"/>
  <c r="AH222" i="7" s="1"/>
  <c r="AK222" i="7"/>
  <c r="AG222" i="7"/>
  <c r="AD222" i="7" l="1"/>
  <c r="AI222" i="7"/>
  <c r="AE222" i="7" s="1"/>
  <c r="AC223" i="7" s="1"/>
  <c r="AB223" i="7"/>
  <c r="Z223" i="7"/>
  <c r="AA223" i="7" l="1"/>
  <c r="AM223" i="7"/>
  <c r="AF223" i="7" s="1"/>
  <c r="AN223" i="7"/>
  <c r="AI223" i="7" s="1"/>
  <c r="AO223" i="7"/>
  <c r="AK223" i="7" s="1"/>
  <c r="AG223" i="7"/>
  <c r="AE223" i="7" l="1"/>
  <c r="AJ223" i="7"/>
  <c r="AH223" i="7"/>
  <c r="AD223" i="7" s="1"/>
  <c r="Z224" i="7" l="1"/>
  <c r="AB224" i="7"/>
  <c r="AA224" i="7"/>
  <c r="AC224" i="7"/>
  <c r="AO224" i="7" l="1"/>
  <c r="AJ224" i="7" s="1"/>
  <c r="AN224" i="7"/>
  <c r="AI224" i="7" s="1"/>
  <c r="AM224" i="7"/>
  <c r="AG224" i="7" s="1"/>
  <c r="AH224" i="7" l="1"/>
  <c r="AF224" i="7"/>
  <c r="AD224" i="7" s="1"/>
  <c r="AK224" i="7"/>
  <c r="AE224" i="7" s="1"/>
  <c r="AB225" i="7" l="1"/>
  <c r="Z225" i="7"/>
  <c r="AC225" i="7"/>
  <c r="AA225" i="7"/>
  <c r="AO225" i="7" l="1"/>
  <c r="AK225" i="7" s="1"/>
  <c r="AM225" i="7"/>
  <c r="AF225" i="7" s="1"/>
  <c r="AN225" i="7"/>
  <c r="AI225" i="7" s="1"/>
  <c r="AG225" i="7" l="1"/>
  <c r="AJ225" i="7"/>
  <c r="AH225" i="7"/>
  <c r="AD225" i="7" s="1"/>
  <c r="AE225" i="7"/>
  <c r="AC226" i="7" l="1"/>
  <c r="AA226" i="7"/>
  <c r="AB226" i="7"/>
  <c r="Z226" i="7"/>
  <c r="AM226" i="7" l="1"/>
  <c r="AG226" i="7" s="1"/>
  <c r="AN226" i="7"/>
  <c r="AI226" i="7" s="1"/>
  <c r="AO226" i="7"/>
  <c r="AJ226" i="7" s="1"/>
  <c r="AK226" i="7" l="1"/>
  <c r="AE226" i="7" s="1"/>
  <c r="AH226" i="7"/>
  <c r="AF226" i="7"/>
  <c r="AD226" i="7" l="1"/>
  <c r="AA227" i="7"/>
  <c r="AC227" i="7"/>
  <c r="Z227" i="7"/>
  <c r="AB227" i="7"/>
  <c r="AN227" i="7" l="1"/>
  <c r="AH227" i="7" s="1"/>
  <c r="AM227" i="7"/>
  <c r="AF227" i="7" s="1"/>
  <c r="AO227" i="7"/>
  <c r="AJ227" i="7" s="1"/>
  <c r="AD227" i="7" l="1"/>
  <c r="AB228" i="7"/>
  <c r="Z228" i="7"/>
  <c r="AI227" i="7"/>
  <c r="AK227" i="7"/>
  <c r="AG227" i="7"/>
  <c r="AE227" i="7" l="1"/>
  <c r="AC228" i="7"/>
  <c r="AA228" i="7"/>
  <c r="AM228" i="7"/>
  <c r="AF228" i="7" s="1"/>
  <c r="AN228" i="7"/>
  <c r="AH228" i="7" s="1"/>
  <c r="AO228" i="7"/>
  <c r="AJ228" i="7" s="1"/>
  <c r="AD228" i="7" l="1"/>
  <c r="AG228" i="7"/>
  <c r="AI228" i="7"/>
  <c r="AK228" i="7"/>
  <c r="AE228" i="7" l="1"/>
  <c r="Z229" i="7"/>
  <c r="AB229" i="7"/>
  <c r="AC229" i="7" l="1"/>
  <c r="AA229" i="7"/>
  <c r="AM229" i="7" s="1"/>
  <c r="AF229" i="7" s="1"/>
  <c r="AN229" i="7" l="1"/>
  <c r="AH229" i="7" s="1"/>
  <c r="AO229" i="7"/>
  <c r="AJ229" i="7" s="1"/>
  <c r="AD229" i="7" s="1"/>
  <c r="AI229" i="7"/>
  <c r="AK229" i="7"/>
  <c r="AG229" i="7"/>
  <c r="AE229" i="7" l="1"/>
  <c r="AB230" i="7"/>
  <c r="Z230" i="7"/>
  <c r="AC230" i="7" l="1"/>
  <c r="AA230" i="7"/>
  <c r="AO230" i="7" s="1"/>
  <c r="AJ230" i="7" s="1"/>
  <c r="AM230" i="7" l="1"/>
  <c r="AF230" i="7" s="1"/>
  <c r="AN230" i="7"/>
  <c r="AH230" i="7" s="1"/>
  <c r="AK230" i="7"/>
  <c r="AG230" i="7"/>
  <c r="AI230" i="7" l="1"/>
  <c r="AD230" i="7"/>
  <c r="AE230" i="7"/>
  <c r="Z231" i="7" l="1"/>
  <c r="AB231" i="7"/>
  <c r="AA231" i="7"/>
  <c r="AC231" i="7"/>
  <c r="AM231" i="7" l="1"/>
  <c r="AF231" i="7" s="1"/>
  <c r="AO231" i="7"/>
  <c r="AJ231" i="7" s="1"/>
  <c r="AN231" i="7"/>
  <c r="AH231" i="7" s="1"/>
  <c r="AG231" i="7" l="1"/>
  <c r="AD231" i="7"/>
  <c r="AK231" i="7"/>
  <c r="AI231" i="7"/>
  <c r="Z232" i="7" l="1"/>
  <c r="AB232" i="7"/>
  <c r="AE231" i="7"/>
  <c r="AC232" i="7" l="1"/>
  <c r="AA232" i="7"/>
  <c r="AO232" i="7"/>
  <c r="AJ232" i="7" s="1"/>
  <c r="AM232" i="7"/>
  <c r="AF232" i="7" s="1"/>
  <c r="AG232" i="7" l="1"/>
  <c r="AK232" i="7"/>
  <c r="AN232" i="7"/>
  <c r="AH232" i="7" l="1"/>
  <c r="AD232" i="7" s="1"/>
  <c r="AI232" i="7"/>
  <c r="AE232" i="7" s="1"/>
  <c r="AA233" i="7" l="1"/>
  <c r="AC233" i="7"/>
  <c r="Z233" i="7"/>
  <c r="AB233" i="7"/>
  <c r="AO233" i="7" l="1"/>
  <c r="AK233" i="7" s="1"/>
  <c r="AM233" i="7"/>
  <c r="AF233" i="7" s="1"/>
  <c r="AN233" i="7"/>
  <c r="AH233" i="7" s="1"/>
  <c r="AJ233" i="7" l="1"/>
  <c r="AD233" i="7" s="1"/>
  <c r="AG233" i="7"/>
  <c r="AI233" i="7"/>
  <c r="AB234" i="7" l="1"/>
  <c r="Z234" i="7"/>
  <c r="AE233" i="7"/>
  <c r="AA234" i="7" l="1"/>
  <c r="AC234" i="7"/>
  <c r="AN234" i="7"/>
  <c r="AH234" i="7" s="1"/>
  <c r="AO234" i="7"/>
  <c r="AJ234" i="7" s="1"/>
  <c r="AM234" i="7"/>
  <c r="AF234" i="7" s="1"/>
  <c r="AD234" i="7" l="1"/>
  <c r="AB235" i="7"/>
  <c r="Z235" i="7"/>
  <c r="AK234" i="7"/>
  <c r="AG234" i="7"/>
  <c r="AI234" i="7"/>
  <c r="AE234" i="7" l="1"/>
  <c r="AC235" i="7" s="1"/>
  <c r="AA235" i="7"/>
  <c r="AM235" i="7"/>
  <c r="AF235" i="7" s="1"/>
  <c r="AN235" i="7"/>
  <c r="AH235" i="7" s="1"/>
  <c r="AO235" i="7"/>
  <c r="AJ235" i="7" s="1"/>
  <c r="AD235" i="7" l="1"/>
  <c r="AG235" i="7"/>
  <c r="AK235" i="7"/>
  <c r="AI235" i="7"/>
  <c r="AE235" i="7" l="1"/>
  <c r="Z236" i="7"/>
  <c r="AB236" i="7"/>
  <c r="AC236" i="7" l="1"/>
  <c r="AA236" i="7"/>
  <c r="AM236" i="7" s="1"/>
  <c r="AF236" i="7" s="1"/>
  <c r="AO236" i="7" l="1"/>
  <c r="AJ236" i="7" s="1"/>
  <c r="AN236" i="7"/>
  <c r="AH236" i="7" s="1"/>
  <c r="AD236" i="7" s="1"/>
  <c r="AG236" i="7"/>
  <c r="AK236" i="7"/>
  <c r="AI236" i="7" l="1"/>
  <c r="AE236" i="7" s="1"/>
  <c r="AB237" i="7"/>
  <c r="Z237" i="7"/>
  <c r="AA237" i="7" l="1"/>
  <c r="AC237" i="7"/>
  <c r="AN237" i="7"/>
  <c r="AH237" i="7" s="1"/>
  <c r="AO237" i="7"/>
  <c r="AJ237" i="7" s="1"/>
  <c r="AM237" i="7"/>
  <c r="AF237" i="7" s="1"/>
  <c r="AD237" i="7" l="1"/>
  <c r="AI237" i="7"/>
  <c r="AK237" i="7"/>
  <c r="AG237" i="7"/>
  <c r="AE237" i="7" l="1"/>
  <c r="AC238" i="7" s="1"/>
  <c r="AA238" i="7"/>
  <c r="Z238" i="7"/>
  <c r="AB238" i="7"/>
  <c r="AM238" i="7" l="1"/>
  <c r="AF238" i="7" s="1"/>
  <c r="AO238" i="7"/>
  <c r="AK238" i="7" s="1"/>
  <c r="AN238" i="7"/>
  <c r="AI238" i="7" s="1"/>
  <c r="AH238" i="7" l="1"/>
  <c r="AJ238" i="7"/>
  <c r="AG238" i="7"/>
  <c r="AE238" i="7" s="1"/>
  <c r="AD238" i="7" l="1"/>
  <c r="Z239" i="7"/>
  <c r="AB239" i="7"/>
  <c r="AC239" i="7"/>
  <c r="AA239" i="7"/>
  <c r="AN239" i="7" l="1"/>
  <c r="AI239" i="7" s="1"/>
  <c r="AO239" i="7"/>
  <c r="AK239" i="7" s="1"/>
  <c r="AM239" i="7"/>
  <c r="AF239" i="7" s="1"/>
  <c r="AJ239" i="7" l="1"/>
  <c r="AH239" i="7"/>
  <c r="AD239" i="7" s="1"/>
  <c r="AG239" i="7"/>
  <c r="AE239" i="7" s="1"/>
  <c r="AB240" i="7" l="1"/>
  <c r="Z240" i="7"/>
  <c r="AC240" i="7"/>
  <c r="AA240" i="7"/>
  <c r="AO240" i="7" s="1"/>
  <c r="AJ240" i="7" s="1"/>
  <c r="AM240" i="7" l="1"/>
  <c r="AF240" i="7" s="1"/>
  <c r="AN240" i="7"/>
  <c r="AH240" i="7" s="1"/>
  <c r="AK240" i="7"/>
  <c r="AI240" i="7" l="1"/>
  <c r="AG240" i="7"/>
  <c r="AD240" i="7"/>
  <c r="Z241" i="7" s="1"/>
  <c r="AE240" i="7"/>
  <c r="AB241" i="7" l="1"/>
  <c r="AC241" i="7"/>
  <c r="AA241" i="7"/>
  <c r="AN241" i="7" s="1"/>
  <c r="AH241" i="7" s="1"/>
  <c r="AM241" i="7" l="1"/>
  <c r="AF241" i="7" s="1"/>
  <c r="AO241" i="7"/>
  <c r="AJ241" i="7" s="1"/>
  <c r="AI241" i="7"/>
  <c r="AK241" i="7"/>
  <c r="AG241" i="7"/>
  <c r="AE241" i="7" l="1"/>
  <c r="AA242" i="7" s="1"/>
  <c r="AD241" i="7"/>
  <c r="AC242" i="7"/>
  <c r="AB242" i="7" l="1"/>
  <c r="Z242" i="7"/>
  <c r="AN242" i="7" l="1"/>
  <c r="AO242" i="7"/>
  <c r="AK242" i="7" s="1"/>
  <c r="AM242" i="7"/>
  <c r="AG242" i="7" s="1"/>
  <c r="AF242" i="7" l="1"/>
  <c r="AI242" i="7"/>
  <c r="AE242" i="7" s="1"/>
  <c r="AH242" i="7"/>
  <c r="AJ242" i="7"/>
  <c r="AA243" i="7" l="1"/>
  <c r="AC243" i="7"/>
  <c r="AD242" i="7"/>
  <c r="AB243" i="7" l="1"/>
  <c r="Z243" i="7"/>
  <c r="AO243" i="7" l="1"/>
  <c r="AK243" i="7" s="1"/>
  <c r="AN243" i="7"/>
  <c r="AI243" i="7" s="1"/>
  <c r="AM243" i="7"/>
  <c r="AG243" i="7" s="1"/>
  <c r="AJ243" i="7"/>
  <c r="AE243" i="7" l="1"/>
  <c r="AF243" i="7"/>
  <c r="AH243" i="7"/>
  <c r="AD243" i="7" s="1"/>
  <c r="Z244" i="7" l="1"/>
  <c r="AB244" i="7"/>
  <c r="AA244" i="7"/>
  <c r="AC244" i="7"/>
  <c r="AO244" i="7" l="1"/>
  <c r="AK244" i="7" s="1"/>
  <c r="AM244" i="7"/>
  <c r="AG244" i="7" s="1"/>
  <c r="AN244" i="7"/>
  <c r="AI244" i="7" s="1"/>
  <c r="AJ244" i="7"/>
  <c r="AF244" i="7" l="1"/>
  <c r="AE244" i="7"/>
  <c r="AH244" i="7"/>
  <c r="AD244" i="7" s="1"/>
  <c r="Z245" i="7" l="1"/>
  <c r="AB245" i="7"/>
  <c r="AC245" i="7"/>
  <c r="AA245" i="7"/>
  <c r="AO245" i="7" l="1"/>
  <c r="AJ245" i="7" s="1"/>
  <c r="AM245" i="7"/>
  <c r="AF245" i="7" s="1"/>
  <c r="AN245" i="7"/>
  <c r="AH245" i="7" s="1"/>
  <c r="AD245" i="7" l="1"/>
  <c r="AK245" i="7"/>
  <c r="AI245" i="7"/>
  <c r="AG245" i="7"/>
  <c r="AE245" i="7" l="1"/>
  <c r="AA246" i="7"/>
  <c r="AC246" i="7"/>
  <c r="AB246" i="7"/>
  <c r="Z246" i="7"/>
  <c r="AN246" i="7" l="1"/>
  <c r="AO246" i="7"/>
  <c r="AM246" i="7"/>
  <c r="AJ246" i="7" l="1"/>
  <c r="AK246" i="7"/>
  <c r="AF246" i="7"/>
  <c r="AG246" i="7"/>
  <c r="AH246" i="7"/>
  <c r="AI246" i="7"/>
  <c r="AE246" i="7" l="1"/>
  <c r="AD246" i="7"/>
  <c r="Z247" i="7" l="1"/>
  <c r="AB247" i="7"/>
  <c r="AC247" i="7"/>
  <c r="AA247" i="7"/>
  <c r="AN247" i="7" l="1"/>
  <c r="AI247" i="7" s="1"/>
  <c r="AM247" i="7"/>
  <c r="AF247" i="7" s="1"/>
  <c r="AO247" i="7"/>
  <c r="AJ247" i="7" s="1"/>
  <c r="AH247" i="7"/>
  <c r="AD247" i="7" l="1"/>
  <c r="Z248" i="7"/>
  <c r="AB248" i="7"/>
  <c r="AG247" i="7"/>
  <c r="AK247" i="7"/>
  <c r="AE247" i="7" l="1"/>
  <c r="AC248" i="7"/>
  <c r="AA248" i="7"/>
  <c r="AM248" i="7"/>
  <c r="AF248" i="7" s="1"/>
  <c r="AO248" i="7"/>
  <c r="AN248" i="7"/>
  <c r="AH248" i="7" s="1"/>
  <c r="AK248" i="7" l="1"/>
  <c r="AJ248" i="7"/>
  <c r="AD248" i="7" s="1"/>
  <c r="AG248" i="7"/>
  <c r="AI248" i="7"/>
  <c r="AB249" i="7" l="1"/>
  <c r="Z249" i="7"/>
  <c r="AE248" i="7"/>
  <c r="AA249" i="7" l="1"/>
  <c r="AC249" i="7"/>
  <c r="AM249" i="7"/>
  <c r="AF249" i="7" s="1"/>
  <c r="AN249" i="7"/>
  <c r="AH249" i="7" s="1"/>
  <c r="AO249" i="7"/>
  <c r="AJ249" i="7" s="1"/>
  <c r="AD249" i="7" l="1"/>
  <c r="AI249" i="7"/>
  <c r="AG249" i="7"/>
  <c r="AK249" i="7"/>
  <c r="AE249" i="7" l="1"/>
  <c r="AB250" i="7"/>
  <c r="Z250" i="7"/>
  <c r="AA250" i="7" l="1"/>
  <c r="AC250" i="7"/>
  <c r="AN250" i="7" l="1"/>
  <c r="AM250" i="7"/>
  <c r="AO250" i="7"/>
  <c r="AG250" i="7" l="1"/>
  <c r="AF250" i="7"/>
  <c r="AK250" i="7"/>
  <c r="AJ250" i="7"/>
  <c r="AI250" i="7"/>
  <c r="AH250" i="7"/>
  <c r="AD250" i="7" l="1"/>
  <c r="AE250" i="7"/>
  <c r="AA251" i="7" l="1"/>
  <c r="AC251" i="7"/>
  <c r="Z251" i="7"/>
  <c r="AB251" i="7"/>
  <c r="AO251" i="7" l="1"/>
  <c r="AK251" i="7" s="1"/>
  <c r="AN251" i="7"/>
  <c r="AI251" i="7" s="1"/>
  <c r="AM251" i="7"/>
  <c r="AG251" i="7" s="1"/>
  <c r="AJ251" i="7"/>
  <c r="AH251" i="7"/>
  <c r="AE251" i="7" l="1"/>
  <c r="AC252" i="7" s="1"/>
  <c r="AF251" i="7"/>
  <c r="AD251" i="7" s="1"/>
  <c r="AA252" i="7"/>
  <c r="Z252" i="7" l="1"/>
  <c r="AB252" i="7"/>
  <c r="AN252" i="7" l="1"/>
  <c r="AI252" i="7" s="1"/>
  <c r="AO252" i="7"/>
  <c r="AK252" i="7" s="1"/>
  <c r="AM252" i="7"/>
  <c r="AG252" i="7" s="1"/>
  <c r="AH252" i="7"/>
  <c r="AJ252" i="7" l="1"/>
  <c r="AE252" i="7"/>
  <c r="AC253" i="7" s="1"/>
  <c r="AA253" i="7"/>
  <c r="AF252" i="7"/>
  <c r="AD252" i="7" s="1"/>
  <c r="AB253" i="7" l="1"/>
  <c r="Z253" i="7"/>
  <c r="AO253" i="7" l="1"/>
  <c r="AK253" i="7" s="1"/>
  <c r="AN253" i="7"/>
  <c r="AI253" i="7" s="1"/>
  <c r="AM253" i="7"/>
  <c r="AG253" i="7" s="1"/>
  <c r="AH253" i="7"/>
  <c r="AJ253" i="7"/>
  <c r="AF253" i="7" l="1"/>
  <c r="AD253" i="7" s="1"/>
  <c r="AE253" i="7"/>
  <c r="AA254" i="7" s="1"/>
  <c r="Z254" i="7" l="1"/>
  <c r="AB254" i="7"/>
  <c r="AC254" i="7"/>
  <c r="AN254" i="7"/>
  <c r="AH254" i="7" s="1"/>
  <c r="AO254" i="7"/>
  <c r="AK254" i="7" s="1"/>
  <c r="AM254" i="7"/>
  <c r="AG254" i="7" s="1"/>
  <c r="AJ254" i="7" l="1"/>
  <c r="AF254" i="7"/>
  <c r="AD254" i="7" s="1"/>
  <c r="AI254" i="7"/>
  <c r="AE254" i="7" s="1"/>
  <c r="AC255" i="7" l="1"/>
  <c r="AA255" i="7"/>
  <c r="Z255" i="7"/>
  <c r="AB255" i="7"/>
  <c r="AN255" i="7" l="1"/>
  <c r="AM255" i="7"/>
  <c r="AO255" i="7"/>
  <c r="AG255" i="7" l="1"/>
  <c r="AF255" i="7"/>
  <c r="AK255" i="7"/>
  <c r="AJ255" i="7"/>
  <c r="AI255" i="7"/>
  <c r="AH255" i="7"/>
  <c r="AD255" i="7" l="1"/>
  <c r="AE255" i="7"/>
  <c r="AA256" i="7" l="1"/>
  <c r="AC256" i="7"/>
  <c r="AB256" i="7"/>
  <c r="Z256" i="7"/>
  <c r="AN256" i="7" l="1"/>
  <c r="AI256" i="7" s="1"/>
  <c r="AO256" i="7"/>
  <c r="AK256" i="7" s="1"/>
  <c r="AM256" i="7"/>
  <c r="AG256" i="7" s="1"/>
  <c r="AJ256" i="7" l="1"/>
  <c r="AE256" i="7"/>
  <c r="AC257" i="7" s="1"/>
  <c r="AF256" i="7"/>
  <c r="AH256" i="7"/>
  <c r="AA257" i="7" l="1"/>
  <c r="AD256" i="7"/>
  <c r="AB257" i="7" l="1"/>
  <c r="Z257" i="7"/>
  <c r="AO257" i="7" l="1"/>
  <c r="AK257" i="7" s="1"/>
  <c r="AN257" i="7"/>
  <c r="AI257" i="7" s="1"/>
  <c r="AM257" i="7"/>
  <c r="AG257" i="7" s="1"/>
  <c r="AJ257" i="7"/>
  <c r="AH257" i="7" l="1"/>
  <c r="AE257" i="7"/>
  <c r="AF257" i="7"/>
  <c r="AD257" i="7" s="1"/>
  <c r="AA258" i="7"/>
  <c r="AC258" i="7"/>
  <c r="AB258" i="7" l="1"/>
  <c r="Z258" i="7"/>
  <c r="AN258" i="7"/>
  <c r="AM258" i="7"/>
  <c r="AO258" i="7"/>
  <c r="AG258" i="7" l="1"/>
  <c r="AF258" i="7"/>
  <c r="AK258" i="7"/>
  <c r="AJ258" i="7"/>
  <c r="AI258" i="7"/>
  <c r="AH258" i="7"/>
  <c r="AD258" i="7" l="1"/>
  <c r="AE258" i="7"/>
  <c r="AA259" i="7" l="1"/>
  <c r="AC259" i="7"/>
  <c r="Z259" i="7"/>
  <c r="AB259" i="7"/>
  <c r="AN259" i="7" l="1"/>
  <c r="AI259" i="7" s="1"/>
  <c r="AO259" i="7"/>
  <c r="AK259" i="7" s="1"/>
  <c r="AH259" i="7"/>
  <c r="AM259" i="7"/>
  <c r="AG259" i="7" s="1"/>
  <c r="AE259" i="7" s="1"/>
  <c r="AC260" i="7" s="1"/>
  <c r="AJ259" i="7" l="1"/>
  <c r="AF259" i="7"/>
  <c r="AA260" i="7"/>
  <c r="AD259" i="7" l="1"/>
  <c r="Z260" i="7"/>
  <c r="AB260" i="7"/>
  <c r="AM260" i="7"/>
  <c r="AN260" i="7"/>
  <c r="AO260" i="7"/>
  <c r="AI260" i="7" l="1"/>
  <c r="AH260" i="7"/>
  <c r="AK260" i="7"/>
  <c r="AJ260" i="7"/>
  <c r="AG260" i="7"/>
  <c r="AF260" i="7"/>
  <c r="AD260" i="7" s="1"/>
  <c r="AE260" i="7" l="1"/>
  <c r="AC261" i="7"/>
  <c r="AA261" i="7"/>
  <c r="AB261" i="7"/>
  <c r="Z261" i="7"/>
  <c r="AM261" i="7" l="1"/>
  <c r="AF261" i="7" s="1"/>
  <c r="AN261" i="7"/>
  <c r="AI261" i="7" s="1"/>
  <c r="AO261" i="7"/>
  <c r="AK261" i="7" s="1"/>
  <c r="AG261" i="7"/>
  <c r="AH261" i="7" l="1"/>
  <c r="AE261" i="7"/>
  <c r="AJ261" i="7"/>
  <c r="AD261" i="7" l="1"/>
  <c r="AB262" i="7"/>
  <c r="Z262" i="7"/>
  <c r="AA262" i="7"/>
  <c r="AC262" i="7"/>
  <c r="AM262" i="7" l="1"/>
  <c r="AF262" i="7" s="1"/>
  <c r="AO262" i="7"/>
  <c r="AJ262" i="7" s="1"/>
  <c r="AN262" i="7"/>
  <c r="AH262" i="7" s="1"/>
  <c r="AD262" i="7" l="1"/>
  <c r="AK262" i="7"/>
  <c r="AG262" i="7"/>
  <c r="AI262" i="7"/>
  <c r="AE262" i="7" l="1"/>
  <c r="AC263" i="7" s="1"/>
  <c r="AA263" i="7"/>
  <c r="AB263" i="7"/>
  <c r="Z263" i="7"/>
  <c r="AN263" i="7" l="1"/>
  <c r="AO263" i="7"/>
  <c r="AM263" i="7"/>
  <c r="AF263" i="7" s="1"/>
  <c r="AH263" i="7" l="1"/>
  <c r="AI263" i="7"/>
  <c r="AJ263" i="7"/>
  <c r="AD263" i="7" s="1"/>
  <c r="AK263" i="7"/>
  <c r="AG263" i="7"/>
  <c r="AE263" i="7" l="1"/>
  <c r="Z264" i="7"/>
  <c r="AB264" i="7"/>
  <c r="AA264" i="7"/>
  <c r="AC264" i="7"/>
  <c r="AO264" i="7" l="1"/>
  <c r="AJ264" i="7" s="1"/>
  <c r="AM264" i="7"/>
  <c r="AF264" i="7" s="1"/>
  <c r="AN264" i="7"/>
  <c r="AH264" i="7" s="1"/>
  <c r="AD264" i="7" l="1"/>
  <c r="AK264" i="7"/>
  <c r="AG264" i="7"/>
  <c r="AI264" i="7"/>
  <c r="AE264" i="7" l="1"/>
  <c r="AA265" i="7"/>
  <c r="AC265" i="7"/>
  <c r="AB265" i="7"/>
  <c r="Z265" i="7"/>
  <c r="AO265" i="7" l="1"/>
  <c r="AJ265" i="7" s="1"/>
  <c r="AN265" i="7"/>
  <c r="AH265" i="7" s="1"/>
  <c r="AM265" i="7"/>
  <c r="AF265" i="7" s="1"/>
  <c r="AK265" i="7"/>
  <c r="AI265" i="7"/>
  <c r="AD265" i="7" l="1"/>
  <c r="AB266" i="7"/>
  <c r="Z266" i="7"/>
  <c r="AG265" i="7"/>
  <c r="AE265" i="7" s="1"/>
  <c r="AC266" i="7" l="1"/>
  <c r="AA266" i="7"/>
  <c r="AO266" i="7" s="1"/>
  <c r="AN266" i="7" l="1"/>
  <c r="AI266" i="7"/>
  <c r="AH266" i="7"/>
  <c r="AK266" i="7"/>
  <c r="AJ266" i="7"/>
  <c r="AM266" i="7"/>
  <c r="AF266" i="7" s="1"/>
  <c r="AD266" i="7" l="1"/>
  <c r="AG266" i="7"/>
  <c r="AE266" i="7" s="1"/>
  <c r="AC267" i="7" l="1"/>
  <c r="AA267" i="7"/>
  <c r="AB267" i="7"/>
  <c r="Z267" i="7"/>
  <c r="AM267" i="7" l="1"/>
  <c r="AG267" i="7" s="1"/>
  <c r="AO267" i="7"/>
  <c r="AK267" i="7" s="1"/>
  <c r="AN267" i="7"/>
  <c r="AI267" i="7" s="1"/>
  <c r="AE267" i="7" l="1"/>
  <c r="AC268" i="7" s="1"/>
  <c r="AJ267" i="7"/>
  <c r="AA268" i="7"/>
  <c r="AH267" i="7"/>
  <c r="AF267" i="7"/>
  <c r="AD267" i="7" l="1"/>
  <c r="AB268" i="7"/>
  <c r="Z268" i="7"/>
  <c r="AO268" i="7" l="1"/>
  <c r="AN268" i="7"/>
  <c r="AM268" i="7"/>
  <c r="AF268" i="7" l="1"/>
  <c r="AG268" i="7"/>
  <c r="AH268" i="7"/>
  <c r="AI268" i="7"/>
  <c r="AJ268" i="7"/>
  <c r="AK268" i="7"/>
  <c r="AE268" i="7" l="1"/>
  <c r="AD268" i="7"/>
  <c r="Z269" i="7" l="1"/>
  <c r="AB269" i="7"/>
  <c r="AC269" i="7"/>
  <c r="AA269" i="7"/>
  <c r="AN269" i="7" l="1"/>
  <c r="AH269" i="7" s="1"/>
  <c r="AO269" i="7"/>
  <c r="AJ269" i="7" s="1"/>
  <c r="AM269" i="7"/>
  <c r="AF269" i="7" s="1"/>
  <c r="AI269" i="7" l="1"/>
  <c r="AG269" i="7"/>
  <c r="AK269" i="7"/>
  <c r="AD269" i="7"/>
  <c r="AE269" i="7" l="1"/>
  <c r="AC270" i="7" s="1"/>
  <c r="AB270" i="7"/>
  <c r="Z270" i="7"/>
  <c r="AA270" i="7" l="1"/>
  <c r="AO270" i="7"/>
  <c r="AK270" i="7" s="1"/>
  <c r="AM270" i="7"/>
  <c r="AF270" i="7" s="1"/>
  <c r="AN270" i="7"/>
  <c r="AI270" i="7" s="1"/>
  <c r="AJ270" i="7"/>
  <c r="AG270" i="7"/>
  <c r="AE270" i="7" l="1"/>
  <c r="AC271" i="7" s="1"/>
  <c r="AH270" i="7"/>
  <c r="AD270" i="7" s="1"/>
  <c r="AB271" i="7" s="1"/>
  <c r="AA271" i="7"/>
  <c r="Z271" i="7" l="1"/>
  <c r="AN271" i="7" l="1"/>
  <c r="AM271" i="7"/>
  <c r="AO271" i="7"/>
  <c r="AK271" i="7" s="1"/>
  <c r="AJ271" i="7" l="1"/>
  <c r="AG271" i="7"/>
  <c r="AF271" i="7"/>
  <c r="AI271" i="7"/>
  <c r="AH271" i="7"/>
  <c r="AD271" i="7" l="1"/>
  <c r="AE271" i="7"/>
  <c r="AA272" i="7" l="1"/>
  <c r="AC272" i="7"/>
  <c r="Z272" i="7"/>
  <c r="AB272" i="7"/>
  <c r="AO272" i="7" l="1"/>
  <c r="AJ272" i="7" s="1"/>
  <c r="AN272" i="7"/>
  <c r="AH272" i="7" s="1"/>
  <c r="AM272" i="7"/>
  <c r="AF272" i="7" s="1"/>
  <c r="AK272" i="7"/>
  <c r="AI272" i="7" l="1"/>
  <c r="AD272" i="7"/>
  <c r="AG272" i="7"/>
  <c r="AE272" i="7" s="1"/>
  <c r="AB273" i="7"/>
  <c r="Z273" i="7"/>
  <c r="AA273" i="7" l="1"/>
  <c r="AC273" i="7"/>
  <c r="AM273" i="7" l="1"/>
  <c r="AF273" i="7" s="1"/>
  <c r="AN273" i="7"/>
  <c r="AH273" i="7" s="1"/>
  <c r="AO273" i="7"/>
  <c r="AJ273" i="7" s="1"/>
  <c r="AD273" i="7" l="1"/>
  <c r="AI273" i="7"/>
  <c r="AG273" i="7"/>
  <c r="AK273" i="7"/>
  <c r="AE273" i="7" l="1"/>
  <c r="AB274" i="7"/>
  <c r="Z274" i="7"/>
  <c r="AC274" i="7" l="1"/>
  <c r="AA274" i="7"/>
  <c r="AO274" i="7" l="1"/>
  <c r="AJ274" i="7" s="1"/>
  <c r="AM274" i="7"/>
  <c r="AF274" i="7" s="1"/>
  <c r="AN274" i="7"/>
  <c r="AH274" i="7" s="1"/>
  <c r="AD274" i="7" l="1"/>
  <c r="Z275" i="7"/>
  <c r="AB275" i="7"/>
  <c r="AK274" i="7"/>
  <c r="AI274" i="7"/>
  <c r="AG274" i="7"/>
  <c r="AE274" i="7" s="1"/>
  <c r="AC275" i="7" l="1"/>
  <c r="AA275" i="7"/>
  <c r="AN275" i="7"/>
  <c r="AI275" i="7" s="1"/>
  <c r="AO275" i="7"/>
  <c r="AJ275" i="7" s="1"/>
  <c r="AH275" i="7"/>
  <c r="AM275" i="7"/>
  <c r="AF275" i="7" s="1"/>
  <c r="AD275" i="7" l="1"/>
  <c r="AG275" i="7"/>
  <c r="AK275" i="7"/>
  <c r="AE275" i="7" l="1"/>
  <c r="AB276" i="7"/>
  <c r="Z276" i="7"/>
  <c r="AC276" i="7" l="1"/>
  <c r="AA276" i="7"/>
  <c r="AO276" i="7" l="1"/>
  <c r="AM276" i="7"/>
  <c r="AN276" i="7"/>
  <c r="AG276" i="7" l="1"/>
  <c r="AF276" i="7"/>
  <c r="AI276" i="7"/>
  <c r="AH276" i="7"/>
  <c r="AJ276" i="7"/>
  <c r="AK276" i="7"/>
  <c r="AE276" i="7" l="1"/>
  <c r="AD276" i="7"/>
  <c r="AA277" i="7"/>
  <c r="AC277" i="7"/>
  <c r="Z277" i="7" l="1"/>
  <c r="AB277" i="7"/>
  <c r="AN277" i="7" l="1"/>
  <c r="AI277" i="7" s="1"/>
  <c r="AO277" i="7"/>
  <c r="AK277" i="7" s="1"/>
  <c r="AH277" i="7"/>
  <c r="AM277" i="7"/>
  <c r="AG277" i="7" s="1"/>
  <c r="AJ277" i="7" l="1"/>
  <c r="AE277" i="7"/>
  <c r="AA278" i="7" s="1"/>
  <c r="AC278" i="7"/>
  <c r="AF277" i="7"/>
  <c r="AD277" i="7" s="1"/>
  <c r="AB278" i="7" l="1"/>
  <c r="Z278" i="7"/>
  <c r="AM278" i="7" l="1"/>
  <c r="AG278" i="7" s="1"/>
  <c r="AN278" i="7"/>
  <c r="AI278" i="7" s="1"/>
  <c r="AO278" i="7"/>
  <c r="AK278" i="7" s="1"/>
  <c r="AF278" i="7"/>
  <c r="AH278" i="7"/>
  <c r="AE278" i="7" l="1"/>
  <c r="AJ278" i="7"/>
  <c r="AD278" i="7" s="1"/>
  <c r="AB279" i="7" l="1"/>
  <c r="Z279" i="7"/>
  <c r="AA279" i="7"/>
  <c r="AC279" i="7"/>
  <c r="AN279" i="7" l="1"/>
  <c r="AM279" i="7"/>
  <c r="AO279" i="7"/>
  <c r="AF279" i="7" l="1"/>
  <c r="AG279" i="7"/>
  <c r="AK279" i="7"/>
  <c r="AJ279" i="7"/>
  <c r="AI279" i="7"/>
  <c r="AH279" i="7"/>
  <c r="AD279" i="7" l="1"/>
  <c r="Z280" i="7" s="1"/>
  <c r="AB280" i="7"/>
  <c r="AE279" i="7"/>
  <c r="AC280" i="7" l="1"/>
  <c r="AA280" i="7"/>
  <c r="AN280" i="7" l="1"/>
  <c r="AM280" i="7"/>
  <c r="AO280" i="7"/>
  <c r="AJ280" i="7" l="1"/>
  <c r="AK280" i="7"/>
  <c r="AH280" i="7"/>
  <c r="AI280" i="7"/>
  <c r="AF280" i="7"/>
  <c r="AG280" i="7"/>
  <c r="AE280" i="7" s="1"/>
  <c r="AA281" i="7" s="1"/>
  <c r="AC281" i="7" l="1"/>
  <c r="AD280" i="7"/>
  <c r="AB281" i="7" l="1"/>
  <c r="Z281" i="7"/>
  <c r="AN281" i="7" l="1"/>
  <c r="AO281" i="7"/>
  <c r="AM281" i="7"/>
  <c r="AJ281" i="7" l="1"/>
  <c r="AK281" i="7"/>
  <c r="AF281" i="7"/>
  <c r="AG281" i="7"/>
  <c r="AH281" i="7"/>
  <c r="AI281" i="7"/>
  <c r="AE281" i="7" l="1"/>
  <c r="AD281" i="7"/>
  <c r="AC282" i="7" l="1"/>
  <c r="AA282" i="7"/>
  <c r="Z282" i="7"/>
  <c r="AB282" i="7"/>
  <c r="AM282" i="7" l="1"/>
  <c r="AO282" i="7"/>
  <c r="AN282" i="7"/>
  <c r="AF282" i="7" l="1"/>
  <c r="AG282" i="7"/>
  <c r="AH282" i="7"/>
  <c r="AI282" i="7"/>
  <c r="AJ282" i="7"/>
  <c r="AK282" i="7"/>
  <c r="AD282" i="7" l="1"/>
  <c r="AE282" i="7"/>
  <c r="AB283" i="7" l="1"/>
  <c r="Z283" i="7"/>
  <c r="AA283" i="7"/>
  <c r="AC283" i="7"/>
  <c r="AO283" i="7" l="1"/>
  <c r="AJ283" i="7" s="1"/>
  <c r="AM283" i="7"/>
  <c r="AG283" i="7" s="1"/>
  <c r="AN283" i="7"/>
  <c r="AI283" i="7" s="1"/>
  <c r="AH283" i="7" l="1"/>
  <c r="AK283" i="7"/>
  <c r="AE283" i="7" s="1"/>
  <c r="AF283" i="7"/>
  <c r="AD283" i="7" s="1"/>
  <c r="AA284" i="7" l="1"/>
  <c r="AC284" i="7"/>
  <c r="AB284" i="7"/>
  <c r="Z284" i="7"/>
  <c r="AO284" i="7" l="1"/>
  <c r="AJ284" i="7" s="1"/>
  <c r="AN284" i="7"/>
  <c r="AI284" i="7" s="1"/>
  <c r="AM284" i="7"/>
  <c r="AF284" i="7" s="1"/>
  <c r="AH284" i="7"/>
  <c r="AD284" i="7" l="1"/>
  <c r="AB285" i="7" s="1"/>
  <c r="AG284" i="7"/>
  <c r="Z285" i="7"/>
  <c r="AK284" i="7"/>
  <c r="AE284" i="7" l="1"/>
  <c r="AA285" i="7"/>
  <c r="AC285" i="7"/>
  <c r="AO285" i="7" l="1"/>
  <c r="AM285" i="7"/>
  <c r="AN285" i="7"/>
  <c r="AG285" i="7" l="1"/>
  <c r="AF285" i="7"/>
  <c r="AI285" i="7"/>
  <c r="AH285" i="7"/>
  <c r="AK285" i="7"/>
  <c r="AJ285" i="7"/>
  <c r="AE285" i="7" l="1"/>
  <c r="AC286" i="7"/>
  <c r="AA286" i="7"/>
  <c r="AD285" i="7"/>
  <c r="Z286" i="7" l="1"/>
  <c r="AB286" i="7"/>
  <c r="AM286" i="7" l="1"/>
  <c r="AG286" i="7" s="1"/>
  <c r="AO286" i="7"/>
  <c r="AK286" i="7" s="1"/>
  <c r="AN286" i="7"/>
  <c r="AI286" i="7" s="1"/>
  <c r="AJ286" i="7" l="1"/>
  <c r="AH286" i="7"/>
  <c r="AE286" i="7"/>
  <c r="AC287" i="7" s="1"/>
  <c r="AF286" i="7"/>
  <c r="AD286" i="7" s="1"/>
  <c r="AA287" i="7" l="1"/>
  <c r="Z287" i="7"/>
  <c r="AB287" i="7"/>
  <c r="AN287" i="7" l="1"/>
  <c r="AI287" i="7" s="1"/>
  <c r="AM287" i="7"/>
  <c r="AO287" i="7"/>
  <c r="AH287" i="7"/>
  <c r="AJ287" i="7" l="1"/>
  <c r="AK287" i="7"/>
  <c r="AF287" i="7"/>
  <c r="AD287" i="7" s="1"/>
  <c r="AG287" i="7"/>
  <c r="Z288" i="7" l="1"/>
  <c r="AB288" i="7"/>
  <c r="AE287" i="7"/>
  <c r="AC288" i="7" l="1"/>
  <c r="AA288" i="7"/>
  <c r="AO288" i="7" s="1"/>
  <c r="AJ288" i="7" s="1"/>
  <c r="AK288" i="7" l="1"/>
  <c r="AN288" i="7"/>
  <c r="AH288" i="7" s="1"/>
  <c r="AM288" i="7"/>
  <c r="AF288" i="7" s="1"/>
  <c r="AD288" i="7" l="1"/>
  <c r="AB289" i="7"/>
  <c r="Z289" i="7"/>
  <c r="AI288" i="7"/>
  <c r="AG288" i="7"/>
  <c r="AE288" i="7" l="1"/>
  <c r="AA289" i="7"/>
  <c r="AC289" i="7"/>
  <c r="AM289" i="7"/>
  <c r="AG289" i="7" s="1"/>
  <c r="AO289" i="7"/>
  <c r="AK289" i="7" s="1"/>
  <c r="AF289" i="7"/>
  <c r="AN289" i="7"/>
  <c r="AI289" i="7" s="1"/>
  <c r="AJ289" i="7"/>
  <c r="AH289" i="7" l="1"/>
  <c r="AD289" i="7" s="1"/>
  <c r="AE289" i="7"/>
  <c r="AC290" i="7" s="1"/>
  <c r="AA290" i="7" l="1"/>
  <c r="Z290" i="7"/>
  <c r="AB290" i="7"/>
  <c r="AM290" i="7" l="1"/>
  <c r="AO290" i="7"/>
  <c r="AK290" i="7" s="1"/>
  <c r="AN290" i="7"/>
  <c r="AI290" i="7" s="1"/>
  <c r="AF290" i="7"/>
  <c r="AJ290" i="7"/>
  <c r="AG290" i="7"/>
  <c r="AE290" i="7" l="1"/>
  <c r="AH290" i="7"/>
  <c r="AD290" i="7" s="1"/>
  <c r="AC291" i="7" l="1"/>
  <c r="AA291" i="7"/>
  <c r="Z291" i="7"/>
  <c r="AB291" i="7"/>
  <c r="AN291" i="7" l="1"/>
  <c r="AI291" i="7" s="1"/>
  <c r="AM291" i="7"/>
  <c r="AG291" i="7" s="1"/>
  <c r="AO291" i="7"/>
  <c r="AK291" i="7" s="1"/>
  <c r="AF291" i="7"/>
  <c r="AJ291" i="7" l="1"/>
  <c r="AH291" i="7"/>
  <c r="AD291" i="7" s="1"/>
  <c r="AE291" i="7"/>
  <c r="AB292" i="7" l="1"/>
  <c r="Z292" i="7"/>
  <c r="AC292" i="7"/>
  <c r="AA292" i="7"/>
  <c r="AM292" i="7" l="1"/>
  <c r="AG292" i="7" s="1"/>
  <c r="AO292" i="7"/>
  <c r="AK292" i="7" s="1"/>
  <c r="AN292" i="7"/>
  <c r="AI292" i="7" s="1"/>
  <c r="AF292" i="7"/>
  <c r="AJ292" i="7"/>
  <c r="AH292" i="7"/>
  <c r="AD292" i="7" l="1"/>
  <c r="Z293" i="7" s="1"/>
  <c r="AB293" i="7"/>
  <c r="AE292" i="7"/>
  <c r="AC293" i="7" l="1"/>
  <c r="AA293" i="7"/>
  <c r="AO293" i="7" l="1"/>
  <c r="AJ293" i="7" s="1"/>
  <c r="AM293" i="7"/>
  <c r="AF293" i="7" s="1"/>
  <c r="AN293" i="7"/>
  <c r="AH293" i="7" s="1"/>
  <c r="AI293" i="7" l="1"/>
  <c r="AD293" i="7"/>
  <c r="AK293" i="7"/>
  <c r="AG293" i="7"/>
  <c r="AE293" i="7" l="1"/>
  <c r="Z294" i="7"/>
  <c r="AB294" i="7"/>
  <c r="AA294" i="7"/>
  <c r="AC294" i="7"/>
  <c r="AM294" i="7" l="1"/>
  <c r="AF294" i="7" s="1"/>
  <c r="AN294" i="7"/>
  <c r="AH294" i="7" s="1"/>
  <c r="AO294" i="7"/>
  <c r="AJ294" i="7" s="1"/>
  <c r="AI294" i="7"/>
  <c r="AD294" i="7" l="1"/>
  <c r="AK294" i="7"/>
  <c r="AG294" i="7"/>
  <c r="AE294" i="7" s="1"/>
  <c r="Z295" i="7" l="1"/>
  <c r="AB295" i="7"/>
  <c r="AA295" i="7"/>
  <c r="AC295" i="7"/>
  <c r="AN295" i="7" l="1"/>
  <c r="AI295" i="7" s="1"/>
  <c r="AM295" i="7"/>
  <c r="AO295" i="7"/>
  <c r="AK295" i="7" s="1"/>
  <c r="AH295" i="7" l="1"/>
  <c r="AJ295" i="7"/>
  <c r="AF295" i="7"/>
  <c r="AG295" i="7"/>
  <c r="AE295" i="7" s="1"/>
  <c r="AC296" i="7" l="1"/>
  <c r="AA296" i="7"/>
  <c r="AD295" i="7"/>
  <c r="AB296" i="7" l="1"/>
  <c r="Z296" i="7"/>
  <c r="AM296" i="7" l="1"/>
  <c r="AN296" i="7"/>
  <c r="AO296" i="7"/>
  <c r="AG296" i="7" l="1"/>
  <c r="AF296" i="7"/>
  <c r="AJ296" i="7"/>
  <c r="AK296" i="7"/>
  <c r="AH296" i="7"/>
  <c r="AI296" i="7"/>
  <c r="AD296" i="7" l="1"/>
  <c r="AE296" i="7"/>
  <c r="AB297" i="7" l="1"/>
  <c r="Z297" i="7"/>
  <c r="AA297" i="7"/>
  <c r="AC297" i="7"/>
  <c r="AM297" i="7" l="1"/>
  <c r="AF297" i="7" s="1"/>
  <c r="AO297" i="7"/>
  <c r="AK297" i="7" s="1"/>
  <c r="AN297" i="7"/>
  <c r="AH297" i="7" s="1"/>
  <c r="AJ297" i="7"/>
  <c r="AD297" i="7" l="1"/>
  <c r="AI297" i="7"/>
  <c r="AG297" i="7"/>
  <c r="AE297" i="7" s="1"/>
  <c r="AB298" i="7" l="1"/>
  <c r="Z298" i="7"/>
  <c r="AC298" i="7"/>
  <c r="AA298" i="7"/>
  <c r="AN298" i="7" l="1"/>
  <c r="AH298" i="7" s="1"/>
  <c r="AM298" i="7"/>
  <c r="AF298" i="7" s="1"/>
  <c r="AO298" i="7"/>
  <c r="AJ298" i="7" s="1"/>
  <c r="AD298" i="7" l="1"/>
  <c r="AG298" i="7"/>
  <c r="AI298" i="7"/>
  <c r="AK298" i="7"/>
  <c r="AE298" i="7" l="1"/>
  <c r="Z299" i="7"/>
  <c r="AB299" i="7"/>
  <c r="AA299" i="7" l="1"/>
  <c r="AC299" i="7"/>
  <c r="AN299" i="7" l="1"/>
  <c r="AH299" i="7" s="1"/>
  <c r="AO299" i="7"/>
  <c r="AJ299" i="7" s="1"/>
  <c r="AM299" i="7"/>
  <c r="AF299" i="7" s="1"/>
  <c r="AD299" i="7" l="1"/>
  <c r="AG299" i="7"/>
  <c r="AK299" i="7"/>
  <c r="AI299" i="7"/>
  <c r="AE299" i="7" l="1"/>
  <c r="AC300" i="7"/>
  <c r="AA300" i="7"/>
  <c r="Z300" i="7"/>
  <c r="AB300" i="7"/>
  <c r="AO300" i="7" l="1"/>
  <c r="AK300" i="7" s="1"/>
  <c r="AM300" i="7"/>
  <c r="AG300" i="7" s="1"/>
  <c r="AN300" i="7"/>
  <c r="AI300" i="7" s="1"/>
  <c r="AJ300" i="7"/>
  <c r="AE300" i="7" l="1"/>
  <c r="AA301" i="7"/>
  <c r="AC301" i="7"/>
  <c r="AF300" i="7"/>
  <c r="AH300" i="7"/>
  <c r="AD300" i="7" l="1"/>
  <c r="AB301" i="7"/>
  <c r="Z301" i="7"/>
  <c r="AM301" i="7" l="1"/>
  <c r="AG301" i="7" s="1"/>
  <c r="AN301" i="7"/>
  <c r="AI301" i="7" s="1"/>
  <c r="AO301" i="7"/>
  <c r="AK301" i="7" s="1"/>
  <c r="AH301" i="7" l="1"/>
  <c r="AE301" i="7"/>
  <c r="AJ301" i="7"/>
  <c r="AF301" i="7"/>
  <c r="AA302" i="7"/>
  <c r="AC302" i="7"/>
  <c r="AD301" i="7" l="1"/>
  <c r="AB302" i="7"/>
  <c r="Z302" i="7"/>
  <c r="AN302" i="7" l="1"/>
  <c r="AI302" i="7" s="1"/>
  <c r="AO302" i="7"/>
  <c r="AK302" i="7" s="1"/>
  <c r="AM302" i="7"/>
  <c r="AG302" i="7" s="1"/>
  <c r="AH302" i="7"/>
  <c r="AE302" i="7" l="1"/>
  <c r="AF302" i="7"/>
  <c r="AA303" i="7"/>
  <c r="AC303" i="7"/>
  <c r="AJ302" i="7"/>
  <c r="AD302" i="7" l="1"/>
  <c r="Z303" i="7" l="1"/>
  <c r="AB303" i="7"/>
  <c r="AM303" i="7" l="1"/>
  <c r="AN303" i="7"/>
  <c r="AO303" i="7"/>
  <c r="AH303" i="7" l="1"/>
  <c r="AI303" i="7"/>
  <c r="AJ303" i="7"/>
  <c r="AK303" i="7"/>
  <c r="AF303" i="7"/>
  <c r="AD303" i="7" s="1"/>
  <c r="AG303" i="7"/>
  <c r="AE303" i="7" l="1"/>
  <c r="AB304" i="7"/>
  <c r="Z304" i="7"/>
  <c r="AC304" i="7"/>
  <c r="AA304" i="7"/>
  <c r="AN304" i="7" l="1"/>
  <c r="AH304" i="7" s="1"/>
  <c r="AO304" i="7"/>
  <c r="AJ304" i="7" s="1"/>
  <c r="AM304" i="7"/>
  <c r="AF304" i="7" s="1"/>
  <c r="AD304" i="7" l="1"/>
  <c r="Z305" i="7" s="1"/>
  <c r="AI304" i="7"/>
  <c r="AK304" i="7"/>
  <c r="AB305" i="7"/>
  <c r="AG304" i="7"/>
  <c r="AE304" i="7" l="1"/>
  <c r="AA305" i="7"/>
  <c r="AC305" i="7"/>
  <c r="AO305" i="7" l="1"/>
  <c r="AJ305" i="7" s="1"/>
  <c r="AM305" i="7"/>
  <c r="AF305" i="7" s="1"/>
  <c r="AN305" i="7"/>
  <c r="AH305" i="7" s="1"/>
  <c r="AD305" i="7" l="1"/>
  <c r="AK305" i="7"/>
  <c r="AI305" i="7"/>
  <c r="AG305" i="7"/>
  <c r="AE305" i="7" l="1"/>
  <c r="AC306" i="7" s="1"/>
  <c r="AB306" i="7"/>
  <c r="Z306" i="7"/>
  <c r="AA306" i="7" l="1"/>
  <c r="AN306" i="7"/>
  <c r="AH306" i="7" s="1"/>
  <c r="AM306" i="7"/>
  <c r="AF306" i="7" s="1"/>
  <c r="AO306" i="7"/>
  <c r="AJ306" i="7" s="1"/>
  <c r="AG306" i="7"/>
  <c r="AI306" i="7"/>
  <c r="AK306" i="7"/>
  <c r="AE306" i="7" l="1"/>
  <c r="AA307" i="7" s="1"/>
  <c r="AD306" i="7"/>
  <c r="AC307" i="7"/>
  <c r="Z307" i="7" l="1"/>
  <c r="AB307" i="7"/>
  <c r="AO307" i="7" l="1"/>
  <c r="AN307" i="7"/>
  <c r="AM307" i="7"/>
  <c r="AH307" i="7" l="1"/>
  <c r="AI307" i="7"/>
  <c r="AF307" i="7"/>
  <c r="AG307" i="7"/>
  <c r="AJ307" i="7"/>
  <c r="AK307" i="7"/>
  <c r="AD307" i="7" l="1"/>
  <c r="Z308" i="7"/>
  <c r="AB308" i="7"/>
  <c r="AE307" i="7"/>
  <c r="AA308" i="7" l="1"/>
  <c r="AC308" i="7"/>
  <c r="AO308" i="7"/>
  <c r="AJ308" i="7" s="1"/>
  <c r="AN308" i="7"/>
  <c r="AH308" i="7" s="1"/>
  <c r="AM308" i="7"/>
  <c r="AF308" i="7" s="1"/>
  <c r="AD308" i="7" s="1"/>
  <c r="Z309" i="7" s="1"/>
  <c r="AB309" i="7" l="1"/>
  <c r="AG308" i="7"/>
  <c r="AI308" i="7"/>
  <c r="AK308" i="7"/>
  <c r="AE308" i="7" l="1"/>
  <c r="AA309" i="7" l="1"/>
  <c r="AC309" i="7"/>
  <c r="AO309" i="7" l="1"/>
  <c r="AJ309" i="7" s="1"/>
  <c r="AN309" i="7"/>
  <c r="AM309" i="7"/>
  <c r="AF309" i="7" s="1"/>
  <c r="AK309" i="7"/>
  <c r="AG309" i="7" l="1"/>
  <c r="AI309" i="7"/>
  <c r="AH309" i="7"/>
  <c r="AD309" i="7" s="1"/>
  <c r="AE309" i="7" l="1"/>
  <c r="AC310" i="7"/>
  <c r="AA310" i="7"/>
  <c r="AB310" i="7"/>
  <c r="Z310" i="7"/>
  <c r="AO310" i="7" l="1"/>
  <c r="AJ310" i="7" s="1"/>
  <c r="AM310" i="7"/>
  <c r="AF310" i="7" s="1"/>
  <c r="AN310" i="7"/>
  <c r="AH310" i="7" s="1"/>
  <c r="AK310" i="7"/>
  <c r="AG310" i="7"/>
  <c r="AI310" i="7" l="1"/>
  <c r="AE310" i="7" s="1"/>
  <c r="AD310" i="7"/>
  <c r="AA311" i="7" l="1"/>
  <c r="AC311" i="7"/>
  <c r="AB311" i="7"/>
  <c r="Z311" i="7"/>
  <c r="AM311" i="7" l="1"/>
  <c r="AO311" i="7"/>
  <c r="AN311" i="7"/>
  <c r="AJ311" i="7" l="1"/>
  <c r="AK311" i="7"/>
  <c r="AH311" i="7"/>
  <c r="AI311" i="7"/>
  <c r="AF311" i="7"/>
  <c r="AG311" i="7"/>
  <c r="AE311" i="7" s="1"/>
  <c r="AA312" i="7" s="1"/>
  <c r="AD311" i="7" l="1"/>
  <c r="AC312" i="7"/>
  <c r="Z312" i="7"/>
  <c r="AB312" i="7"/>
  <c r="AO312" i="7"/>
  <c r="AJ312" i="7" s="1"/>
  <c r="AN312" i="7"/>
  <c r="AH312" i="7" s="1"/>
  <c r="AM312" i="7"/>
  <c r="AF312" i="7" s="1"/>
  <c r="AD312" i="7" l="1"/>
  <c r="AB313" i="7"/>
  <c r="Z313" i="7"/>
  <c r="AI312" i="7"/>
  <c r="AG312" i="7"/>
  <c r="AK312" i="7"/>
  <c r="AE312" i="7" l="1"/>
  <c r="AC313" i="7" l="1"/>
  <c r="AA313" i="7"/>
  <c r="AN313" i="7" l="1"/>
  <c r="AH313" i="7" s="1"/>
  <c r="AM313" i="7"/>
  <c r="AF313" i="7" s="1"/>
  <c r="AO313" i="7"/>
  <c r="AJ313" i="7" s="1"/>
  <c r="AD313" i="7" l="1"/>
  <c r="AB314" i="7"/>
  <c r="Z314" i="7"/>
  <c r="AI313" i="7"/>
  <c r="AK313" i="7"/>
  <c r="AG313" i="7"/>
  <c r="AE313" i="7" l="1"/>
  <c r="AC314" i="7" s="1"/>
  <c r="AA314" i="7"/>
  <c r="AO314" i="7" s="1"/>
  <c r="AM314" i="7" l="1"/>
  <c r="AG314" i="7" s="1"/>
  <c r="AN314" i="7"/>
  <c r="AH314" i="7" s="1"/>
  <c r="AK314" i="7"/>
  <c r="AJ314" i="7"/>
  <c r="AF314" i="7"/>
  <c r="AI314" i="7"/>
  <c r="AE314" i="7" s="1"/>
  <c r="AA315" i="7" s="1"/>
  <c r="AD314" i="7" l="1"/>
  <c r="AB315" i="7" s="1"/>
  <c r="Z315" i="7"/>
  <c r="AC315" i="7"/>
  <c r="AN315" i="7"/>
  <c r="AI315" i="7" s="1"/>
  <c r="AO315" i="7"/>
  <c r="AK315" i="7" s="1"/>
  <c r="AM315" i="7"/>
  <c r="AG315" i="7" s="1"/>
  <c r="AF315" i="7" l="1"/>
  <c r="AJ315" i="7"/>
  <c r="AH315" i="7"/>
  <c r="AE315" i="7"/>
  <c r="AD315" i="7" l="1"/>
  <c r="Z316" i="7"/>
  <c r="AB316" i="7"/>
  <c r="AA316" i="7"/>
  <c r="AC316" i="7"/>
  <c r="AN316" i="7" l="1"/>
  <c r="AH316" i="7" s="1"/>
  <c r="AM316" i="7"/>
  <c r="AF316" i="7" s="1"/>
  <c r="AO316" i="7"/>
  <c r="AJ316" i="7" s="1"/>
  <c r="AD316" i="7" l="1"/>
  <c r="Z317" i="7" s="1"/>
  <c r="AG316" i="7"/>
  <c r="AB317" i="7"/>
  <c r="AK316" i="7"/>
  <c r="AI316" i="7"/>
  <c r="AE316" i="7" l="1"/>
  <c r="AC317" i="7" l="1"/>
  <c r="AA317" i="7"/>
  <c r="AM317" i="7" l="1"/>
  <c r="AF317" i="7" s="1"/>
  <c r="AO317" i="7"/>
  <c r="AJ317" i="7" s="1"/>
  <c r="AN317" i="7"/>
  <c r="AH317" i="7" s="1"/>
  <c r="AD317" i="7" l="1"/>
  <c r="AG317" i="7"/>
  <c r="AI317" i="7"/>
  <c r="AK317" i="7"/>
  <c r="AE317" i="7" l="1"/>
  <c r="Z318" i="7"/>
  <c r="AB318" i="7"/>
  <c r="AA318" i="7" l="1"/>
  <c r="AC318" i="7"/>
  <c r="AM318" i="7" l="1"/>
  <c r="AF318" i="7" s="1"/>
  <c r="AN318" i="7"/>
  <c r="AH318" i="7" s="1"/>
  <c r="AO318" i="7"/>
  <c r="AJ318" i="7" s="1"/>
  <c r="AG318" i="7" l="1"/>
  <c r="AD318" i="7"/>
  <c r="AI318" i="7"/>
  <c r="AK318" i="7"/>
  <c r="AB319" i="7" l="1"/>
  <c r="Z319" i="7"/>
  <c r="AE318" i="7"/>
  <c r="AC319" i="7" l="1"/>
  <c r="AA319" i="7"/>
  <c r="AN319" i="7" s="1"/>
  <c r="AM319" i="7"/>
  <c r="AF319" i="7" s="1"/>
  <c r="AO319" i="7"/>
  <c r="AJ319" i="7" s="1"/>
  <c r="AI319" i="7" l="1"/>
  <c r="AH319" i="7"/>
  <c r="AD319" i="7" s="1"/>
  <c r="AK319" i="7"/>
  <c r="AG319" i="7"/>
  <c r="AE319" i="7" l="1"/>
  <c r="AA320" i="7" s="1"/>
  <c r="AC320" i="7"/>
  <c r="AB320" i="7"/>
  <c r="Z320" i="7"/>
  <c r="AO320" i="7" l="1"/>
  <c r="AK320" i="7" s="1"/>
  <c r="AN320" i="7"/>
  <c r="AI320" i="7" s="1"/>
  <c r="AJ320" i="7"/>
  <c r="AM320" i="7"/>
  <c r="AG320" i="7" s="1"/>
  <c r="AH320" i="7" l="1"/>
  <c r="AE320" i="7"/>
  <c r="AA321" i="7" s="1"/>
  <c r="AC321" i="7"/>
  <c r="AF320" i="7"/>
  <c r="AD320" i="7" s="1"/>
  <c r="AB321" i="7" l="1"/>
  <c r="Z321" i="7"/>
  <c r="AO321" i="7" l="1"/>
  <c r="AK321" i="7" s="1"/>
  <c r="AM321" i="7"/>
  <c r="AN321" i="7"/>
  <c r="AJ321" i="7"/>
  <c r="AH321" i="7" l="1"/>
  <c r="AI321" i="7"/>
  <c r="AF321" i="7"/>
  <c r="AD321" i="7" s="1"/>
  <c r="AG321" i="7"/>
  <c r="AE321" i="7" s="1"/>
  <c r="Z322" i="7" l="1"/>
  <c r="AB322" i="7"/>
  <c r="AC322" i="7"/>
  <c r="AA322" i="7"/>
  <c r="AM322" i="7" l="1"/>
  <c r="AF322" i="7" s="1"/>
  <c r="AO322" i="7"/>
  <c r="AJ322" i="7" s="1"/>
  <c r="AN322" i="7"/>
  <c r="AH322" i="7" s="1"/>
  <c r="AD322" i="7" l="1"/>
  <c r="AG322" i="7"/>
  <c r="AK322" i="7"/>
  <c r="AI322" i="7"/>
  <c r="AE322" i="7" l="1"/>
  <c r="AB323" i="7"/>
  <c r="Z323" i="7"/>
  <c r="AC323" i="7" l="1"/>
  <c r="AA323" i="7"/>
  <c r="AO323" i="7" l="1"/>
  <c r="AJ323" i="7" s="1"/>
  <c r="AM323" i="7"/>
  <c r="AF323" i="7" s="1"/>
  <c r="AN323" i="7"/>
  <c r="AH323" i="7" s="1"/>
  <c r="AD323" i="7" l="1"/>
  <c r="Z324" i="7"/>
  <c r="AB324" i="7"/>
  <c r="AG323" i="7"/>
  <c r="AI323" i="7"/>
  <c r="AK323" i="7"/>
  <c r="AE323" i="7" l="1"/>
  <c r="AA324" i="7" l="1"/>
  <c r="AC324" i="7"/>
  <c r="AO324" i="7" l="1"/>
  <c r="AJ324" i="7" s="1"/>
  <c r="AN324" i="7"/>
  <c r="AH324" i="7" s="1"/>
  <c r="AM324" i="7"/>
  <c r="AF324" i="7" s="1"/>
  <c r="AD324" i="7" l="1"/>
  <c r="AI324" i="7"/>
  <c r="AK324" i="7"/>
  <c r="AG324" i="7"/>
  <c r="AB325" i="7"/>
  <c r="Z325" i="7"/>
  <c r="AE324" i="7" l="1"/>
  <c r="AC325" i="7"/>
  <c r="AA325" i="7"/>
  <c r="AN325" i="7" s="1"/>
  <c r="AH325" i="7" s="1"/>
  <c r="AI325" i="7" l="1"/>
  <c r="AM325" i="7"/>
  <c r="AF325" i="7" s="1"/>
  <c r="AO325" i="7"/>
  <c r="AJ325" i="7" s="1"/>
  <c r="AK325" i="7" l="1"/>
  <c r="AG325" i="7"/>
  <c r="AE325" i="7" s="1"/>
  <c r="AD325" i="7"/>
  <c r="Z326" i="7" l="1"/>
  <c r="AB326" i="7"/>
  <c r="AC326" i="7"/>
  <c r="AA326" i="7"/>
  <c r="AO326" i="7" l="1"/>
  <c r="AK326" i="7" s="1"/>
  <c r="AN326" i="7"/>
  <c r="AI326" i="7" s="1"/>
  <c r="AM326" i="7"/>
  <c r="AG326" i="7" s="1"/>
  <c r="AJ326" i="7"/>
  <c r="AE326" i="7" l="1"/>
  <c r="AC327" i="7" s="1"/>
  <c r="AF326" i="7"/>
  <c r="AA327" i="7"/>
  <c r="AH326" i="7"/>
  <c r="AD326" i="7" l="1"/>
  <c r="Z327" i="7" l="1"/>
  <c r="AB327" i="7"/>
  <c r="AO327" i="7" l="1"/>
  <c r="AK327" i="7" s="1"/>
  <c r="AM327" i="7"/>
  <c r="AG327" i="7" s="1"/>
  <c r="AN327" i="7"/>
  <c r="AI327" i="7" s="1"/>
  <c r="AJ327" i="7"/>
  <c r="AF327" i="7" l="1"/>
  <c r="AH327" i="7"/>
  <c r="AD327" i="7" s="1"/>
  <c r="AE327" i="7"/>
  <c r="AB328" i="7" l="1"/>
  <c r="Z328" i="7"/>
  <c r="AC328" i="7"/>
  <c r="AA328" i="7"/>
  <c r="AO328" i="7" l="1"/>
  <c r="AJ328" i="7"/>
  <c r="AN328" i="7"/>
  <c r="AH328" i="7" s="1"/>
  <c r="AM328" i="7"/>
  <c r="AF328" i="7" s="1"/>
  <c r="AI328" i="7"/>
  <c r="AK328" i="7"/>
  <c r="AD328" i="7" l="1"/>
  <c r="AG328" i="7"/>
  <c r="AE328" i="7" s="1"/>
  <c r="AA329" i="7" l="1"/>
  <c r="AC329" i="7"/>
  <c r="AB329" i="7"/>
  <c r="Z329" i="7"/>
  <c r="AO329" i="7" l="1"/>
  <c r="AJ329" i="7" s="1"/>
  <c r="AN329" i="7"/>
  <c r="AH329" i="7" s="1"/>
  <c r="AM329" i="7"/>
  <c r="AF329" i="7" s="1"/>
  <c r="AK329" i="7"/>
  <c r="AI329" i="7" l="1"/>
  <c r="AD329" i="7"/>
  <c r="AB330" i="7" s="1"/>
  <c r="Z330" i="7"/>
  <c r="AG329" i="7"/>
  <c r="AE329" i="7" s="1"/>
  <c r="AA330" i="7" l="1"/>
  <c r="AC330" i="7"/>
  <c r="AN330" i="7"/>
  <c r="AI330" i="7" s="1"/>
  <c r="AM330" i="7"/>
  <c r="AG330" i="7" s="1"/>
  <c r="AO330" i="7"/>
  <c r="AK330" i="7" s="1"/>
  <c r="AJ330" i="7" l="1"/>
  <c r="AH330" i="7"/>
  <c r="AE330" i="7"/>
  <c r="AF330" i="7"/>
  <c r="AC331" i="7"/>
  <c r="AA331" i="7"/>
  <c r="AD330" i="7" l="1"/>
  <c r="AB331" i="7" l="1"/>
  <c r="Z331" i="7"/>
  <c r="AN331" i="7" l="1"/>
  <c r="AI331" i="7" s="1"/>
  <c r="AM331" i="7"/>
  <c r="AG331" i="7" s="1"/>
  <c r="AO331" i="7"/>
  <c r="AK331" i="7" s="1"/>
  <c r="AH331" i="7"/>
  <c r="AF331" i="7" l="1"/>
  <c r="AJ331" i="7"/>
  <c r="AE331" i="7"/>
  <c r="AD331" i="7" l="1"/>
  <c r="AA332" i="7"/>
  <c r="AC332" i="7"/>
  <c r="AB332" i="7" l="1"/>
  <c r="Z332" i="7"/>
  <c r="AM332" i="7" l="1"/>
  <c r="AG332" i="7" s="1"/>
  <c r="AN332" i="7"/>
  <c r="AF332" i="7"/>
  <c r="AO332" i="7"/>
  <c r="AK332" i="7" s="1"/>
  <c r="AI332" i="7" l="1"/>
  <c r="AH332" i="7"/>
  <c r="AJ332" i="7"/>
  <c r="AE332" i="7"/>
  <c r="AD332" i="7" l="1"/>
  <c r="AB333" i="7"/>
  <c r="Z333" i="7"/>
  <c r="AC333" i="7"/>
  <c r="AA333" i="7"/>
  <c r="AM333" i="7" l="1"/>
  <c r="AO333" i="7"/>
  <c r="AK333" i="7" s="1"/>
  <c r="AN333" i="7"/>
  <c r="AI333" i="7" s="1"/>
  <c r="AG333" i="7" l="1"/>
  <c r="AE333" i="7" s="1"/>
  <c r="AF333" i="7"/>
  <c r="AH333" i="7"/>
  <c r="AJ333" i="7"/>
  <c r="AD333" i="7" l="1"/>
  <c r="AC334" i="7"/>
  <c r="AA334" i="7"/>
  <c r="AB334" i="7" l="1"/>
  <c r="Z334" i="7"/>
  <c r="AN334" i="7" l="1"/>
  <c r="AI334" i="7" s="1"/>
  <c r="AM334" i="7"/>
  <c r="AG334" i="7" s="1"/>
  <c r="AO334" i="7"/>
  <c r="AK334" i="7" s="1"/>
  <c r="AH334" i="7"/>
  <c r="AF334" i="7"/>
  <c r="AJ334" i="7" l="1"/>
  <c r="AE334" i="7"/>
  <c r="AD334" i="7"/>
  <c r="AB335" i="7" l="1"/>
  <c r="Z335" i="7"/>
  <c r="AC335" i="7"/>
  <c r="AA335" i="7"/>
  <c r="AO335" i="7" l="1"/>
  <c r="AK335" i="7" s="1"/>
  <c r="AN335" i="7"/>
  <c r="AI335" i="7" s="1"/>
  <c r="AM335" i="7"/>
  <c r="AG335" i="7" s="1"/>
  <c r="AH335" i="7"/>
  <c r="AE335" i="7" l="1"/>
  <c r="AC336" i="7" s="1"/>
  <c r="AJ335" i="7"/>
  <c r="AF335" i="7"/>
  <c r="AD335" i="7" s="1"/>
  <c r="AA336" i="7"/>
  <c r="Z336" i="7" l="1"/>
  <c r="AB336" i="7"/>
  <c r="AM336" i="7" l="1"/>
  <c r="AO336" i="7"/>
  <c r="AN336" i="7"/>
  <c r="AK336" i="7" l="1"/>
  <c r="AJ336" i="7"/>
  <c r="AI336" i="7"/>
  <c r="AH336" i="7"/>
  <c r="AG336" i="7"/>
  <c r="AF336" i="7"/>
  <c r="AD336" i="7" s="1"/>
  <c r="Z337" i="7" s="1"/>
  <c r="AE336" i="7" l="1"/>
  <c r="AB337" i="7"/>
  <c r="AA337" i="7" l="1"/>
  <c r="AC337" i="7"/>
  <c r="AO337" i="7" l="1"/>
  <c r="AN337" i="7"/>
  <c r="AM337" i="7"/>
  <c r="AI337" i="7" l="1"/>
  <c r="AH337" i="7"/>
  <c r="AG337" i="7"/>
  <c r="AF337" i="7"/>
  <c r="AK337" i="7"/>
  <c r="AJ337" i="7"/>
  <c r="AD337" i="7" l="1"/>
  <c r="AE337" i="7"/>
  <c r="AC338" i="7" l="1"/>
  <c r="AA338" i="7"/>
  <c r="AB338" i="7"/>
  <c r="Z338" i="7"/>
  <c r="AO338" i="7" l="1"/>
  <c r="AK338" i="7" s="1"/>
  <c r="AM338" i="7"/>
  <c r="AG338" i="7" s="1"/>
  <c r="AN338" i="7"/>
  <c r="AI338" i="7" s="1"/>
  <c r="AF338" i="7"/>
  <c r="AE338" i="7" l="1"/>
  <c r="AJ338" i="7"/>
  <c r="AH338" i="7"/>
  <c r="AD338" i="7" s="1"/>
  <c r="AB339" i="7" l="1"/>
  <c r="Z339" i="7"/>
  <c r="AC339" i="7"/>
  <c r="AA339" i="7"/>
  <c r="AM339" i="7" l="1"/>
  <c r="AG339" i="7" s="1"/>
  <c r="AN339" i="7"/>
  <c r="AI339" i="7" s="1"/>
  <c r="AO339" i="7"/>
  <c r="AJ339" i="7" s="1"/>
  <c r="AH339" i="7" l="1"/>
  <c r="AF339" i="7"/>
  <c r="AD339" i="7" s="1"/>
  <c r="AK339" i="7"/>
  <c r="AE339" i="7" s="1"/>
  <c r="AB340" i="7" l="1"/>
  <c r="Z340" i="7"/>
  <c r="AC340" i="7"/>
  <c r="AA340" i="7"/>
  <c r="AM340" i="7" l="1"/>
  <c r="AG340" i="7" s="1"/>
  <c r="AO340" i="7"/>
  <c r="AJ340" i="7" s="1"/>
  <c r="AF340" i="7"/>
  <c r="AN340" i="7"/>
  <c r="AH340" i="7" s="1"/>
  <c r="AK340" i="7"/>
  <c r="AI340" i="7" l="1"/>
  <c r="AE340" i="7" s="1"/>
  <c r="AD340" i="7"/>
  <c r="AA341" i="7" l="1"/>
  <c r="AC341" i="7"/>
  <c r="Z341" i="7"/>
  <c r="AB341" i="7"/>
  <c r="AN341" i="7" l="1"/>
  <c r="AI341" i="7" s="1"/>
  <c r="AO341" i="7"/>
  <c r="AK341" i="7" s="1"/>
  <c r="AM341" i="7"/>
  <c r="AG341" i="7" s="1"/>
  <c r="AH341" i="7"/>
  <c r="AJ341" i="7" l="1"/>
  <c r="AE341" i="7"/>
  <c r="AF341" i="7"/>
  <c r="AD341" i="7" s="1"/>
  <c r="AA342" i="7"/>
  <c r="AC342" i="7"/>
  <c r="AB342" i="7" l="1"/>
  <c r="Z342" i="7"/>
  <c r="AN342" i="7" l="1"/>
  <c r="AI342" i="7" s="1"/>
  <c r="AM342" i="7"/>
  <c r="AG342" i="7" s="1"/>
  <c r="AO342" i="7"/>
  <c r="AK342" i="7" s="1"/>
  <c r="AH342" i="7"/>
  <c r="AJ342" i="7"/>
  <c r="AF342" i="7" l="1"/>
  <c r="AD342" i="7" s="1"/>
  <c r="AE342" i="7"/>
  <c r="Z343" i="7" l="1"/>
  <c r="AB343" i="7"/>
  <c r="AA343" i="7"/>
  <c r="AC343" i="7"/>
  <c r="AO343" i="7" l="1"/>
  <c r="AK343" i="7" s="1"/>
  <c r="AN343" i="7"/>
  <c r="AI343" i="7" s="1"/>
  <c r="AM343" i="7"/>
  <c r="AG343" i="7" s="1"/>
  <c r="AJ343" i="7"/>
  <c r="AE343" i="7" l="1"/>
  <c r="AC344" i="7" s="1"/>
  <c r="AF343" i="7"/>
  <c r="AA344" i="7"/>
  <c r="AH343" i="7"/>
  <c r="AD343" i="7" s="1"/>
  <c r="Z344" i="7" l="1"/>
  <c r="AB344" i="7"/>
  <c r="AN344" i="7" l="1"/>
  <c r="AI344" i="7" s="1"/>
  <c r="AM344" i="7"/>
  <c r="AG344" i="7" s="1"/>
  <c r="AO344" i="7"/>
  <c r="AK344" i="7" s="1"/>
  <c r="AH344" i="7"/>
  <c r="AF344" i="7" l="1"/>
  <c r="AJ344" i="7"/>
  <c r="AE344" i="7"/>
  <c r="AD344" i="7" l="1"/>
  <c r="AB345" i="7" s="1"/>
  <c r="AA345" i="7"/>
  <c r="AC345" i="7"/>
  <c r="Z345" i="7" l="1"/>
  <c r="AN345" i="7" s="1"/>
  <c r="AI345" i="7" s="1"/>
  <c r="AH345" i="7" l="1"/>
  <c r="AO345" i="7"/>
  <c r="AK345" i="7" s="1"/>
  <c r="AM345" i="7"/>
  <c r="AG345" i="7" s="1"/>
  <c r="AF345" i="7"/>
  <c r="AJ345" i="7"/>
  <c r="AE345" i="7" l="1"/>
  <c r="AC346" i="7"/>
  <c r="AA346" i="7"/>
  <c r="AD345" i="7"/>
  <c r="AB346" i="7" s="1"/>
  <c r="Z346" i="7" l="1"/>
  <c r="AN346" i="7"/>
  <c r="AI346" i="7" s="1"/>
  <c r="AO346" i="7"/>
  <c r="AK346" i="7" s="1"/>
  <c r="AM346" i="7"/>
  <c r="AG346" i="7" s="1"/>
  <c r="AJ346" i="7" l="1"/>
  <c r="AE346" i="7"/>
  <c r="AH346" i="7"/>
  <c r="AF346" i="7"/>
  <c r="AC347" i="7" l="1"/>
  <c r="AA347" i="7"/>
  <c r="AD346" i="7"/>
  <c r="AB347" i="7" l="1"/>
  <c r="Z347" i="7"/>
  <c r="AN347" i="7" l="1"/>
  <c r="AO347" i="7"/>
  <c r="AK347" i="7" s="1"/>
  <c r="AM347" i="7"/>
  <c r="AG347" i="7" s="1"/>
  <c r="AF347" i="7" l="1"/>
  <c r="AJ347" i="7"/>
  <c r="AH347" i="7"/>
  <c r="AD347" i="7" s="1"/>
  <c r="AI347" i="7"/>
  <c r="AE347" i="7" s="1"/>
  <c r="Z348" i="7" l="1"/>
  <c r="AB348" i="7"/>
  <c r="AA348" i="7"/>
  <c r="AC348" i="7"/>
  <c r="AO348" i="7" l="1"/>
  <c r="AJ348" i="7" s="1"/>
  <c r="AM348" i="7"/>
  <c r="AG348" i="7" s="1"/>
  <c r="AN348" i="7"/>
  <c r="AH348" i="7" s="1"/>
  <c r="AK348" i="7" l="1"/>
  <c r="AI348" i="7"/>
  <c r="AF348" i="7"/>
  <c r="AD348" i="7" s="1"/>
  <c r="AE348" i="7" l="1"/>
  <c r="AC349" i="7" s="1"/>
  <c r="AA349" i="7"/>
  <c r="Z349" i="7"/>
  <c r="AB349" i="7"/>
  <c r="AM349" i="7" l="1"/>
  <c r="AF349" i="7" s="1"/>
  <c r="AN349" i="7"/>
  <c r="AH349" i="7" s="1"/>
  <c r="AO349" i="7"/>
  <c r="AK349" i="7" s="1"/>
  <c r="AJ349" i="7" l="1"/>
  <c r="AD349" i="7" s="1"/>
  <c r="AI349" i="7"/>
  <c r="AG349" i="7"/>
  <c r="AE349" i="7" l="1"/>
  <c r="AC350" i="7" s="1"/>
  <c r="AB350" i="7"/>
  <c r="Z350" i="7"/>
  <c r="AA350" i="7"/>
  <c r="AM350" i="7" l="1"/>
  <c r="AG350" i="7" s="1"/>
  <c r="AN350" i="7"/>
  <c r="AI350" i="7" s="1"/>
  <c r="AO350" i="7"/>
  <c r="AK350" i="7" s="1"/>
  <c r="AF350" i="7"/>
  <c r="AH350" i="7" l="1"/>
  <c r="AJ350" i="7"/>
  <c r="AD350" i="7" s="1"/>
  <c r="AE350" i="7"/>
  <c r="Z351" i="7" l="1"/>
  <c r="AB351" i="7"/>
  <c r="AC351" i="7"/>
  <c r="AA351" i="7"/>
  <c r="AM351" i="7" l="1"/>
  <c r="AG351" i="7" s="1"/>
  <c r="AN351" i="7"/>
  <c r="AI351" i="7" s="1"/>
  <c r="AO351" i="7"/>
  <c r="AK351" i="7" s="1"/>
  <c r="AJ351" i="7" l="1"/>
  <c r="AE351" i="7"/>
  <c r="AF351" i="7"/>
  <c r="AH351" i="7"/>
  <c r="AD351" i="7" l="1"/>
  <c r="Z352" i="7"/>
  <c r="AB352" i="7"/>
  <c r="AC352" i="7"/>
  <c r="AA352" i="7"/>
  <c r="AO352" i="7" l="1"/>
  <c r="AJ352" i="7" s="1"/>
  <c r="AN352" i="7"/>
  <c r="AI352" i="7" s="1"/>
  <c r="AM352" i="7"/>
  <c r="AG352" i="7" s="1"/>
  <c r="AH352" i="7" l="1"/>
  <c r="AK352" i="7"/>
  <c r="AE352" i="7" s="1"/>
  <c r="AF352" i="7"/>
  <c r="AD352" i="7" s="1"/>
  <c r="AC353" i="7" l="1"/>
  <c r="AA353" i="7"/>
  <c r="Z353" i="7"/>
  <c r="AB353" i="7"/>
  <c r="AN353" i="7" l="1"/>
  <c r="AH353" i="7" s="1"/>
  <c r="AM353" i="7"/>
  <c r="AF353" i="7" s="1"/>
  <c r="AO353" i="7"/>
  <c r="AK353" i="7" s="1"/>
  <c r="AJ353" i="7" l="1"/>
  <c r="AD353" i="7"/>
  <c r="AB354" i="7" s="1"/>
  <c r="AI353" i="7"/>
  <c r="AG353" i="7"/>
  <c r="Z354" i="7" l="1"/>
  <c r="AE353" i="7"/>
  <c r="AC354" i="7" s="1"/>
  <c r="AA354" i="7"/>
  <c r="AO354" i="7" s="1"/>
  <c r="AJ354" i="7" s="1"/>
  <c r="AN354" i="7" l="1"/>
  <c r="AI354" i="7" s="1"/>
  <c r="AM354" i="7"/>
  <c r="AF354" i="7" s="1"/>
  <c r="AH354" i="7"/>
  <c r="AK354" i="7"/>
  <c r="AG354" i="7"/>
  <c r="AD354" i="7" l="1"/>
  <c r="AE354" i="7"/>
  <c r="AA355" i="7" s="1"/>
  <c r="AC355" i="7"/>
  <c r="AB355" i="7"/>
  <c r="Z355" i="7"/>
  <c r="AO355" i="7" l="1"/>
  <c r="AK355" i="7" s="1"/>
  <c r="AN355" i="7"/>
  <c r="AI355" i="7" s="1"/>
  <c r="AM355" i="7"/>
  <c r="AG355" i="7" s="1"/>
  <c r="AH355" i="7"/>
  <c r="AJ355" i="7" l="1"/>
  <c r="AF355" i="7"/>
  <c r="AD355" i="7" s="1"/>
  <c r="AE355" i="7"/>
  <c r="AA356" i="7" s="1"/>
  <c r="AC356" i="7" l="1"/>
  <c r="AB356" i="7"/>
  <c r="Z356" i="7"/>
  <c r="AN356" i="7" l="1"/>
  <c r="AO356" i="7"/>
  <c r="AK356" i="7" s="1"/>
  <c r="AM356" i="7"/>
  <c r="AG356" i="7" l="1"/>
  <c r="AF356" i="7"/>
  <c r="AI356" i="7"/>
  <c r="AH356" i="7"/>
  <c r="AJ356" i="7"/>
  <c r="AD356" i="7" l="1"/>
  <c r="AE356" i="7"/>
  <c r="AC357" i="7" l="1"/>
  <c r="AA357" i="7"/>
  <c r="AB357" i="7"/>
  <c r="Z357" i="7"/>
  <c r="AN357" i="7" l="1"/>
  <c r="AI357" i="7" s="1"/>
  <c r="AO357" i="7"/>
  <c r="AK357" i="7" s="1"/>
  <c r="AM357" i="7"/>
  <c r="AG357" i="7" s="1"/>
  <c r="AF357" i="7" l="1"/>
  <c r="AH357" i="7"/>
  <c r="AE357" i="7"/>
  <c r="AJ357" i="7"/>
  <c r="AD357" i="7" l="1"/>
  <c r="AB358" i="7"/>
  <c r="Z358" i="7"/>
  <c r="AC358" i="7"/>
  <c r="AA358" i="7"/>
  <c r="AM358" i="7" l="1"/>
  <c r="AG358" i="7" s="1"/>
  <c r="AO358" i="7"/>
  <c r="AK358" i="7" s="1"/>
  <c r="AN358" i="7"/>
  <c r="AI358" i="7" s="1"/>
  <c r="AF358" i="7"/>
  <c r="AH358" i="7" l="1"/>
  <c r="AJ358" i="7"/>
  <c r="AE358" i="7"/>
  <c r="AD358" i="7" l="1"/>
  <c r="AB359" i="7"/>
  <c r="Z359" i="7"/>
  <c r="AC359" i="7"/>
  <c r="AA359" i="7"/>
  <c r="AO359" i="7" l="1"/>
  <c r="AK359" i="7" s="1"/>
  <c r="AM359" i="7"/>
  <c r="AN359" i="7"/>
  <c r="AJ359" i="7"/>
  <c r="AI359" i="7" l="1"/>
  <c r="AH359" i="7"/>
  <c r="AG359" i="7"/>
  <c r="AE359" i="7" s="1"/>
  <c r="AF359" i="7"/>
  <c r="AD359" i="7" s="1"/>
  <c r="AB360" i="7" l="1"/>
  <c r="Z360" i="7"/>
  <c r="AC360" i="7"/>
  <c r="AA360" i="7"/>
  <c r="AN360" i="7" l="1"/>
  <c r="AO360" i="7"/>
  <c r="AM360" i="7"/>
  <c r="AG360" i="7" s="1"/>
  <c r="AF360" i="7" l="1"/>
  <c r="AK360" i="7"/>
  <c r="AJ360" i="7"/>
  <c r="AI360" i="7"/>
  <c r="AH360" i="7"/>
  <c r="AD360" i="7" s="1"/>
  <c r="AE360" i="7" l="1"/>
  <c r="Z361" i="7"/>
  <c r="AB361" i="7"/>
  <c r="AC361" i="7"/>
  <c r="AA361" i="7"/>
  <c r="AO361" i="7" l="1"/>
  <c r="AM361" i="7"/>
  <c r="AG361" i="7" s="1"/>
  <c r="AN361" i="7"/>
  <c r="AI361" i="7" l="1"/>
  <c r="AH361" i="7"/>
  <c r="AF361" i="7"/>
  <c r="AK361" i="7"/>
  <c r="AJ361" i="7"/>
  <c r="AE361" i="7" l="1"/>
  <c r="AA362" i="7" s="1"/>
  <c r="AD361" i="7"/>
  <c r="AC362" i="7" l="1"/>
  <c r="AB362" i="7"/>
  <c r="Z362" i="7"/>
  <c r="AN362" i="7" l="1"/>
  <c r="AI362" i="7" s="1"/>
  <c r="AO362" i="7"/>
  <c r="AK362" i="7" s="1"/>
  <c r="AM362" i="7"/>
  <c r="AG362" i="7" s="1"/>
  <c r="AH362" i="7" l="1"/>
  <c r="AE362" i="7"/>
  <c r="AF362" i="7"/>
  <c r="AJ362" i="7"/>
  <c r="AC363" i="7"/>
  <c r="AA363" i="7"/>
  <c r="AD362" i="7" l="1"/>
  <c r="AB363" i="7" l="1"/>
  <c r="Z363" i="7"/>
  <c r="AO363" i="7" l="1"/>
  <c r="AM363" i="7"/>
  <c r="AG363" i="7" s="1"/>
  <c r="AN363" i="7"/>
  <c r="AI363" i="7" s="1"/>
  <c r="AH363" i="7" l="1"/>
  <c r="AF363" i="7"/>
  <c r="AJ363" i="7"/>
  <c r="AK363" i="7"/>
  <c r="AE363" i="7" s="1"/>
  <c r="AC364" i="7" l="1"/>
  <c r="AA364" i="7"/>
  <c r="AD363" i="7"/>
  <c r="AB364" i="7" l="1"/>
  <c r="Z364" i="7"/>
  <c r="AN364" i="7" l="1"/>
  <c r="AI364" i="7" s="1"/>
  <c r="AM364" i="7"/>
  <c r="AG364" i="7" s="1"/>
  <c r="AO364" i="7"/>
  <c r="AK364" i="7" s="1"/>
  <c r="AH364" i="7"/>
  <c r="AJ364" i="7"/>
  <c r="AF364" i="7" l="1"/>
  <c r="AD364" i="7" s="1"/>
  <c r="AE364" i="7"/>
  <c r="AB365" i="7" l="1"/>
  <c r="Z365" i="7"/>
  <c r="AA365" i="7"/>
  <c r="AC365" i="7"/>
  <c r="AO365" i="7" l="1"/>
  <c r="AM365" i="7"/>
  <c r="AN365" i="7"/>
  <c r="AI365" i="7" l="1"/>
  <c r="AH365" i="7"/>
  <c r="AG365" i="7"/>
  <c r="AF365" i="7"/>
  <c r="AK365" i="7"/>
  <c r="AJ365" i="7"/>
  <c r="AE365" i="7" l="1"/>
  <c r="AD365" i="7"/>
  <c r="AB366" i="7" l="1"/>
  <c r="Z366" i="7"/>
  <c r="AC366" i="7"/>
  <c r="AA366" i="7"/>
  <c r="AO366" i="7" l="1"/>
  <c r="AK366" i="7" s="1"/>
  <c r="AN366" i="7"/>
  <c r="AI366" i="7" s="1"/>
  <c r="AM366" i="7"/>
  <c r="AG366" i="7" s="1"/>
  <c r="AH366" i="7"/>
  <c r="AE366" i="7" l="1"/>
  <c r="AC367" i="7" s="1"/>
  <c r="AF366" i="7"/>
  <c r="AJ366" i="7"/>
  <c r="AA367" i="7"/>
  <c r="AD366" i="7" l="1"/>
  <c r="Z367" i="7" l="1"/>
  <c r="AB367" i="7"/>
  <c r="AM367" i="7" l="1"/>
  <c r="AG367" i="7" s="1"/>
  <c r="AO367" i="7"/>
  <c r="AK367" i="7" s="1"/>
  <c r="AN367" i="7"/>
  <c r="AI367" i="7" s="1"/>
  <c r="AE367" i="7" l="1"/>
  <c r="AJ367" i="7"/>
  <c r="AH367" i="7"/>
  <c r="AF367" i="7"/>
  <c r="AD367" i="7" l="1"/>
  <c r="AB368" i="7"/>
  <c r="Z368" i="7"/>
  <c r="AC368" i="7"/>
  <c r="AA368" i="7"/>
  <c r="AO368" i="7" l="1"/>
  <c r="AK368" i="7" s="1"/>
  <c r="AM368" i="7"/>
  <c r="AF368" i="7" s="1"/>
  <c r="AN368" i="7"/>
  <c r="AH368" i="7" s="1"/>
  <c r="AJ368" i="7" l="1"/>
  <c r="AD368" i="7" s="1"/>
  <c r="AG368" i="7"/>
  <c r="AI368" i="7"/>
  <c r="AB369" i="7" l="1"/>
  <c r="Z369" i="7"/>
  <c r="AE368" i="7"/>
  <c r="AA369" i="7" l="1"/>
  <c r="AC369" i="7"/>
  <c r="AO369" i="7" l="1"/>
  <c r="AN369" i="7"/>
  <c r="AM369" i="7"/>
  <c r="AF369" i="7" s="1"/>
  <c r="AI369" i="7" l="1"/>
  <c r="AH369" i="7"/>
  <c r="AK369" i="7"/>
  <c r="AJ369" i="7"/>
  <c r="AG369" i="7"/>
  <c r="AE369" i="7" l="1"/>
  <c r="AD369" i="7"/>
  <c r="AB370" i="7"/>
  <c r="Z370" i="7"/>
  <c r="AC370" i="7"/>
  <c r="AA370" i="7"/>
  <c r="AN370" i="7" l="1"/>
  <c r="AI370" i="7" s="1"/>
  <c r="AO370" i="7"/>
  <c r="AK370" i="7" s="1"/>
  <c r="AM370" i="7"/>
  <c r="AG370" i="7" s="1"/>
  <c r="AE370" i="7" l="1"/>
  <c r="AA371" i="7" s="1"/>
  <c r="AH370" i="7"/>
  <c r="AC371" i="7"/>
  <c r="AF370" i="7"/>
  <c r="AJ370" i="7"/>
  <c r="AD370" i="7" l="1"/>
  <c r="Z371" i="7" l="1"/>
  <c r="AB371" i="7"/>
  <c r="AN371" i="7" l="1"/>
  <c r="AI371" i="7" s="1"/>
  <c r="AO371" i="7"/>
  <c r="AK371" i="7" s="1"/>
  <c r="AM371" i="7"/>
  <c r="AG371" i="7" s="1"/>
  <c r="AH371" i="7"/>
  <c r="AF371" i="7" l="1"/>
  <c r="AE371" i="7"/>
  <c r="AJ371" i="7"/>
  <c r="AD371" i="7" s="1"/>
  <c r="AC372" i="7"/>
  <c r="AA372" i="7"/>
  <c r="AB372" i="7" l="1"/>
  <c r="Z372" i="7"/>
  <c r="AN372" i="7" s="1"/>
  <c r="AO372" i="7"/>
  <c r="AJ372" i="7" s="1"/>
  <c r="AM372" i="7"/>
  <c r="AG372" i="7" s="1"/>
  <c r="AI372" i="7" l="1"/>
  <c r="AH372" i="7"/>
  <c r="AF372" i="7"/>
  <c r="AK372" i="7"/>
  <c r="AE372" i="7" s="1"/>
  <c r="AD372" i="7" l="1"/>
  <c r="AC373" i="7"/>
  <c r="AA373" i="7"/>
  <c r="AB373" i="7"/>
  <c r="Z373" i="7"/>
  <c r="AM373" i="7" l="1"/>
  <c r="AG373" i="7" s="1"/>
  <c r="AN373" i="7"/>
  <c r="AI373" i="7" s="1"/>
  <c r="AF373" i="7"/>
  <c r="AO373" i="7"/>
  <c r="AK373" i="7" s="1"/>
  <c r="AH373" i="7"/>
  <c r="AJ373" i="7" l="1"/>
  <c r="AD373" i="7"/>
  <c r="AB374" i="7" s="1"/>
  <c r="AE373" i="7"/>
  <c r="Z374" i="7" l="1"/>
  <c r="AA374" i="7"/>
  <c r="AO374" i="7" s="1"/>
  <c r="AC374" i="7"/>
  <c r="AN374" i="7"/>
  <c r="AI374" i="7" s="1"/>
  <c r="AM374" i="7"/>
  <c r="AG374" i="7" s="1"/>
  <c r="AH374" i="7" l="1"/>
  <c r="AK374" i="7"/>
  <c r="AJ374" i="7"/>
  <c r="AE374" i="7"/>
  <c r="AF374" i="7"/>
  <c r="AD374" i="7" s="1"/>
  <c r="AC375" i="7"/>
  <c r="AA375" i="7"/>
  <c r="AB375" i="7" l="1"/>
  <c r="Z375" i="7"/>
  <c r="AN375" i="7" s="1"/>
  <c r="AO375" i="7"/>
  <c r="AK375" i="7" s="1"/>
  <c r="AM375" i="7"/>
  <c r="AG375" i="7" s="1"/>
  <c r="AJ375" i="7"/>
  <c r="AI375" i="7" l="1"/>
  <c r="AH375" i="7"/>
  <c r="AE375" i="7"/>
  <c r="AC376" i="7" s="1"/>
  <c r="AF375" i="7"/>
  <c r="AD375" i="7" s="1"/>
  <c r="AA376" i="7"/>
  <c r="AB376" i="7" l="1"/>
  <c r="Z376" i="7"/>
  <c r="AM376" i="7" l="1"/>
  <c r="AG376" i="7" s="1"/>
  <c r="AN376" i="7"/>
  <c r="AI376" i="7" s="1"/>
  <c r="AO376" i="7"/>
  <c r="AK376" i="7" s="1"/>
  <c r="AE376" i="7" l="1"/>
  <c r="AF376" i="7"/>
  <c r="AJ376" i="7"/>
  <c r="AH376" i="7"/>
  <c r="AD376" i="7" l="1"/>
  <c r="AC377" i="7"/>
  <c r="AA377" i="7"/>
  <c r="Z377" i="7" l="1"/>
  <c r="AB377" i="7"/>
  <c r="AO377" i="7" l="1"/>
  <c r="AN377" i="7"/>
  <c r="AM377" i="7"/>
  <c r="AF377" i="7" l="1"/>
  <c r="AG377" i="7"/>
  <c r="AH377" i="7"/>
  <c r="AI377" i="7"/>
  <c r="AJ377" i="7"/>
  <c r="AK377" i="7"/>
  <c r="AE377" i="7" l="1"/>
  <c r="AD377" i="7"/>
  <c r="Z378" i="7" l="1"/>
  <c r="AB378" i="7"/>
  <c r="AC378" i="7"/>
  <c r="AA378" i="7"/>
  <c r="AO378" i="7" l="1"/>
  <c r="AJ378" i="7" s="1"/>
  <c r="AN378" i="7"/>
  <c r="AI378" i="7" s="1"/>
  <c r="AM378" i="7"/>
  <c r="AF378" i="7" s="1"/>
  <c r="AG378" i="7" l="1"/>
  <c r="AK378" i="7"/>
  <c r="AE378" i="7" s="1"/>
  <c r="AH378" i="7"/>
  <c r="AD378" i="7" s="1"/>
  <c r="AB379" i="7" l="1"/>
  <c r="Z379" i="7"/>
  <c r="AA379" i="7"/>
  <c r="AC379" i="7"/>
  <c r="AO379" i="7" l="1"/>
  <c r="AK379" i="7" s="1"/>
  <c r="AM379" i="7"/>
  <c r="AG379" i="7" s="1"/>
  <c r="AN379" i="7"/>
  <c r="AI379" i="7" s="1"/>
  <c r="AF379" i="7" l="1"/>
  <c r="AH379" i="7"/>
  <c r="AE379" i="7"/>
  <c r="AJ379" i="7"/>
  <c r="AA380" i="7" l="1"/>
  <c r="AC380" i="7"/>
  <c r="AD379" i="7"/>
  <c r="AB380" i="7" l="1"/>
  <c r="Z380" i="7"/>
  <c r="AM380" i="7" l="1"/>
  <c r="AN380" i="7"/>
  <c r="AO380" i="7"/>
  <c r="AH380" i="7" l="1"/>
  <c r="AI380" i="7"/>
  <c r="AJ380" i="7"/>
  <c r="AK380" i="7"/>
  <c r="AF380" i="7"/>
  <c r="AD380" i="7" s="1"/>
  <c r="AG380" i="7"/>
  <c r="AE380" i="7" l="1"/>
  <c r="AC381" i="7" s="1"/>
  <c r="AA381" i="7"/>
  <c r="Z381" i="7"/>
  <c r="AB381" i="7"/>
  <c r="AO381" i="7" l="1"/>
  <c r="AJ381" i="7" s="1"/>
  <c r="AN381" i="7"/>
  <c r="AI381" i="7" s="1"/>
  <c r="AM381" i="7"/>
  <c r="AF381" i="7" s="1"/>
  <c r="AH381" i="7" l="1"/>
  <c r="AD381" i="7" s="1"/>
  <c r="AG381" i="7"/>
  <c r="AK381" i="7"/>
  <c r="AE381" i="7" l="1"/>
  <c r="AB382" i="7"/>
  <c r="Z382" i="7"/>
  <c r="AA382" i="7"/>
  <c r="AC382" i="7"/>
  <c r="AM382" i="7" l="1"/>
  <c r="AG382" i="7" s="1"/>
  <c r="AO382" i="7"/>
  <c r="AK382" i="7" s="1"/>
  <c r="AF382" i="7"/>
  <c r="AN382" i="7"/>
  <c r="AI382" i="7" s="1"/>
  <c r="AJ382" i="7" l="1"/>
  <c r="AH382" i="7"/>
  <c r="AD382" i="7" s="1"/>
  <c r="AE382" i="7"/>
  <c r="AC383" i="7" l="1"/>
  <c r="AA383" i="7"/>
  <c r="AB383" i="7"/>
  <c r="Z383" i="7"/>
  <c r="AM383" i="7" l="1"/>
  <c r="AF383" i="7" s="1"/>
  <c r="AO383" i="7"/>
  <c r="AJ383" i="7" s="1"/>
  <c r="AN383" i="7"/>
  <c r="AH383" i="7" s="1"/>
  <c r="AD383" i="7" l="1"/>
  <c r="AI383" i="7"/>
  <c r="AK383" i="7"/>
  <c r="AG383" i="7"/>
  <c r="AE383" i="7" l="1"/>
  <c r="AB384" i="7"/>
  <c r="Z384" i="7"/>
  <c r="AA384" i="7" l="1"/>
  <c r="AN384" i="7" s="1"/>
  <c r="AC384" i="7"/>
  <c r="AI384" i="7" l="1"/>
  <c r="AH384" i="7"/>
  <c r="AM384" i="7"/>
  <c r="AF384" i="7" s="1"/>
  <c r="AO384" i="7"/>
  <c r="AJ384" i="7" s="1"/>
  <c r="AD384" i="7" l="1"/>
  <c r="AG384" i="7"/>
  <c r="AB385" i="7"/>
  <c r="Z385" i="7"/>
  <c r="AK384" i="7"/>
  <c r="AE384" i="7" s="1"/>
  <c r="AA385" i="7" l="1"/>
  <c r="AC385" i="7"/>
  <c r="AM385" i="7"/>
  <c r="AF385" i="7" s="1"/>
  <c r="AO385" i="7"/>
  <c r="AJ385" i="7" s="1"/>
  <c r="AN385" i="7"/>
  <c r="AH385" i="7" s="1"/>
  <c r="AD385" i="7" l="1"/>
  <c r="AI385" i="7"/>
  <c r="AK385" i="7"/>
  <c r="AG385" i="7"/>
  <c r="AE385" i="7" l="1"/>
  <c r="AC386" i="7" s="1"/>
  <c r="AA386" i="7"/>
  <c r="Z386" i="7"/>
  <c r="AB386" i="7"/>
  <c r="AM386" i="7" l="1"/>
  <c r="AF386" i="7" s="1"/>
  <c r="AO386" i="7"/>
  <c r="AJ386" i="7" s="1"/>
  <c r="AN386" i="7"/>
  <c r="AI386" i="7" s="1"/>
  <c r="AH386" i="7" l="1"/>
  <c r="AD386" i="7" s="1"/>
  <c r="Z387" i="7" s="1"/>
  <c r="AK386" i="7"/>
  <c r="AG386" i="7"/>
  <c r="AE386" i="7" s="1"/>
  <c r="AB387" i="7" l="1"/>
  <c r="AC387" i="7"/>
  <c r="AA387" i="7"/>
  <c r="AO387" i="7" l="1"/>
  <c r="AM387" i="7"/>
  <c r="AN387" i="7"/>
  <c r="AG387" i="7" l="1"/>
  <c r="AF387" i="7"/>
  <c r="AI387" i="7"/>
  <c r="AH387" i="7"/>
  <c r="AK387" i="7"/>
  <c r="AJ387" i="7"/>
  <c r="AD387" i="7" l="1"/>
  <c r="AE387" i="7"/>
  <c r="AA388" i="7" l="1"/>
  <c r="AC388" i="7"/>
  <c r="Z388" i="7"/>
  <c r="AB388" i="7"/>
  <c r="AO388" i="7" l="1"/>
  <c r="AK388" i="7" s="1"/>
  <c r="AN388" i="7"/>
  <c r="AI388" i="7" s="1"/>
  <c r="AJ388" i="7"/>
  <c r="AM388" i="7"/>
  <c r="AG388" i="7" s="1"/>
  <c r="AF388" i="7" l="1"/>
  <c r="AE388" i="7"/>
  <c r="AA389" i="7" s="1"/>
  <c r="AH388" i="7"/>
  <c r="AD388" i="7" s="1"/>
  <c r="AC389" i="7" l="1"/>
  <c r="Z389" i="7"/>
  <c r="AB389" i="7"/>
  <c r="AN389" i="7" l="1"/>
  <c r="AI389" i="7" s="1"/>
  <c r="AM389" i="7"/>
  <c r="AG389" i="7" s="1"/>
  <c r="AO389" i="7"/>
  <c r="AK389" i="7" s="1"/>
  <c r="AE389" i="7" l="1"/>
  <c r="AF389" i="7"/>
  <c r="AJ389" i="7"/>
  <c r="AH389" i="7"/>
  <c r="AD389" i="7" l="1"/>
  <c r="AA390" i="7"/>
  <c r="AC390" i="7"/>
  <c r="AB390" i="7" l="1"/>
  <c r="Z390" i="7"/>
  <c r="AO390" i="7" l="1"/>
  <c r="AK390" i="7" s="1"/>
  <c r="AM390" i="7"/>
  <c r="AG390" i="7" s="1"/>
  <c r="AJ390" i="7"/>
  <c r="AN390" i="7"/>
  <c r="AI390" i="7" s="1"/>
  <c r="AF390" i="7"/>
  <c r="AH390" i="7" l="1"/>
  <c r="AD390" i="7" s="1"/>
  <c r="AE390" i="7"/>
  <c r="Z391" i="7" l="1"/>
  <c r="AB391" i="7"/>
  <c r="AC391" i="7"/>
  <c r="AA391" i="7"/>
  <c r="AN391" i="7" l="1"/>
  <c r="AO391" i="7"/>
  <c r="AJ391" i="7" s="1"/>
  <c r="AM391" i="7"/>
  <c r="AF391" i="7" s="1"/>
  <c r="AI391" i="7" l="1"/>
  <c r="AH391" i="7"/>
  <c r="AD391" i="7" s="1"/>
  <c r="AK391" i="7"/>
  <c r="AG391" i="7"/>
  <c r="AE391" i="7" s="1"/>
  <c r="AB392" i="7" l="1"/>
  <c r="Z392" i="7"/>
  <c r="AA392" i="7"/>
  <c r="AC392" i="7"/>
  <c r="AN392" i="7" l="1"/>
  <c r="AH392" i="7" s="1"/>
  <c r="AM392" i="7"/>
  <c r="AG392" i="7" s="1"/>
  <c r="AO392" i="7"/>
  <c r="AK392" i="7" s="1"/>
  <c r="AF392" i="7"/>
  <c r="AJ392" i="7" l="1"/>
  <c r="AD392" i="7" s="1"/>
  <c r="AI392" i="7"/>
  <c r="AE392" i="7" s="1"/>
  <c r="Z393" i="7" l="1"/>
  <c r="AB393" i="7"/>
  <c r="AA393" i="7"/>
  <c r="AC393" i="7"/>
  <c r="AM393" i="7" l="1"/>
  <c r="AF393" i="7" s="1"/>
  <c r="AN393" i="7"/>
  <c r="AH393" i="7" s="1"/>
  <c r="AO393" i="7"/>
  <c r="AK393" i="7" s="1"/>
  <c r="AJ393" i="7" l="1"/>
  <c r="AD393" i="7"/>
  <c r="AI393" i="7"/>
  <c r="AG393" i="7"/>
  <c r="AE393" i="7" l="1"/>
  <c r="AC394" i="7"/>
  <c r="AA394" i="7"/>
  <c r="AB394" i="7"/>
  <c r="Z394" i="7"/>
  <c r="AO394" i="7" l="1"/>
  <c r="AK394" i="7" s="1"/>
  <c r="AM394" i="7"/>
  <c r="AG394" i="7" s="1"/>
  <c r="AN394" i="7"/>
  <c r="AI394" i="7" s="1"/>
  <c r="AF394" i="7"/>
  <c r="AJ394" i="7"/>
  <c r="AH394" i="7" l="1"/>
  <c r="AD394" i="7" s="1"/>
  <c r="AE394" i="7"/>
  <c r="AB395" i="7" l="1"/>
  <c r="Z395" i="7"/>
  <c r="AC395" i="7"/>
  <c r="AA395" i="7"/>
  <c r="AO395" i="7" l="1"/>
  <c r="AK395" i="7" s="1"/>
  <c r="AN395" i="7"/>
  <c r="AI395" i="7" s="1"/>
  <c r="AM395" i="7"/>
  <c r="AG395" i="7" s="1"/>
  <c r="AE395" i="7" l="1"/>
  <c r="AC396" i="7" s="1"/>
  <c r="AH395" i="7"/>
  <c r="AA396" i="7"/>
  <c r="AF395" i="7"/>
  <c r="AJ395" i="7"/>
  <c r="AD395" i="7" l="1"/>
  <c r="AB396" i="7"/>
  <c r="Z396" i="7"/>
  <c r="AM396" i="7" l="1"/>
  <c r="AG396" i="7" s="1"/>
  <c r="AN396" i="7"/>
  <c r="AI396" i="7" s="1"/>
  <c r="AO396" i="7"/>
  <c r="AK396" i="7" s="1"/>
  <c r="AF396" i="7"/>
  <c r="AH396" i="7" l="1"/>
  <c r="AJ396" i="7"/>
  <c r="AD396" i="7" s="1"/>
  <c r="AE396" i="7"/>
  <c r="AC397" i="7" l="1"/>
  <c r="AA397" i="7"/>
  <c r="Z397" i="7"/>
  <c r="AB397" i="7"/>
  <c r="AN397" i="7" l="1"/>
  <c r="AH397" i="7" s="1"/>
  <c r="AO397" i="7"/>
  <c r="AJ397" i="7" s="1"/>
  <c r="AM397" i="7"/>
  <c r="AF397" i="7" s="1"/>
  <c r="AD397" i="7" l="1"/>
  <c r="Z398" i="7" s="1"/>
  <c r="AB398" i="7"/>
  <c r="AG397" i="7"/>
  <c r="AK397" i="7"/>
  <c r="AI397" i="7"/>
  <c r="AE397" i="7" l="1"/>
  <c r="AC398" i="7" l="1"/>
  <c r="AA398" i="7"/>
  <c r="AM398" i="7" l="1"/>
  <c r="AF398" i="7" s="1"/>
  <c r="AO398" i="7"/>
  <c r="AJ398" i="7" s="1"/>
  <c r="AN398" i="7"/>
  <c r="AH398" i="7" s="1"/>
  <c r="AD398" i="7" l="1"/>
  <c r="AB399" i="7"/>
  <c r="Z399" i="7"/>
  <c r="AG398" i="7"/>
  <c r="AK398" i="7"/>
  <c r="AI398" i="7"/>
  <c r="AE398" i="7" l="1"/>
  <c r="AA399" i="7" l="1"/>
  <c r="AC399" i="7"/>
  <c r="AN399" i="7" l="1"/>
  <c r="AH399" i="7" s="1"/>
  <c r="AM399" i="7"/>
  <c r="AF399" i="7" s="1"/>
  <c r="AO399" i="7"/>
  <c r="AJ399" i="7" s="1"/>
  <c r="AD399" i="7" l="1"/>
  <c r="AI399" i="7"/>
  <c r="AG399" i="7"/>
  <c r="AK399" i="7"/>
  <c r="AE399" i="7" l="1"/>
  <c r="Z400" i="7"/>
  <c r="AB400" i="7"/>
  <c r="AC400" i="7" l="1"/>
  <c r="AA400" i="7"/>
  <c r="AN400" i="7" l="1"/>
  <c r="AH400" i="7" s="1"/>
  <c r="AM400" i="7"/>
  <c r="AF400" i="7" s="1"/>
  <c r="AO400" i="7"/>
  <c r="AJ400" i="7" s="1"/>
  <c r="AD400" i="7" l="1"/>
  <c r="AG400" i="7"/>
  <c r="AK400" i="7"/>
  <c r="AI400" i="7"/>
  <c r="AE400" i="7" l="1"/>
  <c r="AB401" i="7"/>
  <c r="Z401" i="7"/>
  <c r="AC401" i="7" l="1"/>
  <c r="AA401" i="7"/>
  <c r="AM401" i="7" l="1"/>
  <c r="AF401" i="7" s="1"/>
  <c r="AO401" i="7"/>
  <c r="AJ401" i="7" s="1"/>
  <c r="AN401" i="7"/>
  <c r="AH401" i="7" s="1"/>
  <c r="AD401" i="7" l="1"/>
  <c r="AI401" i="7"/>
  <c r="AK401" i="7"/>
  <c r="AG401" i="7"/>
  <c r="AE401" i="7" l="1"/>
  <c r="AC402" i="7"/>
  <c r="AA402" i="7"/>
  <c r="AB402" i="7"/>
  <c r="Z402" i="7"/>
  <c r="AM402" i="7" l="1"/>
  <c r="AF402" i="7" s="1"/>
  <c r="AN402" i="7"/>
  <c r="AH402" i="7" s="1"/>
  <c r="AO402" i="7"/>
  <c r="AJ402" i="7" s="1"/>
  <c r="AI402" i="7"/>
  <c r="AK402" i="7"/>
  <c r="AG402" i="7"/>
  <c r="AE402" i="7" l="1"/>
  <c r="AC403" i="7" s="1"/>
  <c r="AA403" i="7"/>
  <c r="AD402" i="7"/>
  <c r="AB403" i="7" l="1"/>
  <c r="Z403" i="7"/>
  <c r="AN403" i="7" l="1"/>
  <c r="AI403" i="7" s="1"/>
  <c r="AM403" i="7"/>
  <c r="AG403" i="7" s="1"/>
  <c r="AO403" i="7"/>
  <c r="AK403" i="7" s="1"/>
  <c r="AF403" i="7"/>
  <c r="AJ403" i="7"/>
  <c r="AH403" i="7" l="1"/>
  <c r="AE403" i="7"/>
  <c r="AD403" i="7"/>
  <c r="Z404" i="7" l="1"/>
  <c r="AB404" i="7"/>
  <c r="AC404" i="7"/>
  <c r="AA404" i="7"/>
  <c r="AM404" i="7" l="1"/>
  <c r="AF404" i="7" s="1"/>
  <c r="AN404" i="7"/>
  <c r="AH404" i="7" s="1"/>
  <c r="AO404" i="7"/>
  <c r="AJ404" i="7" s="1"/>
  <c r="AK404" i="7" l="1"/>
  <c r="AG404" i="7"/>
  <c r="AI404" i="7"/>
  <c r="AD404" i="7"/>
  <c r="Z405" i="7" l="1"/>
  <c r="AB405" i="7"/>
  <c r="AE404" i="7"/>
  <c r="AC405" i="7" l="1"/>
  <c r="AA405" i="7"/>
  <c r="AO405" i="7"/>
  <c r="AK405" i="7" s="1"/>
  <c r="AN405" i="7"/>
  <c r="AH405" i="7" s="1"/>
  <c r="AM405" i="7"/>
  <c r="AG405" i="7" s="1"/>
  <c r="AJ405" i="7"/>
  <c r="AF405" i="7" l="1"/>
  <c r="AD405" i="7" s="1"/>
  <c r="AI405" i="7"/>
  <c r="AE405" i="7" s="1"/>
  <c r="AA406" i="7" s="1"/>
  <c r="AC406" i="7" l="1"/>
  <c r="Z406" i="7"/>
  <c r="AB406" i="7"/>
  <c r="AN406" i="7" l="1"/>
  <c r="AI406" i="7" s="1"/>
  <c r="AM406" i="7"/>
  <c r="AG406" i="7" s="1"/>
  <c r="AO406" i="7"/>
  <c r="AK406" i="7" s="1"/>
  <c r="AF406" i="7" l="1"/>
  <c r="AE406" i="7"/>
  <c r="AH406" i="7"/>
  <c r="AJ406" i="7"/>
  <c r="AD406" i="7" l="1"/>
  <c r="AB407" i="7"/>
  <c r="Z407" i="7"/>
  <c r="AC407" i="7"/>
  <c r="AA407" i="7"/>
  <c r="AO407" i="7" l="1"/>
  <c r="AK407" i="7" s="1"/>
  <c r="AM407" i="7"/>
  <c r="AG407" i="7" s="1"/>
  <c r="AN407" i="7"/>
  <c r="AI407" i="7" s="1"/>
  <c r="AF407" i="7"/>
  <c r="AJ407" i="7"/>
  <c r="AH407" i="7" l="1"/>
  <c r="AD407" i="7"/>
  <c r="Z408" i="7" s="1"/>
  <c r="AE407" i="7"/>
  <c r="AB408" i="7"/>
  <c r="AC408" i="7" l="1"/>
  <c r="AA408" i="7"/>
  <c r="AM408" i="7" l="1"/>
  <c r="AO408" i="7"/>
  <c r="AJ408" i="7" s="1"/>
  <c r="AN408" i="7"/>
  <c r="AH408" i="7" s="1"/>
  <c r="AI408" i="7" l="1"/>
  <c r="AG408" i="7"/>
  <c r="AF408" i="7"/>
  <c r="AD408" i="7" s="1"/>
  <c r="AK408" i="7"/>
  <c r="Z409" i="7" l="1"/>
  <c r="AB409" i="7"/>
  <c r="AE408" i="7"/>
  <c r="AA409" i="7" l="1"/>
  <c r="AC409" i="7"/>
  <c r="AO409" i="7"/>
  <c r="AK409" i="7" s="1"/>
  <c r="AN409" i="7"/>
  <c r="AI409" i="7" s="1"/>
  <c r="AM409" i="7"/>
  <c r="AF409" i="7" s="1"/>
  <c r="AJ409" i="7"/>
  <c r="AH409" i="7" l="1"/>
  <c r="AD409" i="7" s="1"/>
  <c r="AG409" i="7"/>
  <c r="AE409" i="7" s="1"/>
  <c r="AA410" i="7" s="1"/>
  <c r="AB410" i="7" l="1"/>
  <c r="Z410" i="7"/>
  <c r="AC410" i="7"/>
  <c r="AO410" i="7" l="1"/>
  <c r="AK410" i="7" s="1"/>
  <c r="AM410" i="7"/>
  <c r="AG410" i="7" s="1"/>
  <c r="AN410" i="7"/>
  <c r="AI410" i="7" s="1"/>
  <c r="AJ410" i="7"/>
  <c r="AF410" i="7" l="1"/>
  <c r="AH410" i="7"/>
  <c r="AE410" i="7"/>
  <c r="AD410" i="7" l="1"/>
  <c r="AB411" i="7"/>
  <c r="Z411" i="7"/>
  <c r="AA411" i="7"/>
  <c r="AC411" i="7"/>
  <c r="AM411" i="7" l="1"/>
  <c r="AG411" i="7" s="1"/>
  <c r="AO411" i="7"/>
  <c r="AK411" i="7" s="1"/>
  <c r="AN411" i="7"/>
  <c r="AI411" i="7" s="1"/>
  <c r="AH411" i="7"/>
  <c r="AF411" i="7"/>
  <c r="AJ411" i="7" l="1"/>
  <c r="AD411" i="7" s="1"/>
  <c r="AE411" i="7"/>
  <c r="Z412" i="7" l="1"/>
  <c r="AB412" i="7"/>
  <c r="AA412" i="7"/>
  <c r="AC412" i="7"/>
  <c r="AO412" i="7" l="1"/>
  <c r="AN412" i="7"/>
  <c r="AM412" i="7"/>
  <c r="AK412" i="7" l="1"/>
  <c r="AJ412" i="7"/>
  <c r="AG412" i="7"/>
  <c r="AF412" i="7"/>
  <c r="AI412" i="7"/>
  <c r="AH412" i="7"/>
  <c r="AE412" i="7" l="1"/>
  <c r="AD412" i="7"/>
  <c r="Z413" i="7" l="1"/>
  <c r="AB413" i="7"/>
  <c r="AC413" i="7"/>
  <c r="AA413" i="7"/>
  <c r="AN413" i="7" l="1"/>
  <c r="AI413" i="7" s="1"/>
  <c r="AO413" i="7"/>
  <c r="AK413" i="7" s="1"/>
  <c r="AM413" i="7"/>
  <c r="AG413" i="7" s="1"/>
  <c r="AF413" i="7" l="1"/>
  <c r="AJ413" i="7"/>
  <c r="AH413" i="7"/>
  <c r="AE413" i="7"/>
  <c r="AD413" i="7" l="1"/>
  <c r="Z414" i="7"/>
  <c r="AB414" i="7"/>
  <c r="AC414" i="7"/>
  <c r="AA414" i="7"/>
  <c r="AN414" i="7" l="1"/>
  <c r="AI414" i="7" s="1"/>
  <c r="AM414" i="7"/>
  <c r="AG414" i="7" s="1"/>
  <c r="AO414" i="7"/>
  <c r="AK414" i="7" s="1"/>
  <c r="AE414" i="7" l="1"/>
  <c r="AA415" i="7"/>
  <c r="AC415" i="7"/>
  <c r="AJ414" i="7"/>
  <c r="AH414" i="7"/>
  <c r="AF414" i="7"/>
  <c r="AD414" i="7" s="1"/>
  <c r="AB415" i="7" l="1"/>
  <c r="Z415" i="7"/>
  <c r="AO415" i="7" l="1"/>
  <c r="AK415" i="7" s="1"/>
  <c r="AN415" i="7"/>
  <c r="AI415" i="7" s="1"/>
  <c r="AM415" i="7"/>
  <c r="AG415" i="7" s="1"/>
  <c r="AH415" i="7"/>
  <c r="AE415" i="7" l="1"/>
  <c r="AJ415" i="7"/>
  <c r="AF415" i="7"/>
  <c r="AD415" i="7" s="1"/>
  <c r="AB416" i="7" s="1"/>
  <c r="AA416" i="7"/>
  <c r="AC416" i="7"/>
  <c r="Z416" i="7" l="1"/>
  <c r="AM416" i="7"/>
  <c r="AG416" i="7" s="1"/>
  <c r="AN416" i="7"/>
  <c r="AI416" i="7" s="1"/>
  <c r="AO416" i="7"/>
  <c r="AK416" i="7" s="1"/>
  <c r="AE416" i="7" l="1"/>
  <c r="AF416" i="7"/>
  <c r="AA417" i="7"/>
  <c r="AC417" i="7"/>
  <c r="AJ416" i="7"/>
  <c r="AH416" i="7"/>
  <c r="AD416" i="7" l="1"/>
  <c r="AB417" i="7"/>
  <c r="Z417" i="7"/>
  <c r="AM417" i="7" l="1"/>
  <c r="AG417" i="7" s="1"/>
  <c r="AN417" i="7"/>
  <c r="AI417" i="7" s="1"/>
  <c r="AO417" i="7"/>
  <c r="AK417" i="7" s="1"/>
  <c r="AH417" i="7"/>
  <c r="AF417" i="7"/>
  <c r="AJ417" i="7" l="1"/>
  <c r="AD417" i="7"/>
  <c r="AE417" i="7"/>
  <c r="AA418" i="7" l="1"/>
  <c r="AC418" i="7"/>
  <c r="AB418" i="7"/>
  <c r="Z418" i="7"/>
  <c r="AO418" i="7" l="1"/>
  <c r="AK418" i="7" s="1"/>
  <c r="AN418" i="7"/>
  <c r="AI418" i="7" s="1"/>
  <c r="AM418" i="7"/>
  <c r="AF418" i="7" s="1"/>
  <c r="AH418" i="7" l="1"/>
  <c r="AG418" i="7"/>
  <c r="AE418" i="7" s="1"/>
  <c r="AJ418" i="7"/>
  <c r="AD418" i="7" s="1"/>
  <c r="AB419" i="7" l="1"/>
  <c r="Z419" i="7"/>
  <c r="AC419" i="7"/>
  <c r="AA419" i="7"/>
  <c r="AN419" i="7" l="1"/>
  <c r="AI419" i="7" s="1"/>
  <c r="AM419" i="7"/>
  <c r="AG419" i="7" s="1"/>
  <c r="AO419" i="7"/>
  <c r="AK419" i="7" s="1"/>
  <c r="AH419" i="7"/>
  <c r="AE419" i="7" l="1"/>
  <c r="AA420" i="7"/>
  <c r="AC420" i="7"/>
  <c r="AF419" i="7"/>
  <c r="AJ419" i="7"/>
  <c r="AD419" i="7" l="1"/>
  <c r="AB420" i="7" l="1"/>
  <c r="Z420" i="7"/>
  <c r="AN420" i="7" l="1"/>
  <c r="AI420" i="7" s="1"/>
  <c r="AM420" i="7"/>
  <c r="AG420" i="7" s="1"/>
  <c r="AH420" i="7"/>
  <c r="AO420" i="7"/>
  <c r="AK420" i="7" s="1"/>
  <c r="AF420" i="7" l="1"/>
  <c r="AE420" i="7"/>
  <c r="AJ420" i="7"/>
  <c r="AD420" i="7" s="1"/>
  <c r="AC421" i="7" l="1"/>
  <c r="AA421" i="7"/>
  <c r="Z421" i="7"/>
  <c r="AB421" i="7"/>
  <c r="AM421" i="7" l="1"/>
  <c r="AF421" i="7" s="1"/>
  <c r="AN421" i="7"/>
  <c r="AH421" i="7" s="1"/>
  <c r="AO421" i="7"/>
  <c r="AJ421" i="7" s="1"/>
  <c r="AI421" i="7"/>
  <c r="AG421" i="7"/>
  <c r="AK421" i="7" l="1"/>
  <c r="AE421" i="7" s="1"/>
  <c r="AD421" i="7"/>
  <c r="AA422" i="7" l="1"/>
  <c r="AC422" i="7"/>
  <c r="AB422" i="7"/>
  <c r="Z422" i="7"/>
  <c r="AM422" i="7" l="1"/>
  <c r="AN422" i="7"/>
  <c r="AI422" i="7" s="1"/>
  <c r="AO422" i="7"/>
  <c r="AK422" i="7" s="1"/>
  <c r="AH422" i="7"/>
  <c r="AJ422" i="7" l="1"/>
  <c r="AF422" i="7"/>
  <c r="AD422" i="7" s="1"/>
  <c r="AG422" i="7"/>
  <c r="AE422" i="7" s="1"/>
  <c r="AB423" i="7" l="1"/>
  <c r="Z423" i="7"/>
  <c r="AC423" i="7"/>
  <c r="AA423" i="7"/>
  <c r="AN423" i="7" l="1"/>
  <c r="AI423" i="7" s="1"/>
  <c r="AM423" i="7"/>
  <c r="AF423" i="7" s="1"/>
  <c r="AO423" i="7"/>
  <c r="AK423" i="7" s="1"/>
  <c r="AJ423" i="7" l="1"/>
  <c r="AH423" i="7"/>
  <c r="AD423" i="7" s="1"/>
  <c r="AG423" i="7"/>
  <c r="AE423" i="7" s="1"/>
  <c r="Z424" i="7" l="1"/>
  <c r="AB424" i="7"/>
  <c r="AC424" i="7"/>
  <c r="AA424" i="7"/>
  <c r="AN424" i="7" l="1"/>
  <c r="AH424" i="7" s="1"/>
  <c r="AO424" i="7"/>
  <c r="AJ424" i="7" s="1"/>
  <c r="AM424" i="7"/>
  <c r="AG424" i="7" s="1"/>
  <c r="AF424" i="7" l="1"/>
  <c r="AI424" i="7"/>
  <c r="AK424" i="7"/>
  <c r="AD424" i="7"/>
  <c r="AE424" i="7" l="1"/>
  <c r="AC425" i="7" s="1"/>
  <c r="AB425" i="7"/>
  <c r="Z425" i="7"/>
  <c r="AA425" i="7" l="1"/>
  <c r="AM425" i="7" s="1"/>
  <c r="AN425" i="7"/>
  <c r="AI425" i="7" s="1"/>
  <c r="AO425" i="7"/>
  <c r="AK425" i="7" s="1"/>
  <c r="AJ425" i="7"/>
  <c r="AH425" i="7"/>
  <c r="AF425" i="7" l="1"/>
  <c r="AG425" i="7"/>
  <c r="AD425" i="7"/>
  <c r="AB426" i="7" s="1"/>
  <c r="AE425" i="7"/>
  <c r="Z426" i="7"/>
  <c r="AA426" i="7" l="1"/>
  <c r="AC426" i="7"/>
  <c r="AO426" i="7" l="1"/>
  <c r="AJ426" i="7" s="1"/>
  <c r="AM426" i="7"/>
  <c r="AF426" i="7" s="1"/>
  <c r="AN426" i="7"/>
  <c r="AH426" i="7" s="1"/>
  <c r="AD426" i="7" l="1"/>
  <c r="AI426" i="7"/>
  <c r="AK426" i="7"/>
  <c r="AG426" i="7"/>
  <c r="AE426" i="7" l="1"/>
  <c r="AB427" i="7"/>
  <c r="Z427" i="7"/>
  <c r="AC427" i="7" l="1"/>
  <c r="AA427" i="7"/>
  <c r="AN427" i="7" l="1"/>
  <c r="AH427" i="7" s="1"/>
  <c r="AO427" i="7"/>
  <c r="AJ427" i="7" s="1"/>
  <c r="AM427" i="7"/>
  <c r="AF427" i="7" s="1"/>
  <c r="AD427" i="7" l="1"/>
  <c r="AB428" i="7"/>
  <c r="Z428" i="7"/>
  <c r="AG427" i="7"/>
  <c r="AI427" i="7"/>
  <c r="AK427" i="7"/>
  <c r="AE427" i="7" l="1"/>
  <c r="AA428" i="7" l="1"/>
  <c r="AC428" i="7"/>
  <c r="AO428" i="7" l="1"/>
  <c r="AJ428" i="7" s="1"/>
  <c r="AN428" i="7"/>
  <c r="AH428" i="7" s="1"/>
  <c r="AM428" i="7"/>
  <c r="AF428" i="7" s="1"/>
  <c r="AD428" i="7" l="1"/>
  <c r="AB429" i="7"/>
  <c r="Z429" i="7"/>
  <c r="AI428" i="7"/>
  <c r="AG428" i="7"/>
  <c r="AK428" i="7"/>
  <c r="AE428" i="7" l="1"/>
  <c r="AC429" i="7" l="1"/>
  <c r="AA429" i="7"/>
  <c r="AM429" i="7" l="1"/>
  <c r="AF429" i="7" s="1"/>
  <c r="AO429" i="7"/>
  <c r="AJ429" i="7" s="1"/>
  <c r="AN429" i="7"/>
  <c r="AH429" i="7" s="1"/>
  <c r="AG429" i="7" l="1"/>
  <c r="AK429" i="7"/>
  <c r="AI429" i="7"/>
  <c r="AE429" i="7" s="1"/>
  <c r="AD429" i="7"/>
  <c r="AC430" i="7" l="1"/>
  <c r="AA430" i="7"/>
  <c r="Z430" i="7"/>
  <c r="AB430" i="7"/>
  <c r="AN430" i="7" l="1"/>
  <c r="AH430" i="7" s="1"/>
  <c r="AO430" i="7"/>
  <c r="AJ430" i="7" s="1"/>
  <c r="AM430" i="7"/>
  <c r="AF430" i="7" s="1"/>
  <c r="AI430" i="7"/>
  <c r="AK430" i="7"/>
  <c r="AG430" i="7"/>
  <c r="AE430" i="7" l="1"/>
  <c r="AA431" i="7" s="1"/>
  <c r="AD430" i="7"/>
  <c r="AC431" i="7"/>
  <c r="Z431" i="7" l="1"/>
  <c r="AB431" i="7"/>
  <c r="AO431" i="7" l="1"/>
  <c r="AN431" i="7"/>
  <c r="AM431" i="7"/>
  <c r="AJ431" i="7" l="1"/>
  <c r="AK431" i="7"/>
  <c r="AF431" i="7"/>
  <c r="AG431" i="7"/>
  <c r="AH431" i="7"/>
  <c r="AI431" i="7"/>
  <c r="AE431" i="7" l="1"/>
  <c r="AC432" i="7"/>
  <c r="AA432" i="7"/>
  <c r="AD431" i="7"/>
  <c r="AB432" i="7" l="1"/>
  <c r="Z432" i="7"/>
  <c r="AO432" i="7" l="1"/>
  <c r="AM432" i="7"/>
  <c r="AG432" i="7" s="1"/>
  <c r="AN432" i="7"/>
  <c r="AI432" i="7" s="1"/>
  <c r="AF432" i="7" l="1"/>
  <c r="AH432" i="7"/>
  <c r="AJ432" i="7"/>
  <c r="AK432" i="7"/>
  <c r="AE432" i="7" s="1"/>
  <c r="AD432" i="7" l="1"/>
  <c r="Z433" i="7"/>
  <c r="AB433" i="7"/>
  <c r="AC433" i="7"/>
  <c r="AA433" i="7"/>
  <c r="AM433" i="7" l="1"/>
  <c r="AF433" i="7" s="1"/>
  <c r="AN433" i="7"/>
  <c r="AI433" i="7" s="1"/>
  <c r="AO433" i="7"/>
  <c r="AJ433" i="7" s="1"/>
  <c r="AG433" i="7" l="1"/>
  <c r="AK433" i="7"/>
  <c r="AE433" i="7" s="1"/>
  <c r="AH433" i="7"/>
  <c r="AD433" i="7" s="1"/>
  <c r="AB434" i="7" l="1"/>
  <c r="Z434" i="7"/>
  <c r="AC434" i="7"/>
  <c r="AA434" i="7"/>
  <c r="AN434" i="7" l="1"/>
  <c r="AI434" i="7" s="1"/>
  <c r="AM434" i="7"/>
  <c r="AG434" i="7" s="1"/>
  <c r="AO434" i="7"/>
  <c r="AK434" i="7" s="1"/>
  <c r="AF434" i="7"/>
  <c r="AH434" i="7"/>
  <c r="AE434" i="7" l="1"/>
  <c r="AA435" i="7" s="1"/>
  <c r="AJ434" i="7"/>
  <c r="AD434" i="7" s="1"/>
  <c r="AC435" i="7"/>
  <c r="AB435" i="7" l="1"/>
  <c r="Z435" i="7"/>
  <c r="AN435" i="7" l="1"/>
  <c r="AI435" i="7" s="1"/>
  <c r="AO435" i="7"/>
  <c r="AK435" i="7" s="1"/>
  <c r="AH435" i="7"/>
  <c r="AM435" i="7"/>
  <c r="AG435" i="7" s="1"/>
  <c r="AE435" i="7" l="1"/>
  <c r="AC436" i="7"/>
  <c r="AA436" i="7"/>
  <c r="AF435" i="7"/>
  <c r="AJ435" i="7"/>
  <c r="AD435" i="7" l="1"/>
  <c r="AB436" i="7" l="1"/>
  <c r="Z436" i="7"/>
  <c r="AO436" i="7" l="1"/>
  <c r="AK436" i="7" s="1"/>
  <c r="AN436" i="7"/>
  <c r="AI436" i="7" s="1"/>
  <c r="AJ436" i="7"/>
  <c r="AM436" i="7"/>
  <c r="AG436" i="7" s="1"/>
  <c r="AE436" i="7" s="1"/>
  <c r="AH436" i="7"/>
  <c r="AF436" i="7" l="1"/>
  <c r="AD436" i="7" s="1"/>
  <c r="AA437" i="7"/>
  <c r="AC437" i="7"/>
  <c r="AB437" i="7" l="1"/>
  <c r="Z437" i="7"/>
  <c r="AM437" i="7" s="1"/>
  <c r="AO437" i="7"/>
  <c r="AK437" i="7" s="1"/>
  <c r="AN437" i="7"/>
  <c r="AJ437" i="7" l="1"/>
  <c r="AG437" i="7"/>
  <c r="AF437" i="7"/>
  <c r="AI437" i="7"/>
  <c r="AE437" i="7" s="1"/>
  <c r="AH437" i="7"/>
  <c r="AD437" i="7" s="1"/>
  <c r="Z438" i="7" l="1"/>
  <c r="AB438" i="7"/>
  <c r="AA438" i="7"/>
  <c r="AC438" i="7"/>
  <c r="AO438" i="7" l="1"/>
  <c r="AK438" i="7" s="1"/>
  <c r="AM438" i="7"/>
  <c r="AG438" i="7" s="1"/>
  <c r="AJ438" i="7"/>
  <c r="AN438" i="7"/>
  <c r="AI438" i="7" s="1"/>
  <c r="AF438" i="7" l="1"/>
  <c r="AE438" i="7"/>
  <c r="AH438" i="7"/>
  <c r="AD438" i="7" l="1"/>
  <c r="Z439" i="7"/>
  <c r="AB439" i="7"/>
  <c r="AA439" i="7"/>
  <c r="AC439" i="7"/>
  <c r="AO439" i="7" l="1"/>
  <c r="AJ439" i="7" s="1"/>
  <c r="AM439" i="7"/>
  <c r="AF439" i="7" s="1"/>
  <c r="AN439" i="7"/>
  <c r="AH439" i="7" s="1"/>
  <c r="AG439" i="7" l="1"/>
  <c r="AK439" i="7"/>
  <c r="AD439" i="7"/>
  <c r="AI439" i="7"/>
  <c r="Z440" i="7" l="1"/>
  <c r="AB440" i="7"/>
  <c r="AE439" i="7"/>
  <c r="AA440" i="7" l="1"/>
  <c r="AC440" i="7"/>
  <c r="AO440" i="7"/>
  <c r="AJ440" i="7" s="1"/>
  <c r="AM440" i="7"/>
  <c r="AF440" i="7" s="1"/>
  <c r="AN440" i="7"/>
  <c r="AH440" i="7" s="1"/>
  <c r="AD440" i="7" l="1"/>
  <c r="AG440" i="7"/>
  <c r="AI440" i="7"/>
  <c r="AK440" i="7"/>
  <c r="AE440" i="7" l="1"/>
  <c r="AB441" i="7"/>
  <c r="Z441" i="7"/>
  <c r="AC441" i="7" l="1"/>
  <c r="AA441" i="7"/>
  <c r="AO441" i="7" s="1"/>
  <c r="AJ441" i="7" s="1"/>
  <c r="AN441" i="7" l="1"/>
  <c r="AH441" i="7" s="1"/>
  <c r="AK441" i="7"/>
  <c r="AM441" i="7"/>
  <c r="AF441" i="7" s="1"/>
  <c r="AD441" i="7" s="1"/>
  <c r="AG441" i="7" l="1"/>
  <c r="AI441" i="7"/>
  <c r="AB442" i="7"/>
  <c r="Z442" i="7"/>
  <c r="AE441" i="7" l="1"/>
  <c r="AC442" i="7" l="1"/>
  <c r="AA442" i="7"/>
  <c r="AO442" i="7" l="1"/>
  <c r="AJ442" i="7" s="1"/>
  <c r="AM442" i="7"/>
  <c r="AF442" i="7" s="1"/>
  <c r="AN442" i="7"/>
  <c r="AH442" i="7" s="1"/>
  <c r="AD442" i="7" l="1"/>
  <c r="Z443" i="7"/>
  <c r="AB443" i="7"/>
  <c r="AK442" i="7"/>
  <c r="AI442" i="7"/>
  <c r="AG442" i="7"/>
  <c r="AE442" i="7" l="1"/>
  <c r="AA443" i="7"/>
  <c r="AC443" i="7"/>
  <c r="AN443" i="7"/>
  <c r="AH443" i="7" s="1"/>
  <c r="AO443" i="7"/>
  <c r="AJ443" i="7" s="1"/>
  <c r="AM443" i="7"/>
  <c r="AF443" i="7" s="1"/>
  <c r="AD443" i="7" s="1"/>
  <c r="AB444" i="7" s="1"/>
  <c r="Z444" i="7" l="1"/>
  <c r="AK443" i="7"/>
  <c r="AG443" i="7"/>
  <c r="AI443" i="7"/>
  <c r="AE443" i="7" l="1"/>
  <c r="AC444" i="7" l="1"/>
  <c r="AA444" i="7"/>
  <c r="AN444" i="7" l="1"/>
  <c r="AO444" i="7"/>
  <c r="AM444" i="7"/>
  <c r="AJ444" i="7" l="1"/>
  <c r="AK444" i="7"/>
  <c r="AF444" i="7"/>
  <c r="AG444" i="7"/>
  <c r="AH444" i="7"/>
  <c r="AI444" i="7"/>
  <c r="AE444" i="7" l="1"/>
  <c r="AC445" i="7"/>
  <c r="AA445" i="7"/>
  <c r="AD444" i="7"/>
  <c r="AB445" i="7" l="1"/>
  <c r="Z445" i="7"/>
  <c r="AM445" i="7" l="1"/>
  <c r="AG445" i="7" s="1"/>
  <c r="AF445" i="7"/>
  <c r="AN445" i="7"/>
  <c r="AI445" i="7" s="1"/>
  <c r="AO445" i="7"/>
  <c r="AK445" i="7" s="1"/>
  <c r="AH445" i="7" l="1"/>
  <c r="AJ445" i="7"/>
  <c r="AE445" i="7"/>
  <c r="AC446" i="7" l="1"/>
  <c r="AA446" i="7"/>
  <c r="AD445" i="7"/>
  <c r="AB446" i="7" l="1"/>
  <c r="Z446" i="7"/>
  <c r="AM446" i="7" l="1"/>
  <c r="AN446" i="7"/>
  <c r="AO446" i="7"/>
  <c r="AH446" i="7" l="1"/>
  <c r="AI446" i="7"/>
  <c r="AJ446" i="7"/>
  <c r="AK446" i="7"/>
  <c r="AF446" i="7"/>
  <c r="AG446" i="7"/>
  <c r="AD446" i="7" l="1"/>
  <c r="AE446" i="7"/>
  <c r="AC447" i="7" s="1"/>
  <c r="AA447" i="7"/>
  <c r="Z447" i="7"/>
  <c r="AB447" i="7"/>
  <c r="AO447" i="7" l="1"/>
  <c r="AJ447" i="7" s="1"/>
  <c r="AM447" i="7"/>
  <c r="AF447" i="7" s="1"/>
  <c r="AN447" i="7"/>
  <c r="AH447" i="7" s="1"/>
  <c r="AK447" i="7"/>
  <c r="AG447" i="7" l="1"/>
  <c r="AI447" i="7"/>
  <c r="AE447" i="7"/>
  <c r="AA448" i="7" s="1"/>
  <c r="AD447" i="7"/>
  <c r="AC448" i="7"/>
  <c r="AB448" i="7" l="1"/>
  <c r="Z448" i="7"/>
  <c r="AN448" i="7" l="1"/>
  <c r="AM448" i="7"/>
  <c r="AO448" i="7"/>
  <c r="AF448" i="7" l="1"/>
  <c r="AG448" i="7"/>
  <c r="AJ448" i="7"/>
  <c r="AK448" i="7"/>
  <c r="AH448" i="7"/>
  <c r="AI448" i="7"/>
  <c r="AE448" i="7" l="1"/>
  <c r="AD448" i="7"/>
  <c r="Z449" i="7" l="1"/>
  <c r="AB449" i="7"/>
  <c r="AC449" i="7"/>
  <c r="AA449" i="7"/>
  <c r="AO449" i="7" l="1"/>
  <c r="AJ449" i="7" s="1"/>
  <c r="AN449" i="7"/>
  <c r="AH449" i="7" s="1"/>
  <c r="AM449" i="7"/>
  <c r="AF449" i="7" s="1"/>
  <c r="AK449" i="7" l="1"/>
  <c r="AI449" i="7"/>
  <c r="AG449" i="7"/>
  <c r="AD449" i="7"/>
  <c r="AB450" i="7" l="1"/>
  <c r="Z450" i="7"/>
  <c r="AE449" i="7"/>
  <c r="AC450" i="7" l="1"/>
  <c r="AA450" i="7"/>
  <c r="AO450" i="7"/>
  <c r="AK450" i="7" s="1"/>
  <c r="AN450" i="7"/>
  <c r="AI450" i="7" s="1"/>
  <c r="AM450" i="7"/>
  <c r="AG450" i="7" s="1"/>
  <c r="AE450" i="7" s="1"/>
  <c r="AA451" i="7" s="1"/>
  <c r="AJ450" i="7"/>
  <c r="AH450" i="7"/>
  <c r="AF450" i="7" l="1"/>
  <c r="AD450" i="7" s="1"/>
  <c r="AC451" i="7"/>
  <c r="Z451" i="7" l="1"/>
  <c r="AB451" i="7"/>
  <c r="AM451" i="7" l="1"/>
  <c r="AG451" i="7" s="1"/>
  <c r="AO451" i="7"/>
  <c r="AK451" i="7" s="1"/>
  <c r="AN451" i="7"/>
  <c r="AI451" i="7" s="1"/>
  <c r="AF451" i="7"/>
  <c r="AJ451" i="7" l="1"/>
  <c r="AH451" i="7"/>
  <c r="AD451" i="7" s="1"/>
  <c r="AE451" i="7"/>
  <c r="AB452" i="7" l="1"/>
  <c r="Z452" i="7"/>
  <c r="AC452" i="7"/>
  <c r="AA452" i="7"/>
  <c r="AM452" i="7" l="1"/>
  <c r="AG452" i="7" s="1"/>
  <c r="AO452" i="7"/>
  <c r="AJ452" i="7" s="1"/>
  <c r="AN452" i="7"/>
  <c r="AI452" i="7" s="1"/>
  <c r="AF452" i="7" l="1"/>
  <c r="AH452" i="7"/>
  <c r="AK452" i="7"/>
  <c r="AE452" i="7" s="1"/>
  <c r="AA453" i="7" l="1"/>
  <c r="AC453" i="7"/>
  <c r="AD452" i="7"/>
  <c r="AB453" i="7" l="1"/>
  <c r="Z453" i="7"/>
  <c r="AM453" i="7" l="1"/>
  <c r="AG453" i="7" s="1"/>
  <c r="AO453" i="7"/>
  <c r="AK453" i="7" s="1"/>
  <c r="AN453" i="7"/>
  <c r="AI453" i="7" s="1"/>
  <c r="AJ453" i="7"/>
  <c r="AF453" i="7" l="1"/>
  <c r="AH453" i="7"/>
  <c r="AD453" i="7" s="1"/>
  <c r="AE453" i="7"/>
  <c r="AB454" i="7" l="1"/>
  <c r="Z454" i="7"/>
  <c r="AC454" i="7"/>
  <c r="AA454" i="7"/>
  <c r="AN454" i="7" l="1"/>
  <c r="AO454" i="7"/>
  <c r="AM454" i="7"/>
  <c r="AI454" i="7" l="1"/>
  <c r="AH454" i="7"/>
  <c r="AG454" i="7"/>
  <c r="AF454" i="7"/>
  <c r="AK454" i="7"/>
  <c r="AJ454" i="7"/>
  <c r="AD454" i="7" s="1"/>
  <c r="AE454" i="7" l="1"/>
  <c r="AB455" i="7"/>
  <c r="Z455" i="7"/>
  <c r="AA455" i="7" l="1"/>
  <c r="AC455" i="7"/>
  <c r="AO455" i="7" l="1"/>
  <c r="AJ455" i="7" s="1"/>
  <c r="AM455" i="7"/>
  <c r="AN455" i="7"/>
  <c r="AI455" i="7" l="1"/>
  <c r="AH455" i="7"/>
  <c r="AG455" i="7"/>
  <c r="AF455" i="7"/>
  <c r="AD455" i="7" s="1"/>
  <c r="AK455" i="7"/>
  <c r="AE455" i="7" s="1"/>
  <c r="AA456" i="7" l="1"/>
  <c r="AC456" i="7"/>
  <c r="AB456" i="7"/>
  <c r="Z456" i="7"/>
  <c r="AO456" i="7" l="1"/>
  <c r="AM456" i="7"/>
  <c r="AG456" i="7" s="1"/>
  <c r="AN456" i="7"/>
  <c r="AI456" i="7" s="1"/>
  <c r="AF456" i="7"/>
  <c r="AJ456" i="7"/>
  <c r="AK456" i="7"/>
  <c r="AE456" i="7" l="1"/>
  <c r="AH456" i="7"/>
  <c r="AD456" i="7" s="1"/>
  <c r="AB457" i="7" l="1"/>
  <c r="Z457" i="7"/>
  <c r="AC457" i="7"/>
  <c r="AA457" i="7"/>
  <c r="AO457" i="7" l="1"/>
  <c r="AK457" i="7" s="1"/>
  <c r="AM457" i="7"/>
  <c r="AG457" i="7" s="1"/>
  <c r="AN457" i="7"/>
  <c r="AI457" i="7" s="1"/>
  <c r="AJ457" i="7"/>
  <c r="AF457" i="7"/>
  <c r="AH457" i="7" l="1"/>
  <c r="AE457" i="7"/>
  <c r="AD457" i="7"/>
  <c r="AC458" i="7" l="1"/>
  <c r="AA458" i="7"/>
  <c r="AB458" i="7"/>
  <c r="Z458" i="7"/>
  <c r="AO458" i="7" l="1"/>
  <c r="AJ458" i="7" s="1"/>
  <c r="AN458" i="7"/>
  <c r="AH458" i="7" s="1"/>
  <c r="AM458" i="7"/>
  <c r="AF458" i="7" s="1"/>
  <c r="AI458" i="7"/>
  <c r="AK458" i="7" l="1"/>
  <c r="AG458" i="7"/>
  <c r="AD458" i="7"/>
  <c r="AB459" i="7" s="1"/>
  <c r="AE458" i="7"/>
  <c r="Z459" i="7" l="1"/>
  <c r="AA459" i="7"/>
  <c r="AC459" i="7"/>
  <c r="AN459" i="7"/>
  <c r="AH459" i="7" s="1"/>
  <c r="AM459" i="7"/>
  <c r="AF459" i="7" s="1"/>
  <c r="AO459" i="7"/>
  <c r="AJ459" i="7" s="1"/>
  <c r="AD459" i="7" l="1"/>
  <c r="AI459" i="7"/>
  <c r="AG459" i="7"/>
  <c r="AK459" i="7"/>
  <c r="AE459" i="7" l="1"/>
  <c r="AB460" i="7"/>
  <c r="Z460" i="7"/>
  <c r="AC460" i="7" l="1"/>
  <c r="AA460" i="7"/>
  <c r="AN460" i="7" l="1"/>
  <c r="AH460" i="7" s="1"/>
  <c r="AO460" i="7"/>
  <c r="AJ460" i="7" s="1"/>
  <c r="AM460" i="7"/>
  <c r="AF460" i="7" s="1"/>
  <c r="AK460" i="7" l="1"/>
  <c r="AD460" i="7"/>
  <c r="AG460" i="7"/>
  <c r="AI460" i="7"/>
  <c r="Z461" i="7" l="1"/>
  <c r="AB461" i="7"/>
  <c r="AE460" i="7"/>
  <c r="AA461" i="7" l="1"/>
  <c r="AC461" i="7"/>
  <c r="AM461" i="7"/>
  <c r="AF461" i="7" s="1"/>
  <c r="AO461" i="7"/>
  <c r="AJ461" i="7" s="1"/>
  <c r="AN461" i="7"/>
  <c r="AH461" i="7" s="1"/>
  <c r="AK461" i="7" l="1"/>
  <c r="AG461" i="7"/>
  <c r="AI461" i="7"/>
  <c r="AD461" i="7"/>
  <c r="AB462" i="7" l="1"/>
  <c r="Z462" i="7"/>
  <c r="AE461" i="7"/>
  <c r="AA462" i="7" l="1"/>
  <c r="AC462" i="7"/>
  <c r="AO462" i="7" l="1"/>
  <c r="AJ462" i="7" s="1"/>
  <c r="AN462" i="7"/>
  <c r="AH462" i="7" s="1"/>
  <c r="AM462" i="7"/>
  <c r="AF462" i="7" s="1"/>
  <c r="AD462" i="7" l="1"/>
  <c r="Z463" i="7"/>
  <c r="AB463" i="7"/>
  <c r="AK462" i="7"/>
  <c r="AI462" i="7"/>
  <c r="AG462" i="7"/>
  <c r="AE462" i="7" l="1"/>
  <c r="AA463" i="7"/>
  <c r="AC463" i="7"/>
  <c r="AO463" i="7"/>
  <c r="AJ463" i="7" s="1"/>
  <c r="AM463" i="7"/>
  <c r="AF463" i="7" s="1"/>
  <c r="AN463" i="7"/>
  <c r="AH463" i="7" s="1"/>
  <c r="AD463" i="7" l="1"/>
  <c r="AI463" i="7"/>
  <c r="AK463" i="7"/>
  <c r="AG463" i="7"/>
  <c r="AE463" i="7" l="1"/>
  <c r="AA464" i="7" s="1"/>
  <c r="AC464" i="7"/>
  <c r="AB464" i="7"/>
  <c r="Z464" i="7"/>
  <c r="AN464" i="7" l="1"/>
  <c r="AM464" i="7"/>
  <c r="AO464" i="7"/>
  <c r="AK464" i="7" s="1"/>
  <c r="AJ464" i="7" l="1"/>
  <c r="AH464" i="7"/>
  <c r="AI464" i="7"/>
  <c r="AF464" i="7"/>
  <c r="AG464" i="7"/>
  <c r="AE464" i="7" s="1"/>
  <c r="AA465" i="7" l="1"/>
  <c r="AC465" i="7"/>
  <c r="AD464" i="7"/>
  <c r="AB465" i="7" l="1"/>
  <c r="Z465" i="7"/>
  <c r="AN465" i="7" l="1"/>
  <c r="AI465" i="7" s="1"/>
  <c r="AM465" i="7"/>
  <c r="AO465" i="7"/>
  <c r="AH465" i="7"/>
  <c r="AJ465" i="7" l="1"/>
  <c r="AK465" i="7"/>
  <c r="AF465" i="7"/>
  <c r="AD465" i="7" s="1"/>
  <c r="AG465" i="7"/>
  <c r="Z466" i="7" l="1"/>
  <c r="AB466" i="7"/>
  <c r="AE465" i="7"/>
  <c r="AC466" i="7" l="1"/>
  <c r="AA466" i="7"/>
  <c r="AM466" i="7"/>
  <c r="AF466" i="7" s="1"/>
  <c r="AO466" i="7"/>
  <c r="AJ466" i="7" s="1"/>
  <c r="AN466" i="7"/>
  <c r="AI466" i="7" s="1"/>
  <c r="AG466" i="7" l="1"/>
  <c r="AK466" i="7"/>
  <c r="AH466" i="7"/>
  <c r="AD466" i="7" s="1"/>
  <c r="AE466" i="7" l="1"/>
  <c r="AA467" i="7" s="1"/>
  <c r="Z467" i="7"/>
  <c r="AB467" i="7"/>
  <c r="AO467" i="7"/>
  <c r="AJ467" i="7" s="1"/>
  <c r="AC467" i="7"/>
  <c r="AK467" i="7" l="1"/>
  <c r="AM467" i="7"/>
  <c r="AN467" i="7"/>
  <c r="AH467" i="7" l="1"/>
  <c r="AI467" i="7"/>
  <c r="AF467" i="7"/>
  <c r="AD467" i="7" s="1"/>
  <c r="AG467" i="7"/>
  <c r="AE467" i="7" s="1"/>
  <c r="AA468" i="7" l="1"/>
  <c r="AC468" i="7"/>
  <c r="AB468" i="7"/>
  <c r="Z468" i="7"/>
  <c r="AM468" i="7" l="1"/>
  <c r="AG468" i="7" s="1"/>
  <c r="AN468" i="7"/>
  <c r="AI468" i="7" s="1"/>
  <c r="AO468" i="7"/>
  <c r="AK468" i="7" s="1"/>
  <c r="AF468" i="7"/>
  <c r="AH468" i="7"/>
  <c r="AJ468" i="7" l="1"/>
  <c r="AD468" i="7"/>
  <c r="AE468" i="7"/>
  <c r="AB469" i="7" l="1"/>
  <c r="Z469" i="7"/>
  <c r="AC469" i="7"/>
  <c r="AA469" i="7"/>
  <c r="AM469" i="7" l="1"/>
  <c r="AF469" i="7" s="1"/>
  <c r="AN469" i="7"/>
  <c r="AH469" i="7" s="1"/>
  <c r="AO469" i="7"/>
  <c r="AK469" i="7" s="1"/>
  <c r="AI469" i="7" l="1"/>
  <c r="AG469" i="7"/>
  <c r="AJ469" i="7"/>
  <c r="AD469" i="7" s="1"/>
  <c r="AE469" i="7" l="1"/>
  <c r="Z470" i="7"/>
  <c r="AB470" i="7"/>
  <c r="AA470" i="7"/>
  <c r="AC470" i="7"/>
  <c r="AN470" i="7" l="1"/>
  <c r="AI470" i="7" s="1"/>
  <c r="AM470" i="7"/>
  <c r="AG470" i="7" s="1"/>
  <c r="AO470" i="7"/>
  <c r="AK470" i="7" s="1"/>
  <c r="AH470" i="7"/>
  <c r="AE470" i="7" l="1"/>
  <c r="AA471" i="7" s="1"/>
  <c r="AC471" i="7"/>
  <c r="AJ470" i="7"/>
  <c r="AF470" i="7"/>
  <c r="AD470" i="7" s="1"/>
  <c r="Z471" i="7" l="1"/>
  <c r="AB471" i="7"/>
  <c r="AO471" i="7" l="1"/>
  <c r="AK471" i="7" s="1"/>
  <c r="AN471" i="7"/>
  <c r="AI471" i="7" s="1"/>
  <c r="AM471" i="7"/>
  <c r="AG471" i="7" s="1"/>
  <c r="AH471" i="7"/>
  <c r="AJ471" i="7"/>
  <c r="AE471" i="7" l="1"/>
  <c r="AA472" i="7"/>
  <c r="AC472" i="7"/>
  <c r="AF471" i="7"/>
  <c r="AD471" i="7" s="1"/>
  <c r="AB472" i="7" l="1"/>
  <c r="Z472" i="7"/>
  <c r="AN472" i="7" l="1"/>
  <c r="AO472" i="7"/>
  <c r="AM472" i="7"/>
  <c r="AJ472" i="7" l="1"/>
  <c r="AK472" i="7"/>
  <c r="AF472" i="7"/>
  <c r="AG472" i="7"/>
  <c r="AH472" i="7"/>
  <c r="AI472" i="7"/>
  <c r="AD472" i="7" l="1"/>
  <c r="AE472" i="7"/>
  <c r="AC473" i="7" l="1"/>
  <c r="AA473" i="7"/>
  <c r="Z473" i="7"/>
  <c r="AB473" i="7"/>
  <c r="AN473" i="7" l="1"/>
  <c r="AH473" i="7" s="1"/>
  <c r="AM473" i="7"/>
  <c r="AF473" i="7" s="1"/>
  <c r="AO473" i="7"/>
  <c r="AJ473" i="7" s="1"/>
  <c r="AI473" i="7"/>
  <c r="AG473" i="7"/>
  <c r="AD473" i="7" l="1"/>
  <c r="AK473" i="7"/>
  <c r="AE473" i="7" s="1"/>
  <c r="AC474" i="7" l="1"/>
  <c r="AA474" i="7"/>
  <c r="AB474" i="7"/>
  <c r="Z474" i="7"/>
  <c r="AN474" i="7" l="1"/>
  <c r="AM474" i="7"/>
  <c r="AO474" i="7"/>
  <c r="AJ474" i="7" l="1"/>
  <c r="AK474" i="7"/>
  <c r="AF474" i="7"/>
  <c r="AG474" i="7"/>
  <c r="AH474" i="7"/>
  <c r="AI474" i="7"/>
  <c r="AD474" i="7" l="1"/>
  <c r="AB475" i="7"/>
  <c r="Z475" i="7"/>
  <c r="AE474" i="7"/>
  <c r="AC475" i="7" l="1"/>
  <c r="AA475" i="7"/>
  <c r="AN475" i="7"/>
  <c r="AH475" i="7" s="1"/>
  <c r="AM475" i="7"/>
  <c r="AF475" i="7" s="1"/>
  <c r="AI475" i="7" l="1"/>
  <c r="AG475" i="7"/>
  <c r="AO475" i="7"/>
  <c r="AJ475" i="7" s="1"/>
  <c r="AD475" i="7" s="1"/>
  <c r="Z476" i="7" l="1"/>
  <c r="AB476" i="7"/>
  <c r="AK475" i="7"/>
  <c r="AE475" i="7" s="1"/>
  <c r="AA476" i="7" l="1"/>
  <c r="AC476" i="7"/>
  <c r="AO476" i="7"/>
  <c r="AJ476" i="7" s="1"/>
  <c r="AN476" i="7"/>
  <c r="AH476" i="7" s="1"/>
  <c r="AM476" i="7"/>
  <c r="AF476" i="7" s="1"/>
  <c r="AD476" i="7" l="1"/>
  <c r="AB477" i="7"/>
  <c r="Z477" i="7"/>
  <c r="AK476" i="7"/>
  <c r="AI476" i="7"/>
  <c r="AG476" i="7"/>
  <c r="AE476" i="7" l="1"/>
  <c r="AA477" i="7"/>
  <c r="AC477" i="7"/>
  <c r="AM477" i="7" l="1"/>
  <c r="AF477" i="7" s="1"/>
  <c r="AN477" i="7"/>
  <c r="AH477" i="7" s="1"/>
  <c r="AO477" i="7"/>
  <c r="AG477" i="7" l="1"/>
  <c r="AJ477" i="7"/>
  <c r="AD477" i="7" s="1"/>
  <c r="AK477" i="7"/>
  <c r="AI477" i="7"/>
  <c r="Z478" i="7" l="1"/>
  <c r="AB478" i="7"/>
  <c r="AE477" i="7"/>
  <c r="AA478" i="7" l="1"/>
  <c r="AC478" i="7"/>
  <c r="AO478" i="7"/>
  <c r="AJ478" i="7" s="1"/>
  <c r="AM478" i="7"/>
  <c r="AF478" i="7" s="1"/>
  <c r="AN478" i="7"/>
  <c r="AH478" i="7" s="1"/>
  <c r="AD478" i="7" l="1"/>
  <c r="AB479" i="7"/>
  <c r="Z479" i="7"/>
  <c r="AI478" i="7"/>
  <c r="AK478" i="7"/>
  <c r="AG478" i="7"/>
  <c r="AE478" i="7" l="1"/>
  <c r="AC479" i="7" s="1"/>
  <c r="AA479" i="7"/>
  <c r="AN479" i="7" s="1"/>
  <c r="AO479" i="7"/>
  <c r="AK479" i="7" s="1"/>
  <c r="AM479" i="7"/>
  <c r="AG479" i="7" s="1"/>
  <c r="AF479" i="7" l="1"/>
  <c r="AJ479" i="7"/>
  <c r="AI479" i="7"/>
  <c r="AE479" i="7" s="1"/>
  <c r="AH479" i="7"/>
  <c r="AD479" i="7" l="1"/>
  <c r="Z480" i="7"/>
  <c r="AB480" i="7"/>
  <c r="AC480" i="7"/>
  <c r="AA480" i="7"/>
  <c r="AN480" i="7" l="1"/>
  <c r="AM480" i="7"/>
  <c r="AO480" i="7"/>
  <c r="AF480" i="7" l="1"/>
  <c r="AG480" i="7"/>
  <c r="AJ480" i="7"/>
  <c r="AK480" i="7"/>
  <c r="AH480" i="7"/>
  <c r="AI480" i="7"/>
  <c r="AE480" i="7" l="1"/>
  <c r="AD480" i="7"/>
  <c r="AB481" i="7" l="1"/>
  <c r="Z481" i="7"/>
  <c r="AA481" i="7"/>
  <c r="AC481" i="7"/>
  <c r="AN481" i="7" l="1"/>
  <c r="AI481" i="7" s="1"/>
  <c r="AM481" i="7"/>
  <c r="AG481" i="7" s="1"/>
  <c r="AO481" i="7"/>
  <c r="AK481" i="7" s="1"/>
  <c r="AH481" i="7"/>
  <c r="AF481" i="7" l="1"/>
  <c r="AE481" i="7"/>
  <c r="AJ481" i="7"/>
  <c r="AD481" i="7" s="1"/>
  <c r="AB482" i="7" l="1"/>
  <c r="Z482" i="7"/>
  <c r="AA482" i="7"/>
  <c r="AC482" i="7"/>
  <c r="AM482" i="7" l="1"/>
  <c r="AF482" i="7" s="1"/>
  <c r="AN482" i="7"/>
  <c r="AH482" i="7" s="1"/>
  <c r="AO482" i="7"/>
  <c r="AJ482" i="7" s="1"/>
  <c r="AI482" i="7" l="1"/>
  <c r="AD482" i="7"/>
  <c r="AK482" i="7"/>
  <c r="AG482" i="7"/>
  <c r="AE482" i="7" l="1"/>
  <c r="AC483" i="7"/>
  <c r="AA483" i="7"/>
  <c r="Z483" i="7"/>
  <c r="AB483" i="7"/>
  <c r="AM483" i="7" l="1"/>
  <c r="AF483" i="7" s="1"/>
  <c r="AN483" i="7"/>
  <c r="AO483" i="7"/>
  <c r="AJ483" i="7" l="1"/>
  <c r="AK483" i="7"/>
  <c r="AH483" i="7"/>
  <c r="AI483" i="7"/>
  <c r="AD483" i="7"/>
  <c r="AG483" i="7"/>
  <c r="AE483" i="7" s="1"/>
  <c r="AA484" i="7" l="1"/>
  <c r="AC484" i="7"/>
  <c r="Z484" i="7"/>
  <c r="AB484" i="7"/>
  <c r="AO484" i="7" l="1"/>
  <c r="AN484" i="7"/>
  <c r="AH484" i="7" s="1"/>
  <c r="AM484" i="7"/>
  <c r="AF484" i="7" s="1"/>
  <c r="AI484" i="7"/>
  <c r="AG484" i="7" l="1"/>
  <c r="AJ484" i="7"/>
  <c r="AD484" i="7" s="1"/>
  <c r="AK484" i="7"/>
  <c r="AE484" i="7" s="1"/>
  <c r="AC485" i="7" l="1"/>
  <c r="AA485" i="7"/>
  <c r="Z485" i="7"/>
  <c r="AB485" i="7"/>
  <c r="AN485" i="7" l="1"/>
  <c r="AH485" i="7" s="1"/>
  <c r="AO485" i="7"/>
  <c r="AJ485" i="7" s="1"/>
  <c r="AM485" i="7"/>
  <c r="AG485" i="7" s="1"/>
  <c r="AI485" i="7"/>
  <c r="AK485" i="7" l="1"/>
  <c r="AE485" i="7"/>
  <c r="AF485" i="7"/>
  <c r="AD485" i="7" s="1"/>
  <c r="Z486" i="7" s="1"/>
  <c r="AC486" i="7"/>
  <c r="AA486" i="7"/>
  <c r="AB486" i="7" l="1"/>
  <c r="AN486" i="7"/>
  <c r="AH486" i="7" s="1"/>
  <c r="AO486" i="7"/>
  <c r="AJ486" i="7" s="1"/>
  <c r="AM486" i="7"/>
  <c r="AF486" i="7" s="1"/>
  <c r="AD486" i="7" l="1"/>
  <c r="AB487" i="7" s="1"/>
  <c r="Z487" i="7"/>
  <c r="AI486" i="7"/>
  <c r="AG486" i="7"/>
  <c r="AK486" i="7"/>
  <c r="AE486" i="7" l="1"/>
  <c r="AA487" i="7"/>
  <c r="AC487" i="7"/>
  <c r="AM487" i="7" l="1"/>
  <c r="AN487" i="7"/>
  <c r="AO487" i="7"/>
  <c r="AK487" i="7" l="1"/>
  <c r="AJ487" i="7"/>
  <c r="AI487" i="7"/>
  <c r="AH487" i="7"/>
  <c r="AG487" i="7"/>
  <c r="AF487" i="7"/>
  <c r="AD487" i="7" s="1"/>
  <c r="Z488" i="7" s="1"/>
  <c r="AB488" i="7" l="1"/>
  <c r="AE487" i="7"/>
  <c r="AC488" i="7"/>
  <c r="AA488" i="7"/>
  <c r="AN488" i="7" s="1"/>
  <c r="AM488" i="7"/>
  <c r="AO488" i="7" l="1"/>
  <c r="AJ488" i="7"/>
  <c r="AK488" i="7"/>
  <c r="AF488" i="7"/>
  <c r="AG488" i="7"/>
  <c r="AH488" i="7"/>
  <c r="AI488" i="7"/>
  <c r="AE488" i="7" l="1"/>
  <c r="AD488" i="7"/>
  <c r="AB489" i="7" l="1"/>
  <c r="Z489" i="7"/>
  <c r="AC489" i="7"/>
  <c r="AA489" i="7"/>
  <c r="AN489" i="7" l="1"/>
  <c r="AM489" i="7"/>
  <c r="AG489" i="7" s="1"/>
  <c r="AO489" i="7"/>
  <c r="AK489" i="7" s="1"/>
  <c r="AH489" i="7"/>
  <c r="AF489" i="7"/>
  <c r="AJ489" i="7"/>
  <c r="AI489" i="7"/>
  <c r="AD489" i="7" l="1"/>
  <c r="AE489" i="7"/>
  <c r="AB490" i="7" l="1"/>
  <c r="Z490" i="7"/>
  <c r="AA490" i="7"/>
  <c r="AC490" i="7"/>
  <c r="AM490" i="7" l="1"/>
  <c r="AO490" i="7"/>
  <c r="AJ490" i="7" s="1"/>
  <c r="AN490" i="7"/>
  <c r="AI490" i="7" l="1"/>
  <c r="AH490" i="7"/>
  <c r="AG490" i="7"/>
  <c r="AF490" i="7"/>
  <c r="AK490" i="7"/>
  <c r="AE490" i="7" s="1"/>
  <c r="AD490" i="7" l="1"/>
  <c r="AB491" i="7" s="1"/>
  <c r="Z491" i="7"/>
  <c r="AC491" i="7"/>
  <c r="AA491" i="7"/>
  <c r="AM491" i="7" l="1"/>
  <c r="AG491" i="7" s="1"/>
  <c r="AN491" i="7"/>
  <c r="AI491" i="7" s="1"/>
  <c r="AO491" i="7"/>
  <c r="AJ491" i="7" s="1"/>
  <c r="AF491" i="7"/>
  <c r="AH491" i="7" l="1"/>
  <c r="AK491" i="7"/>
  <c r="AE491" i="7" s="1"/>
  <c r="AD491" i="7"/>
  <c r="Z492" i="7" l="1"/>
  <c r="AB492" i="7"/>
  <c r="AC492" i="7"/>
  <c r="AA492" i="7"/>
  <c r="AO492" i="7" l="1"/>
  <c r="AJ492" i="7" s="1"/>
  <c r="AM492" i="7"/>
  <c r="AF492" i="7" s="1"/>
  <c r="AN492" i="7"/>
  <c r="AH492" i="7" s="1"/>
  <c r="AK492" i="7" l="1"/>
  <c r="AI492" i="7"/>
  <c r="AD492" i="7"/>
  <c r="AG492" i="7"/>
  <c r="AE492" i="7" l="1"/>
  <c r="AC493" i="7"/>
  <c r="AA493" i="7"/>
  <c r="AB493" i="7"/>
  <c r="Z493" i="7"/>
  <c r="AO493" i="7" l="1"/>
  <c r="AK493" i="7" s="1"/>
  <c r="AN493" i="7"/>
  <c r="AI493" i="7" s="1"/>
  <c r="AM493" i="7"/>
  <c r="AG493" i="7" s="1"/>
  <c r="AJ493" i="7"/>
  <c r="AF493" i="7" l="1"/>
  <c r="AH493" i="7"/>
  <c r="AD493" i="7" s="1"/>
  <c r="AE493" i="7"/>
  <c r="AB494" i="7" l="1"/>
  <c r="Z494" i="7"/>
  <c r="AA494" i="7"/>
  <c r="AM494" i="7" s="1"/>
  <c r="AF494" i="7" s="1"/>
  <c r="AC494" i="7"/>
  <c r="AG494" i="7" l="1"/>
  <c r="AN494" i="7"/>
  <c r="AH494" i="7" s="1"/>
  <c r="AO494" i="7"/>
  <c r="AJ494" i="7" s="1"/>
  <c r="AD494" i="7" l="1"/>
  <c r="AB495" i="7"/>
  <c r="Z495" i="7"/>
  <c r="AK494" i="7"/>
  <c r="AI494" i="7"/>
  <c r="AE494" i="7" s="1"/>
  <c r="AA495" i="7" l="1"/>
  <c r="AC495" i="7"/>
  <c r="AN495" i="7"/>
  <c r="AI495" i="7" s="1"/>
  <c r="AM495" i="7"/>
  <c r="AG495" i="7" s="1"/>
  <c r="AH495" i="7"/>
  <c r="AO495" i="7"/>
  <c r="AK495" i="7" s="1"/>
  <c r="AF495" i="7"/>
  <c r="AE495" i="7" l="1"/>
  <c r="AC496" i="7"/>
  <c r="AJ495" i="7"/>
  <c r="AD495" i="7" s="1"/>
  <c r="AA496" i="7"/>
  <c r="Z496" i="7" l="1"/>
  <c r="AB496" i="7"/>
  <c r="AN496" i="7" l="1"/>
  <c r="AI496" i="7" s="1"/>
  <c r="AM496" i="7"/>
  <c r="AO496" i="7"/>
  <c r="AH496" i="7"/>
  <c r="AJ496" i="7" l="1"/>
  <c r="AK496" i="7"/>
  <c r="AF496" i="7"/>
  <c r="AD496" i="7" s="1"/>
  <c r="AG496" i="7"/>
  <c r="AE496" i="7" s="1"/>
  <c r="AB497" i="7" l="1"/>
  <c r="Z497" i="7"/>
  <c r="AA497" i="7"/>
  <c r="AC497" i="7"/>
  <c r="AO497" i="7" l="1"/>
  <c r="AK497" i="7" s="1"/>
  <c r="AM497" i="7"/>
  <c r="AF497" i="7" s="1"/>
  <c r="AJ497" i="7"/>
  <c r="AN497" i="7"/>
  <c r="AH497" i="7" s="1"/>
  <c r="AD497" i="7" l="1"/>
  <c r="AB498" i="7"/>
  <c r="Z498" i="7"/>
  <c r="AG497" i="7"/>
  <c r="AI497" i="7"/>
  <c r="AE497" i="7" l="1"/>
  <c r="AC498" i="7"/>
  <c r="AA498" i="7"/>
  <c r="AM498" i="7" s="1"/>
  <c r="AF498" i="7" s="1"/>
  <c r="AO498" i="7"/>
  <c r="AN498" i="7"/>
  <c r="AH498" i="7" s="1"/>
  <c r="AJ498" i="7"/>
  <c r="AI498" i="7" l="1"/>
  <c r="AK498" i="7"/>
  <c r="AG498" i="7"/>
  <c r="AD498" i="7"/>
  <c r="AE498" i="7" l="1"/>
  <c r="AA499" i="7" s="1"/>
  <c r="AC499" i="7"/>
  <c r="Z499" i="7"/>
  <c r="AB499" i="7"/>
  <c r="AN499" i="7" l="1"/>
  <c r="AM499" i="7"/>
  <c r="AO499" i="7"/>
  <c r="AF499" i="7" l="1"/>
  <c r="AG499" i="7"/>
  <c r="AJ499" i="7"/>
  <c r="AK499" i="7"/>
  <c r="AH499" i="7"/>
  <c r="AI499" i="7"/>
  <c r="AE499" i="7" l="1"/>
  <c r="AD499" i="7"/>
  <c r="AB500" i="7" l="1"/>
  <c r="Z500" i="7"/>
  <c r="AC500" i="7"/>
  <c r="AA500" i="7"/>
  <c r="AM500" i="7" l="1"/>
  <c r="AF500" i="7" s="1"/>
  <c r="AG500" i="7"/>
  <c r="AO500" i="7"/>
  <c r="AJ500" i="7" s="1"/>
  <c r="AN500" i="7"/>
  <c r="AH500" i="7" s="1"/>
  <c r="AD500" i="7" s="1"/>
  <c r="Z501" i="7" s="1"/>
  <c r="AK500" i="7" l="1"/>
  <c r="AI500" i="7"/>
  <c r="AB501" i="7"/>
  <c r="AE500" i="7" l="1"/>
  <c r="AC501" i="7"/>
  <c r="AA501" i="7"/>
  <c r="AO501" i="7" l="1"/>
  <c r="AJ501" i="7" s="1"/>
  <c r="AN501" i="7"/>
  <c r="AH501" i="7" s="1"/>
  <c r="AM501" i="7"/>
  <c r="AF501" i="7" s="1"/>
  <c r="AD501" i="7" l="1"/>
  <c r="Z502" i="7"/>
  <c r="AB502" i="7"/>
  <c r="AG501" i="7"/>
  <c r="AI501" i="7"/>
  <c r="AK501" i="7"/>
  <c r="AE501" i="7" l="1"/>
  <c r="AA502" i="7" l="1"/>
  <c r="AC502" i="7"/>
  <c r="AO502" i="7" l="1"/>
  <c r="AJ502" i="7" s="1"/>
  <c r="AM502" i="7"/>
  <c r="AF502" i="7" s="1"/>
  <c r="AN502" i="7"/>
  <c r="AH502" i="7" s="1"/>
  <c r="AG502" i="7" l="1"/>
  <c r="AK502" i="7"/>
  <c r="AD502" i="7"/>
  <c r="AI502" i="7"/>
  <c r="AB503" i="7" l="1"/>
  <c r="Z503" i="7"/>
  <c r="AE502" i="7"/>
  <c r="AC503" i="7" l="1"/>
  <c r="AA503" i="7"/>
  <c r="AM503" i="7"/>
  <c r="AN503" i="7"/>
  <c r="AH503" i="7" s="1"/>
  <c r="AO503" i="7"/>
  <c r="AJ503" i="7" s="1"/>
  <c r="AF503" i="7"/>
  <c r="AD503" i="7" l="1"/>
  <c r="Z504" i="7" s="1"/>
  <c r="AG503" i="7"/>
  <c r="AI503" i="7"/>
  <c r="AK503" i="7"/>
  <c r="AB504" i="7"/>
  <c r="AE503" i="7" l="1"/>
  <c r="AC504" i="7" l="1"/>
  <c r="AA504" i="7"/>
  <c r="AN504" i="7" l="1"/>
  <c r="AH504" i="7" s="1"/>
  <c r="AM504" i="7"/>
  <c r="AF504" i="7" s="1"/>
  <c r="AO504" i="7"/>
  <c r="AJ504" i="7" s="1"/>
  <c r="AI504" i="7" l="1"/>
  <c r="AD504" i="7"/>
  <c r="AK504" i="7"/>
  <c r="AG504" i="7"/>
  <c r="AE504" i="7" l="1"/>
  <c r="AA505" i="7"/>
  <c r="AC505" i="7"/>
  <c r="Z505" i="7"/>
  <c r="AB505" i="7"/>
  <c r="AN505" i="7" l="1"/>
  <c r="AH505" i="7" s="1"/>
  <c r="AM505" i="7"/>
  <c r="AF505" i="7" s="1"/>
  <c r="AO505" i="7"/>
  <c r="AJ505" i="7" s="1"/>
  <c r="AG505" i="7"/>
  <c r="AI505" i="7"/>
  <c r="AK505" i="7" l="1"/>
  <c r="AE505" i="7"/>
  <c r="AC506" i="7" s="1"/>
  <c r="AD505" i="7"/>
  <c r="AA506" i="7"/>
  <c r="AB506" i="7" l="1"/>
  <c r="Z506" i="7"/>
  <c r="AN506" i="7" l="1"/>
  <c r="AI506" i="7" s="1"/>
  <c r="AM506" i="7"/>
  <c r="AG506" i="7" s="1"/>
  <c r="AO506" i="7"/>
  <c r="AK506" i="7" s="1"/>
  <c r="AF506" i="7"/>
  <c r="AH506" i="7"/>
  <c r="AJ506" i="7" l="1"/>
  <c r="AE506" i="7"/>
  <c r="AD506" i="7"/>
  <c r="Z507" i="7" l="1"/>
  <c r="AB507" i="7"/>
  <c r="AC507" i="7"/>
  <c r="AA507" i="7"/>
  <c r="AM507" i="7" l="1"/>
  <c r="AG507" i="7" s="1"/>
  <c r="AN507" i="7"/>
  <c r="AI507" i="7" s="1"/>
  <c r="AO507" i="7"/>
  <c r="AK507" i="7" s="1"/>
  <c r="AJ507" i="7" l="1"/>
  <c r="AE507" i="7"/>
  <c r="AF507" i="7"/>
  <c r="AH507" i="7"/>
  <c r="AD507" i="7" l="1"/>
  <c r="AA508" i="7"/>
  <c r="AC508" i="7"/>
  <c r="AB508" i="7" l="1"/>
  <c r="Z508" i="7"/>
  <c r="AM508" i="7" l="1"/>
  <c r="AN508" i="7"/>
  <c r="AO508" i="7"/>
  <c r="AF508" i="7" l="1"/>
  <c r="AG508" i="7"/>
  <c r="AJ508" i="7"/>
  <c r="AK508" i="7"/>
  <c r="AH508" i="7"/>
  <c r="AI508" i="7"/>
  <c r="AE508" i="7" l="1"/>
  <c r="AD508" i="7"/>
  <c r="AB509" i="7" l="1"/>
  <c r="Z509" i="7"/>
  <c r="AC509" i="7"/>
  <c r="AA509" i="7"/>
  <c r="AN509" i="7" l="1"/>
  <c r="AI509" i="7" s="1"/>
  <c r="AO509" i="7"/>
  <c r="AK509" i="7" s="1"/>
  <c r="AM509" i="7"/>
  <c r="AG509" i="7" s="1"/>
  <c r="AE509" i="7" l="1"/>
  <c r="AC510" i="7" s="1"/>
  <c r="AF509" i="7"/>
  <c r="AJ509" i="7"/>
  <c r="AA510" i="7"/>
  <c r="AH509" i="7"/>
  <c r="AD509" i="7" s="1"/>
  <c r="AB510" i="7" l="1"/>
  <c r="Z510" i="7"/>
  <c r="AN510" i="7" l="1"/>
  <c r="AI510" i="7" s="1"/>
  <c r="AH510" i="7"/>
  <c r="AO510" i="7"/>
  <c r="AK510" i="7" s="1"/>
  <c r="AM510" i="7"/>
  <c r="AG510" i="7" s="1"/>
  <c r="AE510" i="7" l="1"/>
  <c r="AJ510" i="7"/>
  <c r="AF510" i="7"/>
  <c r="AD510" i="7" s="1"/>
  <c r="AC511" i="7"/>
  <c r="AA511" i="7"/>
  <c r="AB511" i="7" l="1"/>
  <c r="Z511" i="7"/>
  <c r="AM511" i="7" l="1"/>
  <c r="AN511" i="7"/>
  <c r="AO511" i="7"/>
  <c r="AJ511" i="7" l="1"/>
  <c r="AK511" i="7"/>
  <c r="AH511" i="7"/>
  <c r="AI511" i="7"/>
  <c r="AF511" i="7"/>
  <c r="AD511" i="7" s="1"/>
  <c r="AG511" i="7"/>
  <c r="AE511" i="7" s="1"/>
  <c r="Z512" i="7" l="1"/>
  <c r="AB512" i="7"/>
  <c r="AA512" i="7"/>
  <c r="AC512" i="7"/>
  <c r="AM512" i="7" l="1"/>
  <c r="AF512" i="7" s="1"/>
  <c r="AN512" i="7"/>
  <c r="AH512" i="7" s="1"/>
  <c r="AO512" i="7"/>
  <c r="AJ512" i="7" s="1"/>
  <c r="AD512" i="7" l="1"/>
  <c r="AK512" i="7"/>
  <c r="AB513" i="7"/>
  <c r="Z513" i="7"/>
  <c r="AG512" i="7"/>
  <c r="AI512" i="7"/>
  <c r="AE512" i="7" l="1"/>
  <c r="AC513" i="7" l="1"/>
  <c r="AA513" i="7"/>
  <c r="AO513" i="7" l="1"/>
  <c r="AJ513" i="7" s="1"/>
  <c r="AM513" i="7"/>
  <c r="AF513" i="7" s="1"/>
  <c r="AN513" i="7"/>
  <c r="AH513" i="7" s="1"/>
  <c r="AD513" i="7" l="1"/>
  <c r="Z514" i="7"/>
  <c r="AB514" i="7"/>
  <c r="AK513" i="7"/>
  <c r="AG513" i="7"/>
  <c r="AI513" i="7"/>
  <c r="AE513" i="7" l="1"/>
  <c r="AC514" i="7" l="1"/>
  <c r="AA514" i="7"/>
  <c r="AN514" i="7" l="1"/>
  <c r="AH514" i="7" s="1"/>
  <c r="AO514" i="7"/>
  <c r="AJ514" i="7" s="1"/>
  <c r="AM514" i="7"/>
  <c r="AF514" i="7" s="1"/>
  <c r="AD514" i="7" l="1"/>
  <c r="AI514" i="7"/>
  <c r="AG514" i="7"/>
  <c r="AB515" i="7"/>
  <c r="Z515" i="7"/>
  <c r="AK514" i="7"/>
  <c r="AE514" i="7" l="1"/>
  <c r="AC515" i="7" l="1"/>
  <c r="AA515" i="7"/>
  <c r="AO515" i="7" l="1"/>
  <c r="AJ515" i="7" s="1"/>
  <c r="AN515" i="7"/>
  <c r="AH515" i="7" s="1"/>
  <c r="AM515" i="7"/>
  <c r="AF515" i="7" s="1"/>
  <c r="AD515" i="7" l="1"/>
  <c r="Z516" i="7"/>
  <c r="AB516" i="7"/>
  <c r="AK515" i="7"/>
  <c r="AG515" i="7"/>
  <c r="AI515" i="7"/>
  <c r="AE515" i="7" l="1"/>
  <c r="AA516" i="7" l="1"/>
  <c r="AC516" i="7"/>
  <c r="AM516" i="7" l="1"/>
  <c r="AF516" i="7" s="1"/>
  <c r="AG516" i="7"/>
  <c r="AN516" i="7"/>
  <c r="AH516" i="7" s="1"/>
  <c r="AO516" i="7"/>
  <c r="AJ516" i="7" s="1"/>
  <c r="AI516" i="7" l="1"/>
  <c r="AD516" i="7"/>
  <c r="AK516" i="7"/>
  <c r="AB517" i="7" l="1"/>
  <c r="Z517" i="7"/>
  <c r="AE516" i="7"/>
  <c r="AC517" i="7" l="1"/>
  <c r="AA517" i="7"/>
  <c r="AO517" i="7" l="1"/>
  <c r="AJ517" i="7" s="1"/>
  <c r="AM517" i="7"/>
  <c r="AF517" i="7" s="1"/>
  <c r="AN517" i="7"/>
  <c r="AH517" i="7" s="1"/>
  <c r="AI517" i="7" l="1"/>
  <c r="AD517" i="7"/>
  <c r="AG517" i="7"/>
  <c r="AK517" i="7"/>
  <c r="AE517" i="7" l="1"/>
  <c r="Z518" i="7"/>
  <c r="AB518" i="7"/>
  <c r="AA518" i="7"/>
  <c r="AC518" i="7"/>
  <c r="AN518" i="7" l="1"/>
  <c r="AH518" i="7" s="1"/>
  <c r="AM518" i="7"/>
  <c r="AG518" i="7" s="1"/>
  <c r="AO518" i="7"/>
  <c r="AK518" i="7" s="1"/>
  <c r="AJ518" i="7" l="1"/>
  <c r="AF518" i="7"/>
  <c r="AD518" i="7" s="1"/>
  <c r="AI518" i="7"/>
  <c r="AE518" i="7" s="1"/>
  <c r="AC519" i="7" l="1"/>
  <c r="AA519" i="7"/>
  <c r="AB519" i="7"/>
  <c r="Z519" i="7"/>
  <c r="AN519" i="7" l="1"/>
  <c r="AI519" i="7"/>
  <c r="AH519" i="7"/>
  <c r="AM519" i="7"/>
  <c r="AF519" i="7" s="1"/>
  <c r="AO519" i="7"/>
  <c r="AJ519" i="7" s="1"/>
  <c r="AD519" i="7" l="1"/>
  <c r="Z520" i="7" s="1"/>
  <c r="AG519" i="7"/>
  <c r="AK519" i="7"/>
  <c r="AB520" i="7"/>
  <c r="AE519" i="7" l="1"/>
  <c r="AC520" i="7" l="1"/>
  <c r="AA520" i="7"/>
  <c r="AO520" i="7" l="1"/>
  <c r="AM520" i="7"/>
  <c r="AF520" i="7" s="1"/>
  <c r="AN520" i="7"/>
  <c r="AI520" i="7" l="1"/>
  <c r="AH520" i="7"/>
  <c r="AK520" i="7"/>
  <c r="AJ520" i="7"/>
  <c r="AG520" i="7"/>
  <c r="AE520" i="7" s="1"/>
  <c r="AD520" i="7" l="1"/>
  <c r="Z521" i="7" s="1"/>
  <c r="AB521" i="7"/>
  <c r="AC521" i="7"/>
  <c r="AA521" i="7"/>
  <c r="AM521" i="7" l="1"/>
  <c r="AF521" i="7" s="1"/>
  <c r="AO521" i="7"/>
  <c r="AK521" i="7" s="1"/>
  <c r="AN521" i="7"/>
  <c r="AI521" i="7" s="1"/>
  <c r="AJ521" i="7" l="1"/>
  <c r="AG521" i="7"/>
  <c r="AE521" i="7" s="1"/>
  <c r="AH521" i="7"/>
  <c r="AD521" i="7" s="1"/>
  <c r="AC522" i="7" l="1"/>
  <c r="AA522" i="7"/>
  <c r="Z522" i="7"/>
  <c r="AB522" i="7"/>
  <c r="AM522" i="7" l="1"/>
  <c r="AG522" i="7" s="1"/>
  <c r="AN522" i="7"/>
  <c r="AH522" i="7" s="1"/>
  <c r="AO522" i="7"/>
  <c r="AJ522" i="7" s="1"/>
  <c r="AF522" i="7" l="1"/>
  <c r="AD522" i="7" s="1"/>
  <c r="AB523" i="7" s="1"/>
  <c r="AI522" i="7"/>
  <c r="AK522" i="7"/>
  <c r="Z523" i="7" l="1"/>
  <c r="AE522" i="7"/>
  <c r="AA523" i="7" l="1"/>
  <c r="AC523" i="7"/>
  <c r="AN523" i="7" l="1"/>
  <c r="AM523" i="7"/>
  <c r="AO523" i="7"/>
  <c r="AG523" i="7" l="1"/>
  <c r="AF523" i="7"/>
  <c r="AK523" i="7"/>
  <c r="AJ523" i="7"/>
  <c r="AI523" i="7"/>
  <c r="AH523" i="7"/>
  <c r="AD523" i="7" l="1"/>
  <c r="AE523" i="7"/>
  <c r="AC524" i="7" l="1"/>
  <c r="AA524" i="7"/>
  <c r="AB524" i="7"/>
  <c r="Z524" i="7"/>
  <c r="AM524" i="7" l="1"/>
  <c r="AG524" i="7" s="1"/>
  <c r="AN524" i="7"/>
  <c r="AI524" i="7" s="1"/>
  <c r="AO524" i="7"/>
  <c r="AK524" i="7" s="1"/>
  <c r="AH524" i="7"/>
  <c r="AF524" i="7"/>
  <c r="AJ524" i="7" l="1"/>
  <c r="AD524" i="7"/>
  <c r="AB525" i="7" s="1"/>
  <c r="AE524" i="7"/>
  <c r="Z525" i="7" l="1"/>
  <c r="AA525" i="7"/>
  <c r="AC525" i="7"/>
  <c r="AM525" i="7"/>
  <c r="AG525" i="7" s="1"/>
  <c r="AO525" i="7"/>
  <c r="AK525" i="7" s="1"/>
  <c r="AN525" i="7"/>
  <c r="AI525" i="7" s="1"/>
  <c r="AF525" i="7" l="1"/>
  <c r="AE525" i="7"/>
  <c r="AH525" i="7"/>
  <c r="AJ525" i="7"/>
  <c r="AC526" i="7"/>
  <c r="AA526" i="7"/>
  <c r="AD525" i="7" l="1"/>
  <c r="AB526" i="7"/>
  <c r="Z526" i="7"/>
  <c r="AN526" i="7" l="1"/>
  <c r="AI526" i="7" s="1"/>
  <c r="AM526" i="7"/>
  <c r="AG526" i="7" s="1"/>
  <c r="AO526" i="7"/>
  <c r="AK526" i="7" s="1"/>
  <c r="AF526" i="7"/>
  <c r="AH526" i="7"/>
  <c r="AJ526" i="7" l="1"/>
  <c r="AD526" i="7"/>
  <c r="AE526" i="7"/>
  <c r="AA527" i="7" l="1"/>
  <c r="AC527" i="7"/>
  <c r="AB527" i="7"/>
  <c r="Z527" i="7"/>
  <c r="AO527" i="7" l="1"/>
  <c r="AJ527" i="7" s="1"/>
  <c r="AN527" i="7"/>
  <c r="AH527" i="7" s="1"/>
  <c r="AM527" i="7"/>
  <c r="AF527" i="7" s="1"/>
  <c r="AK527" i="7"/>
  <c r="AG527" i="7" l="1"/>
  <c r="AD527" i="7"/>
  <c r="AB528" i="7" s="1"/>
  <c r="AI527" i="7"/>
  <c r="AE527" i="7" s="1"/>
  <c r="Z528" i="7" l="1"/>
  <c r="AC528" i="7"/>
  <c r="AA528" i="7"/>
  <c r="AM528" i="7" s="1"/>
  <c r="AF528" i="7" s="1"/>
  <c r="AO528" i="7"/>
  <c r="AJ528" i="7" s="1"/>
  <c r="AN528" i="7"/>
  <c r="AH528" i="7" s="1"/>
  <c r="AD528" i="7" l="1"/>
  <c r="AG528" i="7"/>
  <c r="AK528" i="7"/>
  <c r="AI528" i="7"/>
  <c r="AE528" i="7" l="1"/>
  <c r="AB529" i="7"/>
  <c r="Z529" i="7"/>
  <c r="AA529" i="7" l="1"/>
  <c r="AO529" i="7" s="1"/>
  <c r="AJ529" i="7" s="1"/>
  <c r="AC529" i="7"/>
  <c r="AN529" i="7" l="1"/>
  <c r="AH529" i="7" s="1"/>
  <c r="AK529" i="7"/>
  <c r="AI529" i="7"/>
  <c r="AM529" i="7"/>
  <c r="AF529" i="7" s="1"/>
  <c r="AD529" i="7" s="1"/>
  <c r="Z530" i="7" l="1"/>
  <c r="AB530" i="7"/>
  <c r="AG529" i="7"/>
  <c r="AE529" i="7" s="1"/>
  <c r="AC530" i="7" l="1"/>
  <c r="AA530" i="7"/>
  <c r="AN530" i="7"/>
  <c r="AI530" i="7" s="1"/>
  <c r="AM530" i="7"/>
  <c r="AG530" i="7" s="1"/>
  <c r="AH530" i="7"/>
  <c r="AO530" i="7"/>
  <c r="AK530" i="7" s="1"/>
  <c r="AE530" i="7" l="1"/>
  <c r="AC531" i="7"/>
  <c r="AJ530" i="7"/>
  <c r="AA531" i="7"/>
  <c r="AF530" i="7"/>
  <c r="AD530" i="7" s="1"/>
  <c r="AB531" i="7" l="1"/>
  <c r="Z531" i="7"/>
  <c r="AN531" i="7" l="1"/>
  <c r="AI531" i="7" s="1"/>
  <c r="AM531" i="7"/>
  <c r="AG531" i="7" s="1"/>
  <c r="AO531" i="7"/>
  <c r="AK531" i="7" s="1"/>
  <c r="AF531" i="7"/>
  <c r="AH531" i="7"/>
  <c r="AJ531" i="7" l="1"/>
  <c r="AD531" i="7" s="1"/>
  <c r="AE531" i="7"/>
  <c r="Z532" i="7" l="1"/>
  <c r="AB532" i="7"/>
  <c r="AC532" i="7"/>
  <c r="AA532" i="7"/>
  <c r="AO532" i="7" l="1"/>
  <c r="AK532" i="7" s="1"/>
  <c r="AN532" i="7"/>
  <c r="AI532" i="7" s="1"/>
  <c r="AM532" i="7"/>
  <c r="AG532" i="7" s="1"/>
  <c r="AF532" i="7" l="1"/>
  <c r="AH532" i="7"/>
  <c r="AE532" i="7"/>
  <c r="AC533" i="7" s="1"/>
  <c r="AJ532" i="7"/>
  <c r="AD532" i="7" s="1"/>
  <c r="AA533" i="7"/>
  <c r="Z533" i="7" l="1"/>
  <c r="AB533" i="7"/>
  <c r="AM533" i="7" l="1"/>
  <c r="AG533" i="7" s="1"/>
  <c r="AN533" i="7"/>
  <c r="AI533" i="7" s="1"/>
  <c r="AF533" i="7"/>
  <c r="AO533" i="7"/>
  <c r="AK533" i="7" s="1"/>
  <c r="AH533" i="7" l="1"/>
  <c r="AJ533" i="7"/>
  <c r="AD533" i="7" s="1"/>
  <c r="AE533" i="7"/>
  <c r="AB534" i="7" l="1"/>
  <c r="Z534" i="7"/>
  <c r="AC534" i="7"/>
  <c r="AA534" i="7"/>
  <c r="AO534" i="7" l="1"/>
  <c r="AJ534" i="7" s="1"/>
  <c r="AM534" i="7"/>
  <c r="AF534" i="7" s="1"/>
  <c r="AN534" i="7"/>
  <c r="AH534" i="7" s="1"/>
  <c r="AD534" i="7" l="1"/>
  <c r="Z535" i="7" s="1"/>
  <c r="AI534" i="7"/>
  <c r="AK534" i="7"/>
  <c r="AG534" i="7"/>
  <c r="AB535" i="7"/>
  <c r="AE534" i="7" l="1"/>
  <c r="AC535" i="7"/>
  <c r="AA535" i="7"/>
  <c r="AO535" i="7" l="1"/>
  <c r="AJ535" i="7" s="1"/>
  <c r="AM535" i="7"/>
  <c r="AF535" i="7" s="1"/>
  <c r="AN535" i="7"/>
  <c r="AH535" i="7" s="1"/>
  <c r="AD535" i="7" l="1"/>
  <c r="AG535" i="7"/>
  <c r="AK535" i="7"/>
  <c r="AI535" i="7"/>
  <c r="AE535" i="7" l="1"/>
  <c r="AB536" i="7"/>
  <c r="Z536" i="7"/>
  <c r="AC536" i="7" l="1"/>
  <c r="AA536" i="7"/>
  <c r="AN536" i="7" l="1"/>
  <c r="AH536" i="7" s="1"/>
  <c r="AM536" i="7"/>
  <c r="AF536" i="7" s="1"/>
  <c r="AO536" i="7"/>
  <c r="AJ536" i="7" s="1"/>
  <c r="AD536" i="7" l="1"/>
  <c r="AG536" i="7"/>
  <c r="AI536" i="7"/>
  <c r="AK536" i="7"/>
  <c r="AE536" i="7" l="1"/>
  <c r="Z537" i="7"/>
  <c r="AB537" i="7"/>
  <c r="AA537" i="7" l="1"/>
  <c r="AM537" i="7" s="1"/>
  <c r="AF537" i="7" s="1"/>
  <c r="AC537" i="7"/>
  <c r="AN537" i="7" l="1"/>
  <c r="AH537" i="7" s="1"/>
  <c r="AG537" i="7"/>
  <c r="AI537" i="7"/>
  <c r="AO537" i="7"/>
  <c r="AJ537" i="7" s="1"/>
  <c r="AD537" i="7" l="1"/>
  <c r="AB538" i="7"/>
  <c r="Z538" i="7"/>
  <c r="AK537" i="7"/>
  <c r="AE537" i="7" s="1"/>
  <c r="AA538" i="7" l="1"/>
  <c r="AC538" i="7"/>
  <c r="AM538" i="7"/>
  <c r="AG538" i="7" s="1"/>
  <c r="AO538" i="7"/>
  <c r="AK538" i="7" s="1"/>
  <c r="AN538" i="7"/>
  <c r="AI538" i="7" s="1"/>
  <c r="AJ538" i="7"/>
  <c r="AF538" i="7"/>
  <c r="AH538" i="7" l="1"/>
  <c r="AD538" i="7" s="1"/>
  <c r="AE538" i="7"/>
  <c r="AC539" i="7" s="1"/>
  <c r="AA539" i="7" l="1"/>
  <c r="Z539" i="7"/>
  <c r="AB539" i="7"/>
  <c r="AO539" i="7" l="1"/>
  <c r="AK539" i="7" s="1"/>
  <c r="AM539" i="7"/>
  <c r="AG539" i="7" s="1"/>
  <c r="AJ539" i="7"/>
  <c r="AN539" i="7"/>
  <c r="AI539" i="7" s="1"/>
  <c r="AF539" i="7"/>
  <c r="AH539" i="7" l="1"/>
  <c r="AD539" i="7" s="1"/>
  <c r="AE539" i="7"/>
  <c r="AC540" i="7" l="1"/>
  <c r="AA540" i="7"/>
  <c r="AB540" i="7"/>
  <c r="Z540" i="7"/>
  <c r="AM540" i="7" l="1"/>
  <c r="AG540" i="7" s="1"/>
  <c r="AO540" i="7"/>
  <c r="AK540" i="7" s="1"/>
  <c r="AN540" i="7"/>
  <c r="AI540" i="7" s="1"/>
  <c r="AF540" i="7"/>
  <c r="AH540" i="7"/>
  <c r="AJ540" i="7"/>
  <c r="AD540" i="7" l="1"/>
  <c r="AE540" i="7"/>
  <c r="AA541" i="7" l="1"/>
  <c r="AC541" i="7"/>
  <c r="AB541" i="7"/>
  <c r="Z541" i="7"/>
  <c r="AO541" i="7" l="1"/>
  <c r="AK541" i="7" s="1"/>
  <c r="AM541" i="7"/>
  <c r="AG541" i="7" s="1"/>
  <c r="AN541" i="7"/>
  <c r="AI541" i="7" s="1"/>
  <c r="AE541" i="7" l="1"/>
  <c r="AF541" i="7"/>
  <c r="AH541" i="7"/>
  <c r="AJ541" i="7"/>
  <c r="AD541" i="7" l="1"/>
  <c r="AC542" i="7"/>
  <c r="AA542" i="7"/>
  <c r="AB542" i="7" l="1"/>
  <c r="Z542" i="7"/>
  <c r="AM542" i="7" l="1"/>
  <c r="AN542" i="7"/>
  <c r="AI542" i="7" s="1"/>
  <c r="AO542" i="7"/>
  <c r="AK542" i="7" s="1"/>
  <c r="AH542" i="7"/>
  <c r="AJ542" i="7"/>
  <c r="AF542" i="7" l="1"/>
  <c r="AD542" i="7" s="1"/>
  <c r="AG542" i="7"/>
  <c r="AE542" i="7" s="1"/>
  <c r="AB543" i="7" l="1"/>
  <c r="Z543" i="7"/>
  <c r="AC543" i="7"/>
  <c r="AA543" i="7"/>
  <c r="AM543" i="7" l="1"/>
  <c r="AF543" i="7" s="1"/>
  <c r="AN543" i="7"/>
  <c r="AH543" i="7" s="1"/>
  <c r="AO543" i="7"/>
  <c r="AJ543" i="7" s="1"/>
  <c r="AD543" i="7" l="1"/>
  <c r="AI543" i="7"/>
  <c r="AK543" i="7"/>
  <c r="AG543" i="7"/>
  <c r="AE543" i="7" l="1"/>
  <c r="AC544" i="7"/>
  <c r="AA544" i="7"/>
  <c r="Z544" i="7"/>
  <c r="AB544" i="7"/>
  <c r="AN544" i="7" l="1"/>
  <c r="AH544" i="7" s="1"/>
  <c r="AM544" i="7"/>
  <c r="AF544" i="7" s="1"/>
  <c r="AO544" i="7"/>
  <c r="AJ544" i="7" s="1"/>
  <c r="AD544" i="7" l="1"/>
  <c r="AI544" i="7"/>
  <c r="AB545" i="7"/>
  <c r="Z545" i="7"/>
  <c r="AG544" i="7"/>
  <c r="AK544" i="7"/>
  <c r="AE544" i="7" l="1"/>
  <c r="AC545" i="7"/>
  <c r="AA545" i="7"/>
  <c r="AO545" i="7"/>
  <c r="AK545" i="7" s="1"/>
  <c r="AN545" i="7"/>
  <c r="AI545" i="7" s="1"/>
  <c r="AM545" i="7"/>
  <c r="AG545" i="7" s="1"/>
  <c r="AJ545" i="7"/>
  <c r="AH545" i="7"/>
  <c r="AE545" i="7" l="1"/>
  <c r="AF545" i="7"/>
  <c r="AD545" i="7" s="1"/>
  <c r="Z546" i="7" s="1"/>
  <c r="AA546" i="7"/>
  <c r="AB546" i="7"/>
  <c r="AC546" i="7"/>
  <c r="AM546" i="7" l="1"/>
  <c r="AG546" i="7" s="1"/>
  <c r="AF546" i="7"/>
  <c r="AN546" i="7"/>
  <c r="AO546" i="7"/>
  <c r="AK546" i="7" l="1"/>
  <c r="AJ546" i="7"/>
  <c r="AI546" i="7"/>
  <c r="AH546" i="7"/>
  <c r="AD546" i="7" s="1"/>
  <c r="AE546" i="7"/>
  <c r="AA547" i="7" l="1"/>
  <c r="AC547" i="7"/>
  <c r="Z547" i="7"/>
  <c r="AB547" i="7"/>
  <c r="AM547" i="7" l="1"/>
  <c r="AG547" i="7" s="1"/>
  <c r="AN547" i="7"/>
  <c r="AI547" i="7" s="1"/>
  <c r="AF547" i="7"/>
  <c r="AO547" i="7"/>
  <c r="AK547" i="7" s="1"/>
  <c r="AJ547" i="7" l="1"/>
  <c r="AE547" i="7"/>
  <c r="AA548" i="7" s="1"/>
  <c r="AH547" i="7"/>
  <c r="AD547" i="7" s="1"/>
  <c r="AC548" i="7"/>
  <c r="AB548" i="7" l="1"/>
  <c r="Z548" i="7"/>
  <c r="AO548" i="7" l="1"/>
  <c r="AK548" i="7" s="1"/>
  <c r="AM548" i="7"/>
  <c r="AG548" i="7" s="1"/>
  <c r="AN548" i="7"/>
  <c r="AI548" i="7" s="1"/>
  <c r="AJ548" i="7"/>
  <c r="AF548" i="7" l="1"/>
  <c r="AE548" i="7"/>
  <c r="AH548" i="7"/>
  <c r="AD548" i="7" s="1"/>
  <c r="AB549" i="7" l="1"/>
  <c r="Z549" i="7"/>
  <c r="AC549" i="7"/>
  <c r="AA549" i="7"/>
  <c r="AO549" i="7" l="1"/>
  <c r="AJ549" i="7" s="1"/>
  <c r="AM549" i="7"/>
  <c r="AG549" i="7" s="1"/>
  <c r="AN549" i="7"/>
  <c r="AI549" i="7" s="1"/>
  <c r="AF549" i="7" l="1"/>
  <c r="AH549" i="7"/>
  <c r="AK549" i="7"/>
  <c r="AE549" i="7" s="1"/>
  <c r="AD549" i="7" l="1"/>
  <c r="AB550" i="7"/>
  <c r="Z550" i="7"/>
  <c r="AC550" i="7"/>
  <c r="AA550" i="7"/>
  <c r="AO550" i="7" l="1"/>
  <c r="AN550" i="7"/>
  <c r="AH550" i="7" s="1"/>
  <c r="AJ550" i="7"/>
  <c r="AM550" i="7"/>
  <c r="AG550" i="7" s="1"/>
  <c r="AI550" i="7"/>
  <c r="AK550" i="7"/>
  <c r="AF550" i="7" l="1"/>
  <c r="AD550" i="7" s="1"/>
  <c r="AE550" i="7"/>
  <c r="AB551" i="7" l="1"/>
  <c r="Z551" i="7"/>
  <c r="AA551" i="7"/>
  <c r="AC551" i="7"/>
  <c r="AM551" i="7" l="1"/>
  <c r="AG551" i="7" s="1"/>
  <c r="AN551" i="7"/>
  <c r="AI551" i="7" s="1"/>
  <c r="AO551" i="7"/>
  <c r="AK551" i="7" s="1"/>
  <c r="AF551" i="7"/>
  <c r="AJ551" i="7" l="1"/>
  <c r="AE551" i="7"/>
  <c r="AH551" i="7"/>
  <c r="AD551" i="7" s="1"/>
  <c r="AB552" i="7" l="1"/>
  <c r="Z552" i="7"/>
  <c r="AA552" i="7"/>
  <c r="AC552" i="7"/>
  <c r="AN552" i="7" l="1"/>
  <c r="AI552" i="7" s="1"/>
  <c r="AM552" i="7"/>
  <c r="AG552" i="7" s="1"/>
  <c r="AH552" i="7"/>
  <c r="AO552" i="7"/>
  <c r="AK552" i="7" s="1"/>
  <c r="AF552" i="7"/>
  <c r="AE552" i="7" l="1"/>
  <c r="AJ552" i="7"/>
  <c r="AD552" i="7" s="1"/>
  <c r="AB553" i="7" l="1"/>
  <c r="Z553" i="7"/>
  <c r="AA553" i="7"/>
  <c r="AC553" i="7"/>
  <c r="AM553" i="7" l="1"/>
  <c r="AG553" i="7" s="1"/>
  <c r="AN553" i="7"/>
  <c r="AI553" i="7" s="1"/>
  <c r="AO553" i="7"/>
  <c r="AJ553" i="7" s="1"/>
  <c r="AF553" i="7" l="1"/>
  <c r="AK553" i="7"/>
  <c r="AE553" i="7" s="1"/>
  <c r="AH553" i="7"/>
  <c r="AA554" i="7" l="1"/>
  <c r="AC554" i="7"/>
  <c r="AD553" i="7"/>
  <c r="Z554" i="7" l="1"/>
  <c r="AB554" i="7"/>
  <c r="AO554" i="7" l="1"/>
  <c r="AN554" i="7"/>
  <c r="AM554" i="7"/>
  <c r="AF554" i="7" l="1"/>
  <c r="AG554" i="7"/>
  <c r="AJ554" i="7"/>
  <c r="AK554" i="7"/>
  <c r="AH554" i="7"/>
  <c r="AI554" i="7"/>
  <c r="AE554" i="7" l="1"/>
  <c r="AC555" i="7"/>
  <c r="AA555" i="7"/>
  <c r="AD554" i="7"/>
  <c r="AB555" i="7" l="1"/>
  <c r="Z555" i="7"/>
  <c r="AM555" i="7" l="1"/>
  <c r="AG555" i="7" s="1"/>
  <c r="AN555" i="7"/>
  <c r="AI555" i="7" s="1"/>
  <c r="AO555" i="7"/>
  <c r="AK555" i="7" s="1"/>
  <c r="AF555" i="7"/>
  <c r="AH555" i="7" l="1"/>
  <c r="AJ555" i="7"/>
  <c r="AD555" i="7" s="1"/>
  <c r="AE555" i="7"/>
  <c r="AA556" i="7" l="1"/>
  <c r="AC556" i="7"/>
  <c r="AB556" i="7"/>
  <c r="Z556" i="7"/>
  <c r="AN556" i="7" l="1"/>
  <c r="AO556" i="7"/>
  <c r="AK556" i="7" s="1"/>
  <c r="AM556" i="7"/>
  <c r="AG556" i="7" s="1"/>
  <c r="AF556" i="7"/>
  <c r="AH556" i="7"/>
  <c r="AJ556" i="7"/>
  <c r="AI556" i="7"/>
  <c r="AE556" i="7" l="1"/>
  <c r="AD556" i="7"/>
  <c r="AA557" i="7" l="1"/>
  <c r="AC557" i="7"/>
  <c r="AB557" i="7"/>
  <c r="Z557" i="7"/>
  <c r="AO557" i="7" l="1"/>
  <c r="AM557" i="7"/>
  <c r="AN557" i="7"/>
  <c r="AH557" i="7" l="1"/>
  <c r="AI557" i="7"/>
  <c r="AF557" i="7"/>
  <c r="AG557" i="7"/>
  <c r="AJ557" i="7"/>
  <c r="AK557" i="7"/>
  <c r="AD557" i="7" l="1"/>
  <c r="AE557" i="7"/>
  <c r="AA558" i="7" l="1"/>
  <c r="AC558" i="7"/>
  <c r="Z558" i="7"/>
  <c r="AB558" i="7"/>
  <c r="AM558" i="7" l="1"/>
  <c r="AF558" i="7" s="1"/>
  <c r="AO558" i="7"/>
  <c r="AJ558" i="7" s="1"/>
  <c r="AN558" i="7"/>
  <c r="AH558" i="7" s="1"/>
  <c r="AG558" i="7"/>
  <c r="AI558" i="7" l="1"/>
  <c r="AD558" i="7"/>
  <c r="AK558" i="7"/>
  <c r="AE558" i="7" s="1"/>
  <c r="AB559" i="7" l="1"/>
  <c r="Z559" i="7"/>
  <c r="AC559" i="7"/>
  <c r="AA559" i="7"/>
  <c r="AO559" i="7" l="1"/>
  <c r="AK559" i="7" s="1"/>
  <c r="AN559" i="7"/>
  <c r="AI559" i="7" s="1"/>
  <c r="AM559" i="7"/>
  <c r="AG559" i="7" s="1"/>
  <c r="AH559" i="7"/>
  <c r="AJ559" i="7"/>
  <c r="AE559" i="7" l="1"/>
  <c r="AC560" i="7" s="1"/>
  <c r="AF559" i="7"/>
  <c r="AD559" i="7" s="1"/>
  <c r="AA560" i="7"/>
  <c r="Z560" i="7" l="1"/>
  <c r="AB560" i="7"/>
  <c r="AO560" i="7"/>
  <c r="AK560" i="7" s="1"/>
  <c r="AM560" i="7"/>
  <c r="AJ560" i="7" l="1"/>
  <c r="AN560" i="7"/>
  <c r="AI560" i="7" s="1"/>
  <c r="AG560" i="7"/>
  <c r="AF560" i="7"/>
  <c r="AE560" i="7" l="1"/>
  <c r="AH560" i="7"/>
  <c r="AD560" i="7" s="1"/>
  <c r="AC561" i="7"/>
  <c r="AA561" i="7"/>
  <c r="AB561" i="7" l="1"/>
  <c r="Z561" i="7"/>
  <c r="AM561" i="7" s="1"/>
  <c r="AN561" i="7"/>
  <c r="AI561" i="7" s="1"/>
  <c r="AO561" i="7"/>
  <c r="AK561" i="7" s="1"/>
  <c r="AG561" i="7" l="1"/>
  <c r="AF561" i="7"/>
  <c r="AJ561" i="7"/>
  <c r="AE561" i="7"/>
  <c r="AH561" i="7"/>
  <c r="AD561" i="7" s="1"/>
  <c r="Z562" i="7" l="1"/>
  <c r="AB562" i="7"/>
  <c r="AA562" i="7"/>
  <c r="AC562" i="7"/>
  <c r="AM562" i="7" l="1"/>
  <c r="AG562" i="7" s="1"/>
  <c r="AO562" i="7"/>
  <c r="AK562" i="7" s="1"/>
  <c r="AN562" i="7"/>
  <c r="AI562" i="7" s="1"/>
  <c r="AF562" i="7"/>
  <c r="AJ562" i="7" l="1"/>
  <c r="AE562" i="7"/>
  <c r="AH562" i="7"/>
  <c r="AD562" i="7" s="1"/>
  <c r="Z563" i="7" l="1"/>
  <c r="AB563" i="7"/>
  <c r="AA563" i="7"/>
  <c r="AC563" i="7"/>
  <c r="AO563" i="7" l="1"/>
  <c r="AK563" i="7" s="1"/>
  <c r="AM563" i="7"/>
  <c r="AG563" i="7" s="1"/>
  <c r="AN563" i="7"/>
  <c r="AI563" i="7" s="1"/>
  <c r="AE563" i="7" l="1"/>
  <c r="AA564" i="7" s="1"/>
  <c r="AF563" i="7"/>
  <c r="AJ563" i="7"/>
  <c r="AH563" i="7"/>
  <c r="AC564" i="7"/>
  <c r="AD563" i="7" l="1"/>
  <c r="Z564" i="7" l="1"/>
  <c r="AB564" i="7"/>
  <c r="AN564" i="7" l="1"/>
  <c r="AI564" i="7" s="1"/>
  <c r="AM564" i="7"/>
  <c r="AG564" i="7" s="1"/>
  <c r="AO564" i="7"/>
  <c r="AK564" i="7" s="1"/>
  <c r="AH564" i="7"/>
  <c r="AF564" i="7" l="1"/>
  <c r="AJ564" i="7"/>
  <c r="AD564" i="7" s="1"/>
  <c r="AE564" i="7"/>
  <c r="AB565" i="7" l="1"/>
  <c r="Z565" i="7"/>
  <c r="AC565" i="7"/>
  <c r="AA565" i="7"/>
  <c r="AO565" i="7" l="1"/>
  <c r="AK565" i="7" s="1"/>
  <c r="AN565" i="7"/>
  <c r="AI565" i="7" s="1"/>
  <c r="AM565" i="7"/>
  <c r="AG565" i="7" s="1"/>
  <c r="AJ565" i="7"/>
  <c r="AH565" i="7"/>
  <c r="AE565" i="7" l="1"/>
  <c r="AA566" i="7" s="1"/>
  <c r="AC566" i="7"/>
  <c r="AF565" i="7"/>
  <c r="AD565" i="7" s="1"/>
  <c r="Z566" i="7" l="1"/>
  <c r="AB566" i="7"/>
  <c r="AM566" i="7" l="1"/>
  <c r="AN566" i="7"/>
  <c r="AI566" i="7" s="1"/>
  <c r="AO566" i="7"/>
  <c r="AH566" i="7" l="1"/>
  <c r="AJ566" i="7"/>
  <c r="AK566" i="7"/>
  <c r="AF566" i="7"/>
  <c r="AD566" i="7" s="1"/>
  <c r="AG566" i="7"/>
  <c r="AE566" i="7" s="1"/>
  <c r="AC567" i="7" l="1"/>
  <c r="AA567" i="7"/>
  <c r="Z567" i="7"/>
  <c r="AB567" i="7"/>
  <c r="AN567" i="7" l="1"/>
  <c r="AI567" i="7" s="1"/>
  <c r="AM567" i="7"/>
  <c r="AG567" i="7" s="1"/>
  <c r="AH567" i="7"/>
  <c r="AO567" i="7"/>
  <c r="AK567" i="7" s="1"/>
  <c r="AF567" i="7"/>
  <c r="AJ567" i="7" l="1"/>
  <c r="AD567" i="7" s="1"/>
  <c r="AE567" i="7"/>
  <c r="Z568" i="7" l="1"/>
  <c r="AB568" i="7"/>
  <c r="AA568" i="7"/>
  <c r="AC568" i="7"/>
  <c r="AN568" i="7" l="1"/>
  <c r="AI568" i="7" s="1"/>
  <c r="AM568" i="7"/>
  <c r="AG568" i="7" s="1"/>
  <c r="AO568" i="7"/>
  <c r="AK568" i="7" s="1"/>
  <c r="AH568" i="7"/>
  <c r="AE568" i="7" l="1"/>
  <c r="AF568" i="7"/>
  <c r="AJ568" i="7"/>
  <c r="AD568" i="7" s="1"/>
  <c r="AB569" i="7" l="1"/>
  <c r="Z569" i="7"/>
  <c r="AA569" i="7"/>
  <c r="AC569" i="7"/>
  <c r="AO569" i="7" l="1"/>
  <c r="AJ569" i="7" s="1"/>
  <c r="AN569" i="7"/>
  <c r="AH569" i="7" s="1"/>
  <c r="AM569" i="7"/>
  <c r="AG569" i="7" s="1"/>
  <c r="AK569" i="7"/>
  <c r="AI569" i="7" l="1"/>
  <c r="AF569" i="7"/>
  <c r="AD569" i="7" s="1"/>
  <c r="AB570" i="7" s="1"/>
  <c r="AE569" i="7"/>
  <c r="Z570" i="7" l="1"/>
  <c r="AC570" i="7"/>
  <c r="AA570" i="7"/>
  <c r="AO570" i="7" s="1"/>
  <c r="AJ570" i="7" s="1"/>
  <c r="AM570" i="7"/>
  <c r="AG570" i="7" s="1"/>
  <c r="AN570" i="7" l="1"/>
  <c r="AH570" i="7" s="1"/>
  <c r="AF570" i="7"/>
  <c r="AD570" i="7" s="1"/>
  <c r="AK570" i="7"/>
  <c r="AI570" i="7"/>
  <c r="AE570" i="7" l="1"/>
  <c r="AA571" i="7" s="1"/>
  <c r="AC571" i="7"/>
  <c r="AB571" i="7"/>
  <c r="Z571" i="7"/>
  <c r="AO571" i="7" l="1"/>
  <c r="AK571" i="7" s="1"/>
  <c r="AM571" i="7"/>
  <c r="AG571" i="7" s="1"/>
  <c r="AN571" i="7"/>
  <c r="AJ571" i="7"/>
  <c r="AF571" i="7" l="1"/>
  <c r="AH571" i="7"/>
  <c r="AD571" i="7" s="1"/>
  <c r="AI571" i="7"/>
  <c r="AE571" i="7" s="1"/>
  <c r="AA572" i="7" l="1"/>
  <c r="AC572" i="7"/>
  <c r="AB572" i="7"/>
  <c r="Z572" i="7"/>
  <c r="AM572" i="7" l="1"/>
  <c r="AG572" i="7" s="1"/>
  <c r="AN572" i="7"/>
  <c r="AI572" i="7" s="1"/>
  <c r="AO572" i="7"/>
  <c r="AK572" i="7" s="1"/>
  <c r="AF572" i="7"/>
  <c r="AH572" i="7"/>
  <c r="AE572" i="7" l="1"/>
  <c r="AJ572" i="7"/>
  <c r="AD572" i="7" s="1"/>
  <c r="AB573" i="7" l="1"/>
  <c r="Z573" i="7"/>
  <c r="AC573" i="7"/>
  <c r="AA573" i="7"/>
  <c r="AN573" i="7" l="1"/>
  <c r="AH573" i="7" s="1"/>
  <c r="AO573" i="7"/>
  <c r="AJ573" i="7" s="1"/>
  <c r="AM573" i="7"/>
  <c r="AG573" i="7" s="1"/>
  <c r="AF573" i="7" l="1"/>
  <c r="AD573" i="7" s="1"/>
  <c r="AI573" i="7"/>
  <c r="AK573" i="7"/>
  <c r="AE573" i="7" l="1"/>
  <c r="AC574" i="7"/>
  <c r="AA574" i="7"/>
  <c r="Z574" i="7"/>
  <c r="AB574" i="7"/>
  <c r="AO574" i="7" l="1"/>
  <c r="AK574" i="7" s="1"/>
  <c r="AM574" i="7"/>
  <c r="AF574" i="7" s="1"/>
  <c r="AN574" i="7"/>
  <c r="AI574" i="7" s="1"/>
  <c r="AJ574" i="7"/>
  <c r="AG574" i="7"/>
  <c r="AE574" i="7" l="1"/>
  <c r="AH574" i="7"/>
  <c r="AD574" i="7" s="1"/>
  <c r="AB575" i="7" l="1"/>
  <c r="Z575" i="7"/>
  <c r="AA575" i="7"/>
  <c r="AC575" i="7"/>
  <c r="AO575" i="7" l="1"/>
  <c r="AJ575" i="7" s="1"/>
  <c r="AN575" i="7"/>
  <c r="AI575" i="7" s="1"/>
  <c r="AM575" i="7"/>
  <c r="AG575" i="7" s="1"/>
  <c r="AH575" i="7"/>
  <c r="AK575" i="7"/>
  <c r="AE575" i="7" l="1"/>
  <c r="AC576" i="7"/>
  <c r="AA576" i="7"/>
  <c r="AF575" i="7"/>
  <c r="AD575" i="7" s="1"/>
  <c r="Z576" i="7" l="1"/>
  <c r="AB576" i="7"/>
  <c r="AO576" i="7" l="1"/>
  <c r="AN576" i="7"/>
  <c r="AM576" i="7"/>
  <c r="AF576" i="7" l="1"/>
  <c r="AG576" i="7"/>
  <c r="AH576" i="7"/>
  <c r="AI576" i="7"/>
  <c r="AJ576" i="7"/>
  <c r="AK576" i="7"/>
  <c r="AE576" i="7" l="1"/>
  <c r="AD576" i="7"/>
  <c r="AB577" i="7" l="1"/>
  <c r="Z577" i="7"/>
  <c r="AC577" i="7"/>
  <c r="AA577" i="7"/>
  <c r="AO577" i="7" l="1"/>
  <c r="AJ577" i="7" s="1"/>
  <c r="AN577" i="7"/>
  <c r="AM577" i="7"/>
  <c r="AF577" i="7" s="1"/>
  <c r="AH577" i="7"/>
  <c r="AI577" i="7"/>
  <c r="AK577" i="7"/>
  <c r="AG577" i="7" l="1"/>
  <c r="AE577" i="7" s="1"/>
  <c r="AD577" i="7"/>
  <c r="AB578" i="7" l="1"/>
  <c r="Z578" i="7"/>
  <c r="AA578" i="7"/>
  <c r="AC578" i="7"/>
  <c r="AN578" i="7" l="1"/>
  <c r="AH578" i="7" s="1"/>
  <c r="AM578" i="7"/>
  <c r="AF578" i="7" s="1"/>
  <c r="AO578" i="7"/>
  <c r="AK578" i="7" s="1"/>
  <c r="AJ578" i="7" l="1"/>
  <c r="AI578" i="7"/>
  <c r="AD578" i="7"/>
  <c r="AG578" i="7"/>
  <c r="AE578" i="7" s="1"/>
  <c r="Z579" i="7" l="1"/>
  <c r="AB579" i="7"/>
  <c r="AC579" i="7"/>
  <c r="AA579" i="7"/>
  <c r="AO579" i="7" l="1"/>
  <c r="AJ579" i="7" s="1"/>
  <c r="AN579" i="7"/>
  <c r="AH579" i="7" s="1"/>
  <c r="AM579" i="7"/>
  <c r="AG579" i="7" s="1"/>
  <c r="AF579" i="7" l="1"/>
  <c r="AD579" i="7" s="1"/>
  <c r="AK579" i="7"/>
  <c r="AI579" i="7"/>
  <c r="AE579" i="7" l="1"/>
  <c r="Z580" i="7"/>
  <c r="AB580" i="7"/>
  <c r="AC580" i="7"/>
  <c r="AA580" i="7"/>
  <c r="AN580" i="7" s="1"/>
  <c r="AM580" i="7"/>
  <c r="AG580" i="7" s="1"/>
  <c r="AO580" i="7" l="1"/>
  <c r="AK580" i="7" s="1"/>
  <c r="AI580" i="7"/>
  <c r="AH580" i="7"/>
  <c r="AE580" i="7"/>
  <c r="AF580" i="7"/>
  <c r="AA581" i="7"/>
  <c r="AJ580" i="7"/>
  <c r="AC581" i="7"/>
  <c r="AD580" i="7" l="1"/>
  <c r="AB581" i="7" l="1"/>
  <c r="Z581" i="7"/>
  <c r="AO581" i="7" l="1"/>
  <c r="AK581" i="7" s="1"/>
  <c r="AM581" i="7"/>
  <c r="AG581" i="7" s="1"/>
  <c r="AN581" i="7"/>
  <c r="AI581" i="7" s="1"/>
  <c r="AJ581" i="7"/>
  <c r="AF581" i="7" l="1"/>
  <c r="AE581" i="7"/>
  <c r="AH581" i="7"/>
  <c r="AD581" i="7" l="1"/>
  <c r="Z582" i="7"/>
  <c r="AB582" i="7"/>
  <c r="AA582" i="7"/>
  <c r="AC582" i="7"/>
  <c r="AM582" i="7" l="1"/>
  <c r="AG582" i="7" s="1"/>
  <c r="AN582" i="7"/>
  <c r="AH582" i="7" s="1"/>
  <c r="AO582" i="7"/>
  <c r="AK582" i="7" s="1"/>
  <c r="AJ582" i="7" l="1"/>
  <c r="AI582" i="7"/>
  <c r="AE582" i="7" s="1"/>
  <c r="AF582" i="7"/>
  <c r="AD582" i="7" s="1"/>
  <c r="AC583" i="7" l="1"/>
  <c r="AA583" i="7"/>
  <c r="AB583" i="7"/>
  <c r="Z583" i="7"/>
  <c r="AM583" i="7" l="1"/>
  <c r="AF583" i="7" s="1"/>
  <c r="AN583" i="7"/>
  <c r="AI583" i="7" s="1"/>
  <c r="AO583" i="7"/>
  <c r="AJ583" i="7" s="1"/>
  <c r="AG583" i="7"/>
  <c r="AK583" i="7" l="1"/>
  <c r="AE583" i="7" s="1"/>
  <c r="AH583" i="7"/>
  <c r="AD583" i="7" s="1"/>
  <c r="Z584" i="7" l="1"/>
  <c r="AB584" i="7"/>
  <c r="AC584" i="7"/>
  <c r="AA584" i="7"/>
  <c r="AM584" i="7" l="1"/>
  <c r="AG584" i="7" s="1"/>
  <c r="AO584" i="7"/>
  <c r="AK584" i="7" s="1"/>
  <c r="AN584" i="7"/>
  <c r="AI584" i="7" s="1"/>
  <c r="AH584" i="7"/>
  <c r="AE584" i="7" l="1"/>
  <c r="AF584" i="7"/>
  <c r="AJ584" i="7"/>
  <c r="AD584" i="7" l="1"/>
  <c r="AC585" i="7"/>
  <c r="AA585" i="7"/>
  <c r="Z585" i="7" l="1"/>
  <c r="AB585" i="7"/>
  <c r="AM585" i="7" l="1"/>
  <c r="AN585" i="7"/>
  <c r="AO585" i="7"/>
  <c r="AK585" i="7" s="1"/>
  <c r="AH585" i="7" l="1"/>
  <c r="AI585" i="7"/>
  <c r="AJ585" i="7"/>
  <c r="AF585" i="7"/>
  <c r="AG585" i="7"/>
  <c r="AD585" i="7" l="1"/>
  <c r="AE585" i="7"/>
  <c r="Z586" i="7"/>
  <c r="AB586" i="7"/>
  <c r="AA586" i="7" l="1"/>
  <c r="AO586" i="7" s="1"/>
  <c r="AJ586" i="7" s="1"/>
  <c r="AC586" i="7"/>
  <c r="AM586" i="7" l="1"/>
  <c r="AF586" i="7" s="1"/>
  <c r="AN586" i="7"/>
  <c r="AH586" i="7" s="1"/>
  <c r="AK586" i="7"/>
  <c r="AI586" i="7"/>
  <c r="AG586" i="7"/>
  <c r="AE586" i="7" l="1"/>
  <c r="AA587" i="7" s="1"/>
  <c r="AD586" i="7"/>
  <c r="AC587" i="7"/>
  <c r="AB587" i="7" l="1"/>
  <c r="Z587" i="7"/>
  <c r="AN587" i="7" l="1"/>
  <c r="AM587" i="7"/>
  <c r="AO587" i="7"/>
  <c r="AJ587" i="7" l="1"/>
  <c r="AK587" i="7"/>
  <c r="AF587" i="7"/>
  <c r="AG587" i="7"/>
  <c r="AH587" i="7"/>
  <c r="AI587" i="7"/>
  <c r="AE587" i="7" l="1"/>
  <c r="AD587" i="7"/>
  <c r="AC588" i="7" l="1"/>
  <c r="AA588" i="7"/>
  <c r="Z588" i="7"/>
  <c r="AB588" i="7"/>
  <c r="AO588" i="7" l="1"/>
  <c r="AM588" i="7"/>
  <c r="AN588" i="7"/>
  <c r="AH588" i="7" l="1"/>
  <c r="AI588" i="7"/>
  <c r="AF588" i="7"/>
  <c r="AG588" i="7"/>
  <c r="AJ588" i="7"/>
  <c r="AK588" i="7"/>
  <c r="AD588" i="7" l="1"/>
  <c r="AE588" i="7"/>
  <c r="AC589" i="7" l="1"/>
  <c r="AA589" i="7"/>
  <c r="AB589" i="7"/>
  <c r="Z589" i="7"/>
  <c r="AO589" i="7" l="1"/>
  <c r="AK589" i="7" s="1"/>
  <c r="AN589" i="7"/>
  <c r="AI589" i="7" s="1"/>
  <c r="AM589" i="7"/>
  <c r="AG589" i="7" s="1"/>
  <c r="AE589" i="7" l="1"/>
  <c r="AA590" i="7" s="1"/>
  <c r="AH589" i="7"/>
  <c r="AJ589" i="7"/>
  <c r="AF589" i="7"/>
  <c r="AC590" i="7"/>
  <c r="AD589" i="7" l="1"/>
  <c r="AB590" i="7"/>
  <c r="Z590" i="7"/>
  <c r="AN590" i="7" l="1"/>
  <c r="AI590" i="7" s="1"/>
  <c r="AO590" i="7"/>
  <c r="AK590" i="7" s="1"/>
  <c r="AH590" i="7"/>
  <c r="AM590" i="7"/>
  <c r="AG590" i="7" s="1"/>
  <c r="AJ590" i="7"/>
  <c r="AE590" i="7" l="1"/>
  <c r="AA591" i="7"/>
  <c r="AC591" i="7"/>
  <c r="AF590" i="7"/>
  <c r="AD590" i="7" s="1"/>
  <c r="Z591" i="7" l="1"/>
  <c r="AB591" i="7"/>
  <c r="AN591" i="7" l="1"/>
  <c r="AI591" i="7" s="1"/>
  <c r="AO591" i="7"/>
  <c r="AK591" i="7" s="1"/>
  <c r="AM591" i="7"/>
  <c r="AG591" i="7" s="1"/>
  <c r="AH591" i="7"/>
  <c r="AJ591" i="7" l="1"/>
  <c r="AF591" i="7"/>
  <c r="AE591" i="7"/>
  <c r="AA592" i="7" s="1"/>
  <c r="AD591" i="7"/>
  <c r="AC592" i="7" l="1"/>
  <c r="Z592" i="7"/>
  <c r="AB592" i="7"/>
  <c r="AN592" i="7" l="1"/>
  <c r="AI592" i="7" s="1"/>
  <c r="AH592" i="7"/>
  <c r="AM592" i="7"/>
  <c r="AG592" i="7" s="1"/>
  <c r="AO592" i="7"/>
  <c r="AK592" i="7" s="1"/>
  <c r="AE592" i="7" l="1"/>
  <c r="AF592" i="7"/>
  <c r="AC593" i="7"/>
  <c r="AA593" i="7"/>
  <c r="AJ592" i="7"/>
  <c r="AD592" i="7" l="1"/>
  <c r="Z593" i="7" l="1"/>
  <c r="AB593" i="7"/>
  <c r="AN593" i="7" l="1"/>
  <c r="AO593" i="7"/>
  <c r="AM593" i="7"/>
  <c r="AJ593" i="7" l="1"/>
  <c r="AK593" i="7"/>
  <c r="AF593" i="7"/>
  <c r="AG593" i="7"/>
  <c r="AH593" i="7"/>
  <c r="AI593" i="7"/>
  <c r="AE593" i="7" l="1"/>
  <c r="AD593" i="7"/>
  <c r="AB594" i="7" l="1"/>
  <c r="Z594" i="7"/>
  <c r="AA594" i="7"/>
  <c r="AC594" i="7"/>
  <c r="AN594" i="7" l="1"/>
  <c r="AH594" i="7" s="1"/>
  <c r="AM594" i="7"/>
  <c r="AG594" i="7" s="1"/>
  <c r="AO594" i="7"/>
  <c r="AJ594" i="7" s="1"/>
  <c r="AK594" i="7" l="1"/>
  <c r="AI594" i="7"/>
  <c r="AE594" i="7" s="1"/>
  <c r="AF594" i="7"/>
  <c r="AD594" i="7" s="1"/>
  <c r="AC595" i="7" l="1"/>
  <c r="AA595" i="7"/>
  <c r="Z595" i="7"/>
  <c r="AB595" i="7"/>
  <c r="AO595" i="7" l="1"/>
  <c r="AJ595" i="7" s="1"/>
  <c r="AM595" i="7"/>
  <c r="AF595" i="7" s="1"/>
  <c r="AN595" i="7"/>
  <c r="AH595" i="7" s="1"/>
  <c r="AK595" i="7"/>
  <c r="AG595" i="7"/>
  <c r="AI595" i="7" l="1"/>
  <c r="AE595" i="7" s="1"/>
  <c r="AD595" i="7"/>
  <c r="AA596" i="7" l="1"/>
  <c r="AC596" i="7"/>
  <c r="AB596" i="7"/>
  <c r="Z596" i="7"/>
  <c r="AO596" i="7" l="1"/>
  <c r="AK596" i="7" s="1"/>
  <c r="AN596" i="7"/>
  <c r="AI596" i="7" s="1"/>
  <c r="AM596" i="7"/>
  <c r="AG596" i="7" s="1"/>
  <c r="AJ596" i="7"/>
  <c r="AE596" i="7" l="1"/>
  <c r="AH596" i="7"/>
  <c r="AC597" i="7"/>
  <c r="AA597" i="7"/>
  <c r="AF596" i="7"/>
  <c r="AD596" i="7" s="1"/>
  <c r="AB597" i="7" l="1"/>
  <c r="Z597" i="7"/>
  <c r="AO597" i="7" l="1"/>
  <c r="AM597" i="7"/>
  <c r="AG597" i="7" s="1"/>
  <c r="AN597" i="7"/>
  <c r="AF597" i="7" l="1"/>
  <c r="AH597" i="7"/>
  <c r="AI597" i="7"/>
  <c r="AJ597" i="7"/>
  <c r="AK597" i="7"/>
  <c r="AD597" i="7" l="1"/>
  <c r="Z598" i="7"/>
  <c r="AB598" i="7"/>
  <c r="AE597" i="7"/>
  <c r="AA598" i="7" l="1"/>
  <c r="AC598" i="7"/>
  <c r="AO598" i="7"/>
  <c r="AK598" i="7" s="1"/>
  <c r="AN598" i="7"/>
  <c r="AI598" i="7" s="1"/>
  <c r="AM598" i="7"/>
  <c r="AF598" i="7" s="1"/>
  <c r="AJ598" i="7" l="1"/>
  <c r="AH598" i="7"/>
  <c r="AG598" i="7"/>
  <c r="AE598" i="7" s="1"/>
  <c r="AA599" i="7" s="1"/>
  <c r="AD598" i="7" l="1"/>
  <c r="Z599" i="7"/>
  <c r="AB599" i="7"/>
  <c r="AC599" i="7"/>
  <c r="AM599" i="7" l="1"/>
  <c r="AG599" i="7" s="1"/>
  <c r="AF599" i="7"/>
  <c r="AN599" i="7"/>
  <c r="AI599" i="7" s="1"/>
  <c r="AO599" i="7"/>
  <c r="AK599" i="7" s="1"/>
  <c r="AH599" i="7" l="1"/>
  <c r="AJ599" i="7"/>
  <c r="AD599" i="7" s="1"/>
  <c r="AE599" i="7"/>
  <c r="AC600" i="7" l="1"/>
  <c r="AA600" i="7"/>
  <c r="AB600" i="7"/>
  <c r="Z600" i="7"/>
  <c r="AM600" i="7" l="1"/>
  <c r="AG600" i="7" s="1"/>
  <c r="AO600" i="7"/>
  <c r="AJ600" i="7" s="1"/>
  <c r="AN600" i="7"/>
  <c r="AH600" i="7" s="1"/>
  <c r="AF600" i="7"/>
  <c r="AK600" i="7"/>
  <c r="AD600" i="7" l="1"/>
  <c r="AB601" i="7" s="1"/>
  <c r="Z601" i="7"/>
  <c r="AI600" i="7"/>
  <c r="AE600" i="7" s="1"/>
  <c r="AC601" i="7" l="1"/>
  <c r="AA601" i="7"/>
  <c r="AN601" i="7"/>
  <c r="AI601" i="7" s="1"/>
  <c r="AO601" i="7"/>
  <c r="AK601" i="7" s="1"/>
  <c r="AM601" i="7"/>
  <c r="AG601" i="7" s="1"/>
  <c r="AE601" i="7" s="1"/>
  <c r="AH601" i="7"/>
  <c r="AJ601" i="7"/>
  <c r="AF601" i="7" l="1"/>
  <c r="AD601" i="7"/>
  <c r="AA602" i="7"/>
  <c r="AC602" i="7"/>
  <c r="AB602" i="7" l="1"/>
  <c r="Z602" i="7"/>
  <c r="AM602" i="7" l="1"/>
  <c r="AG602" i="7" s="1"/>
  <c r="AO602" i="7"/>
  <c r="AK602" i="7" s="1"/>
  <c r="AN602" i="7"/>
  <c r="AI602" i="7" s="1"/>
  <c r="AF602" i="7"/>
  <c r="AH602" i="7"/>
  <c r="AJ602" i="7" l="1"/>
  <c r="AD602" i="7" s="1"/>
  <c r="AE602" i="7"/>
  <c r="AB603" i="7" l="1"/>
  <c r="Z603" i="7"/>
  <c r="AC603" i="7"/>
  <c r="AA603" i="7"/>
  <c r="AM603" i="7" s="1"/>
  <c r="AG603" i="7" l="1"/>
  <c r="AF603" i="7"/>
  <c r="AN603" i="7"/>
  <c r="AO603" i="7"/>
  <c r="AI603" i="7" l="1"/>
  <c r="AH603" i="7"/>
  <c r="AK603" i="7"/>
  <c r="AE603" i="7" s="1"/>
  <c r="AJ603" i="7"/>
  <c r="AD603" i="7" s="1"/>
  <c r="AB604" i="7" l="1"/>
  <c r="Z604" i="7"/>
  <c r="AC604" i="7"/>
  <c r="AA604" i="7"/>
  <c r="AN604" i="7" l="1"/>
  <c r="AI604" i="7" s="1"/>
  <c r="AO604" i="7"/>
  <c r="AK604" i="7" s="1"/>
  <c r="AM604" i="7"/>
  <c r="AG604" i="7" s="1"/>
  <c r="AE604" i="7" s="1"/>
  <c r="AA605" i="7" s="1"/>
  <c r="AH604" i="7"/>
  <c r="AJ604" i="7"/>
  <c r="AF604" i="7" l="1"/>
  <c r="AD604" i="7"/>
  <c r="AC605" i="7"/>
  <c r="AB605" i="7" l="1"/>
  <c r="Z605" i="7"/>
  <c r="AO605" i="7" l="1"/>
  <c r="AK605" i="7" s="1"/>
  <c r="AM605" i="7"/>
  <c r="AN605" i="7"/>
  <c r="AJ605" i="7" l="1"/>
  <c r="AI605" i="7"/>
  <c r="AH605" i="7"/>
  <c r="AG605" i="7"/>
  <c r="AE605" i="7" s="1"/>
  <c r="AF605" i="7"/>
  <c r="AD605" i="7" s="1"/>
  <c r="AB606" i="7" s="1"/>
  <c r="Z606" i="7" l="1"/>
  <c r="AC606" i="7"/>
  <c r="AA606" i="7"/>
  <c r="AM606" i="7" s="1"/>
  <c r="AN606" i="7"/>
  <c r="AI606" i="7" s="1"/>
  <c r="AO606" i="7"/>
  <c r="AK606" i="7" s="1"/>
  <c r="AH606" i="7"/>
  <c r="AG606" i="7" l="1"/>
  <c r="AF606" i="7"/>
  <c r="AJ606" i="7"/>
  <c r="AE606" i="7"/>
  <c r="AD606" i="7" l="1"/>
  <c r="Z607" i="7"/>
  <c r="AB607" i="7"/>
  <c r="AA607" i="7"/>
  <c r="AC607" i="7"/>
  <c r="AN607" i="7" l="1"/>
  <c r="AH607" i="7" s="1"/>
  <c r="AM607" i="7"/>
  <c r="AG607" i="7" s="1"/>
  <c r="AO607" i="7"/>
  <c r="AK607" i="7" s="1"/>
  <c r="AJ607" i="7" l="1"/>
  <c r="AF607" i="7"/>
  <c r="AD607" i="7" s="1"/>
  <c r="AI607" i="7"/>
  <c r="AE607" i="7" s="1"/>
  <c r="AC608" i="7" l="1"/>
  <c r="AA608" i="7"/>
  <c r="Z608" i="7"/>
  <c r="AB608" i="7"/>
  <c r="AN608" i="7" l="1"/>
  <c r="AH608" i="7" s="1"/>
  <c r="AM608" i="7"/>
  <c r="AF608" i="7" s="1"/>
  <c r="AO608" i="7"/>
  <c r="AJ608" i="7" s="1"/>
  <c r="AD608" i="7" l="1"/>
  <c r="Z609" i="7" s="1"/>
  <c r="AK608" i="7"/>
  <c r="AG608" i="7"/>
  <c r="AI608" i="7"/>
  <c r="AB609" i="7" l="1"/>
  <c r="AE608" i="7"/>
  <c r="AA609" i="7" l="1"/>
  <c r="AC609" i="7"/>
  <c r="AN609" i="7" l="1"/>
  <c r="AM609" i="7"/>
  <c r="AO609" i="7"/>
  <c r="AG609" i="7" l="1"/>
  <c r="AF609" i="7"/>
  <c r="AK609" i="7"/>
  <c r="AJ609" i="7"/>
  <c r="AI609" i="7"/>
  <c r="AH609" i="7"/>
  <c r="AD609" i="7" l="1"/>
  <c r="AE609" i="7"/>
  <c r="AC610" i="7" l="1"/>
  <c r="AA610" i="7"/>
  <c r="Z610" i="7"/>
  <c r="AB610" i="7"/>
  <c r="AN610" i="7" l="1"/>
  <c r="AI610" i="7" s="1"/>
  <c r="AM610" i="7"/>
  <c r="AG610" i="7" s="1"/>
  <c r="AO610" i="7"/>
  <c r="AK610" i="7" s="1"/>
  <c r="AE610" i="7" l="1"/>
  <c r="AH610" i="7"/>
  <c r="AJ610" i="7"/>
  <c r="AF610" i="7"/>
  <c r="AD610" i="7" l="1"/>
  <c r="AB611" i="7"/>
  <c r="Z611" i="7"/>
  <c r="AA611" i="7"/>
  <c r="AC611" i="7"/>
  <c r="AM611" i="7" l="1"/>
  <c r="AG611" i="7" s="1"/>
  <c r="AO611" i="7"/>
  <c r="AK611" i="7" s="1"/>
  <c r="AN611" i="7"/>
  <c r="AH611" i="7" s="1"/>
  <c r="AF611" i="7"/>
  <c r="AJ611" i="7"/>
  <c r="AD611" i="7" l="1"/>
  <c r="AI611" i="7"/>
  <c r="AE611" i="7" s="1"/>
  <c r="AC612" i="7" l="1"/>
  <c r="AA612" i="7"/>
  <c r="AB612" i="7"/>
  <c r="Z612" i="7"/>
  <c r="AO612" i="7" l="1"/>
  <c r="AJ612" i="7" s="1"/>
  <c r="AM612" i="7"/>
  <c r="AF612" i="7" s="1"/>
  <c r="AN612" i="7"/>
  <c r="AH612" i="7" s="1"/>
  <c r="AD612" i="7" l="1"/>
  <c r="AG612" i="7"/>
  <c r="AK612" i="7"/>
  <c r="AI612" i="7"/>
  <c r="AE612" i="7" l="1"/>
  <c r="AB613" i="7"/>
  <c r="Z613" i="7"/>
  <c r="AC613" i="7" l="1"/>
  <c r="AA613" i="7"/>
  <c r="AM613" i="7" l="1"/>
  <c r="AF613" i="7" s="1"/>
  <c r="AG613" i="7"/>
  <c r="AO613" i="7"/>
  <c r="AJ613" i="7" s="1"/>
  <c r="AN613" i="7"/>
  <c r="AH613" i="7" s="1"/>
  <c r="AI613" i="7" l="1"/>
  <c r="AD613" i="7"/>
  <c r="AK613" i="7"/>
  <c r="AE613" i="7" s="1"/>
  <c r="AC614" i="7" l="1"/>
  <c r="AA614" i="7"/>
  <c r="AB614" i="7"/>
  <c r="Z614" i="7"/>
  <c r="AM614" i="7" l="1"/>
  <c r="AF614" i="7" s="1"/>
  <c r="AN614" i="7"/>
  <c r="AH614" i="7" s="1"/>
  <c r="AO614" i="7"/>
  <c r="AJ614" i="7" s="1"/>
  <c r="AK614" i="7"/>
  <c r="AI614" i="7"/>
  <c r="AG614" i="7"/>
  <c r="AE614" i="7" l="1"/>
  <c r="AA615" i="7" s="1"/>
  <c r="AD614" i="7"/>
  <c r="AC615" i="7"/>
  <c r="AB615" i="7" l="1"/>
  <c r="Z615" i="7"/>
  <c r="AM615" i="7" l="1"/>
  <c r="AO615" i="7"/>
  <c r="AN615" i="7"/>
  <c r="AJ615" i="7" l="1"/>
  <c r="AK615" i="7"/>
  <c r="AH615" i="7"/>
  <c r="AI615" i="7"/>
  <c r="AF615" i="7"/>
  <c r="AD615" i="7" s="1"/>
  <c r="AG615" i="7"/>
  <c r="AE615" i="7" s="1"/>
  <c r="AC616" i="7" l="1"/>
  <c r="AA616" i="7"/>
  <c r="AB616" i="7"/>
  <c r="Z616" i="7"/>
  <c r="AM616" i="7" l="1"/>
  <c r="AG616" i="7" s="1"/>
  <c r="AN616" i="7"/>
  <c r="AI616" i="7" s="1"/>
  <c r="AO616" i="7"/>
  <c r="AK616" i="7" s="1"/>
  <c r="AJ616" i="7" l="1"/>
  <c r="AF616" i="7"/>
  <c r="AH616" i="7"/>
  <c r="AE616" i="7"/>
  <c r="AD616" i="7" l="1"/>
  <c r="AB617" i="7"/>
  <c r="Z617" i="7"/>
  <c r="AA617" i="7"/>
  <c r="AC617" i="7"/>
  <c r="AN617" i="7" l="1"/>
  <c r="AH617" i="7" s="1"/>
  <c r="AO617" i="7"/>
  <c r="AK617" i="7" s="1"/>
  <c r="AM617" i="7"/>
  <c r="AG617" i="7" s="1"/>
  <c r="AF617" i="7" l="1"/>
  <c r="AJ617" i="7"/>
  <c r="AI617" i="7"/>
  <c r="AE617" i="7" s="1"/>
  <c r="AC618" i="7" l="1"/>
  <c r="AA618" i="7"/>
  <c r="AD617" i="7"/>
  <c r="AB618" i="7" l="1"/>
  <c r="Z618" i="7"/>
  <c r="AN618" i="7" l="1"/>
  <c r="AM618" i="7"/>
  <c r="AO618" i="7"/>
  <c r="AF618" i="7" l="1"/>
  <c r="AG618" i="7"/>
  <c r="AJ618" i="7"/>
  <c r="AK618" i="7"/>
  <c r="AH618" i="7"/>
  <c r="AI618" i="7"/>
  <c r="AE618" i="7" l="1"/>
  <c r="AD618" i="7"/>
  <c r="Z619" i="7" l="1"/>
  <c r="AB619" i="7"/>
  <c r="AA619" i="7"/>
  <c r="AC619" i="7"/>
  <c r="AN619" i="7" l="1"/>
  <c r="AH619" i="7" s="1"/>
  <c r="AM619" i="7"/>
  <c r="AF619" i="7" s="1"/>
  <c r="AO619" i="7"/>
  <c r="AJ619" i="7" s="1"/>
  <c r="AG619" i="7" l="1"/>
  <c r="AD619" i="7"/>
  <c r="AK619" i="7"/>
  <c r="AI619" i="7"/>
  <c r="Z620" i="7" l="1"/>
  <c r="AB620" i="7"/>
  <c r="AE619" i="7"/>
  <c r="AC620" i="7" l="1"/>
  <c r="AA620" i="7"/>
  <c r="AM620" i="7" s="1"/>
  <c r="AG620" i="7" s="1"/>
  <c r="AO620" i="7"/>
  <c r="AK620" i="7" s="1"/>
  <c r="AN620" i="7" l="1"/>
  <c r="AI620" i="7" s="1"/>
  <c r="AE620" i="7" s="1"/>
  <c r="AF620" i="7"/>
  <c r="AH620" i="7"/>
  <c r="AJ620" i="7"/>
  <c r="AA621" i="7" l="1"/>
  <c r="AC621" i="7"/>
  <c r="AD620" i="7"/>
  <c r="Z621" i="7" l="1"/>
  <c r="AB621" i="7"/>
  <c r="AM621" i="7" l="1"/>
  <c r="AN621" i="7"/>
  <c r="AO621" i="7"/>
  <c r="AJ621" i="7" l="1"/>
  <c r="AK621" i="7"/>
  <c r="AF621" i="7"/>
  <c r="AG621" i="7"/>
  <c r="AH621" i="7"/>
  <c r="AI621" i="7"/>
  <c r="AE621" i="7" l="1"/>
  <c r="AD621" i="7"/>
  <c r="Z622" i="7" l="1"/>
  <c r="AB622" i="7"/>
  <c r="AC622" i="7"/>
  <c r="AA622" i="7"/>
  <c r="AN622" i="7" l="1"/>
  <c r="AH622" i="7" s="1"/>
  <c r="AM622" i="7"/>
  <c r="AF622" i="7" s="1"/>
  <c r="AO622" i="7"/>
  <c r="AJ622" i="7" s="1"/>
  <c r="AD622" i="7" l="1"/>
  <c r="Z623" i="7" s="1"/>
  <c r="AK622" i="7"/>
  <c r="AB623" i="7"/>
  <c r="AI622" i="7"/>
  <c r="AG622" i="7"/>
  <c r="AE622" i="7" l="1"/>
  <c r="AC623" i="7"/>
  <c r="AA623" i="7"/>
  <c r="AN623" i="7" l="1"/>
  <c r="AO623" i="7"/>
  <c r="AM623" i="7"/>
  <c r="AK623" i="7" l="1"/>
  <c r="AJ623" i="7"/>
  <c r="AG623" i="7"/>
  <c r="AF623" i="7"/>
  <c r="AI623" i="7"/>
  <c r="AH623" i="7"/>
  <c r="AD623" i="7" l="1"/>
  <c r="AE623" i="7"/>
  <c r="AC624" i="7" l="1"/>
  <c r="AA624" i="7"/>
  <c r="Z624" i="7"/>
  <c r="AB624" i="7"/>
  <c r="AN624" i="7" l="1"/>
  <c r="AI624" i="7" s="1"/>
  <c r="AO624" i="7"/>
  <c r="AK624" i="7" s="1"/>
  <c r="AM624" i="7"/>
  <c r="AG624" i="7" s="1"/>
  <c r="AH624" i="7" l="1"/>
  <c r="AE624" i="7"/>
  <c r="AC625" i="7" s="1"/>
  <c r="AF624" i="7"/>
  <c r="AJ624" i="7"/>
  <c r="AA625" i="7" l="1"/>
  <c r="AD624" i="7"/>
  <c r="AB625" i="7" s="1"/>
  <c r="Z625" i="7"/>
  <c r="AO625" i="7" l="1"/>
  <c r="AN625" i="7"/>
  <c r="AM625" i="7"/>
  <c r="AH625" i="7" l="1"/>
  <c r="AI625" i="7"/>
  <c r="AF625" i="7"/>
  <c r="AG625" i="7"/>
  <c r="AJ625" i="7"/>
  <c r="AK625" i="7"/>
  <c r="AE625" i="7" l="1"/>
  <c r="AD625" i="7"/>
  <c r="Z626" i="7" l="1"/>
  <c r="AB626" i="7"/>
  <c r="AC626" i="7"/>
  <c r="AA626" i="7"/>
  <c r="AM626" i="7" l="1"/>
  <c r="AF626" i="7" s="1"/>
  <c r="AO626" i="7"/>
  <c r="AJ626" i="7" s="1"/>
  <c r="AN626" i="7"/>
  <c r="AH626" i="7" s="1"/>
  <c r="AD626" i="7" l="1"/>
  <c r="AB627" i="7" s="1"/>
  <c r="AI626" i="7"/>
  <c r="AK626" i="7"/>
  <c r="Z627" i="7"/>
  <c r="AG626" i="7"/>
  <c r="AE626" i="7" s="1"/>
  <c r="AA627" i="7" l="1"/>
  <c r="AC627" i="7"/>
  <c r="AM627" i="7"/>
  <c r="AF627" i="7" s="1"/>
  <c r="AN627" i="7"/>
  <c r="AH627" i="7" s="1"/>
  <c r="AO627" i="7"/>
  <c r="AJ627" i="7" s="1"/>
  <c r="AD627" i="7" l="1"/>
  <c r="AK627" i="7"/>
  <c r="AI627" i="7"/>
  <c r="AG627" i="7"/>
  <c r="AE627" i="7" l="1"/>
  <c r="AC628" i="7" s="1"/>
  <c r="AA628" i="7"/>
  <c r="AB628" i="7"/>
  <c r="Z628" i="7"/>
  <c r="AO628" i="7" l="1"/>
  <c r="AJ628" i="7" s="1"/>
  <c r="AM628" i="7"/>
  <c r="AF628" i="7" s="1"/>
  <c r="AN628" i="7"/>
  <c r="AH628" i="7" s="1"/>
  <c r="AG628" i="7"/>
  <c r="AI628" i="7" l="1"/>
  <c r="AD628" i="7"/>
  <c r="AK628" i="7"/>
  <c r="AE628" i="7" s="1"/>
  <c r="AC629" i="7" l="1"/>
  <c r="AA629" i="7"/>
  <c r="AB629" i="7"/>
  <c r="Z629" i="7"/>
  <c r="AO629" i="7" l="1"/>
  <c r="AJ629" i="7" s="1"/>
  <c r="AM629" i="7"/>
  <c r="AF629" i="7" s="1"/>
  <c r="AN629" i="7"/>
  <c r="AH629" i="7" s="1"/>
  <c r="AK629" i="7"/>
  <c r="AG629" i="7"/>
  <c r="AI629" i="7"/>
  <c r="AE629" i="7" l="1"/>
  <c r="AD629" i="7"/>
  <c r="AB630" i="7" l="1"/>
  <c r="Z630" i="7"/>
  <c r="AA630" i="7"/>
  <c r="AC630" i="7"/>
  <c r="AN630" i="7" l="1"/>
  <c r="AO630" i="7"/>
  <c r="AK630" i="7" s="1"/>
  <c r="AH630" i="7"/>
  <c r="AM630" i="7"/>
  <c r="AG630" i="7" s="1"/>
  <c r="AJ630" i="7"/>
  <c r="AI630" i="7"/>
  <c r="AF630" i="7" l="1"/>
  <c r="AD630" i="7" s="1"/>
  <c r="AB631" i="7" s="1"/>
  <c r="Z631" i="7"/>
  <c r="AE630" i="7"/>
  <c r="AA631" i="7" l="1"/>
  <c r="AC631" i="7"/>
  <c r="AO631" i="7"/>
  <c r="AK631" i="7" s="1"/>
  <c r="AN631" i="7"/>
  <c r="AH631" i="7" s="1"/>
  <c r="AM631" i="7"/>
  <c r="AF631" i="7" s="1"/>
  <c r="AJ631" i="7" l="1"/>
  <c r="AD631" i="7" s="1"/>
  <c r="AI631" i="7"/>
  <c r="AG631" i="7"/>
  <c r="AE631" i="7" l="1"/>
  <c r="AB632" i="7"/>
  <c r="Z632" i="7"/>
  <c r="AC632" i="7" l="1"/>
  <c r="AA632" i="7"/>
  <c r="AN632" i="7"/>
  <c r="AI632" i="7" s="1"/>
  <c r="AM632" i="7"/>
  <c r="AG632" i="7" s="1"/>
  <c r="AO632" i="7"/>
  <c r="AK632" i="7" s="1"/>
  <c r="AH632" i="7"/>
  <c r="AF632" i="7" l="1"/>
  <c r="AJ632" i="7"/>
  <c r="AD632" i="7" s="1"/>
  <c r="AE632" i="7"/>
  <c r="AA633" i="7" l="1"/>
  <c r="AC633" i="7"/>
  <c r="AB633" i="7"/>
  <c r="Z633" i="7"/>
  <c r="AM633" i="7" l="1"/>
  <c r="AG633" i="7" s="1"/>
  <c r="AO633" i="7"/>
  <c r="AK633" i="7" s="1"/>
  <c r="AN633" i="7"/>
  <c r="AI633" i="7" s="1"/>
  <c r="AJ633" i="7"/>
  <c r="AH633" i="7" l="1"/>
  <c r="AF633" i="7"/>
  <c r="AD633" i="7" s="1"/>
  <c r="AE633" i="7"/>
  <c r="AC634" i="7" l="1"/>
  <c r="AA634" i="7"/>
  <c r="AB634" i="7"/>
  <c r="Z634" i="7"/>
  <c r="AO634" i="7" l="1"/>
  <c r="AJ634" i="7" s="1"/>
  <c r="AN634" i="7"/>
  <c r="AH634" i="7" s="1"/>
  <c r="AM634" i="7"/>
  <c r="AF634" i="7" s="1"/>
  <c r="AI634" i="7"/>
  <c r="AK634" i="7"/>
  <c r="AG634" i="7"/>
  <c r="AE634" i="7" l="1"/>
  <c r="AA635" i="7" s="1"/>
  <c r="AD634" i="7"/>
  <c r="AB635" i="7" s="1"/>
  <c r="Z635" i="7"/>
  <c r="AC635" i="7"/>
  <c r="AM635" i="7" l="1"/>
  <c r="AG635" i="7" s="1"/>
  <c r="AN635" i="7"/>
  <c r="AI635" i="7" s="1"/>
  <c r="AO635" i="7"/>
  <c r="AK635" i="7" s="1"/>
  <c r="AJ635" i="7"/>
  <c r="AF635" i="7"/>
  <c r="AH635" i="7" l="1"/>
  <c r="AD635" i="7"/>
  <c r="AE635" i="7"/>
  <c r="AC636" i="7" l="1"/>
  <c r="AA636" i="7"/>
  <c r="AB636" i="7"/>
  <c r="Z636" i="7"/>
  <c r="AO636" i="7" l="1"/>
  <c r="AJ636" i="7" s="1"/>
  <c r="AM636" i="7"/>
  <c r="AG636" i="7" s="1"/>
  <c r="AN636" i="7"/>
  <c r="AI636" i="7" s="1"/>
  <c r="AF636" i="7"/>
  <c r="AH636" i="7" l="1"/>
  <c r="AD636" i="7" s="1"/>
  <c r="AK636" i="7"/>
  <c r="AE636" i="7" s="1"/>
  <c r="AA637" i="7" l="1"/>
  <c r="AC637" i="7"/>
  <c r="AB637" i="7"/>
  <c r="Z637" i="7"/>
  <c r="AM637" i="7" l="1"/>
  <c r="AN637" i="7"/>
  <c r="AI637" i="7" s="1"/>
  <c r="AO637" i="7"/>
  <c r="AK637" i="7" s="1"/>
  <c r="AF637" i="7"/>
  <c r="AH637" i="7"/>
  <c r="AG637" i="7"/>
  <c r="AJ637" i="7" l="1"/>
  <c r="AD637" i="7"/>
  <c r="AB638" i="7" s="1"/>
  <c r="AE637" i="7"/>
  <c r="Z638" i="7" l="1"/>
  <c r="AC638" i="7"/>
  <c r="AA638" i="7"/>
  <c r="AO638" i="7" s="1"/>
  <c r="AN638" i="7" l="1"/>
  <c r="AK638" i="7"/>
  <c r="AJ638" i="7"/>
  <c r="AM638" i="7"/>
  <c r="AI638" i="7" l="1"/>
  <c r="AH638" i="7"/>
  <c r="AG638" i="7"/>
  <c r="AE638" i="7" s="1"/>
  <c r="AF638" i="7"/>
  <c r="AD638" i="7" s="1"/>
  <c r="AB639" i="7" l="1"/>
  <c r="Z639" i="7"/>
  <c r="AC639" i="7"/>
  <c r="AA639" i="7"/>
  <c r="AO639" i="7" l="1"/>
  <c r="AK639" i="7" s="1"/>
  <c r="AM639" i="7"/>
  <c r="AG639" i="7" s="1"/>
  <c r="AN639" i="7"/>
  <c r="AH639" i="7" s="1"/>
  <c r="AF639" i="7"/>
  <c r="AJ639" i="7"/>
  <c r="AD639" i="7" l="1"/>
  <c r="AI639" i="7"/>
  <c r="AE639" i="7" s="1"/>
  <c r="AC640" i="7" l="1"/>
  <c r="AA640" i="7"/>
  <c r="Z640" i="7"/>
  <c r="AB640" i="7"/>
  <c r="AO640" i="7" l="1"/>
  <c r="AJ640" i="7" s="1"/>
  <c r="AN640" i="7"/>
  <c r="AH640" i="7" s="1"/>
  <c r="AM640" i="7"/>
  <c r="AF640" i="7" s="1"/>
  <c r="AD640" i="7" l="1"/>
  <c r="Z641" i="7" s="1"/>
  <c r="AB641" i="7"/>
  <c r="AI640" i="7"/>
  <c r="AG640" i="7"/>
  <c r="AK640" i="7"/>
  <c r="AE640" i="7" l="1"/>
  <c r="AC641" i="7" l="1"/>
  <c r="AA641" i="7"/>
  <c r="AO641" i="7" l="1"/>
  <c r="AJ641" i="7" s="1"/>
  <c r="AN641" i="7"/>
  <c r="AM641" i="7"/>
  <c r="AI641" i="7" l="1"/>
  <c r="AH641" i="7"/>
  <c r="AG641" i="7"/>
  <c r="AF641" i="7"/>
  <c r="AD641" i="7" s="1"/>
  <c r="AK641" i="7"/>
  <c r="AE641" i="7" s="1"/>
  <c r="AA642" i="7" l="1"/>
  <c r="AC642" i="7"/>
  <c r="AB642" i="7"/>
  <c r="Z642" i="7"/>
  <c r="AO642" i="7" l="1"/>
  <c r="AK642" i="7" s="1"/>
  <c r="AN642" i="7"/>
  <c r="AI642" i="7" s="1"/>
  <c r="AM642" i="7"/>
  <c r="AG642" i="7" s="1"/>
  <c r="AJ642" i="7"/>
  <c r="AF642" i="7"/>
  <c r="AE642" i="7" l="1"/>
  <c r="AC643" i="7" s="1"/>
  <c r="AH642" i="7"/>
  <c r="AD642" i="7" s="1"/>
  <c r="AA643" i="7"/>
  <c r="AB643" i="7" l="1"/>
  <c r="Z643" i="7"/>
  <c r="AM643" i="7"/>
  <c r="AF643" i="7" s="1"/>
  <c r="AO643" i="7"/>
  <c r="AJ643" i="7" s="1"/>
  <c r="AN643" i="7"/>
  <c r="AH643" i="7" s="1"/>
  <c r="AK643" i="7" l="1"/>
  <c r="AD643" i="7"/>
  <c r="AI643" i="7"/>
  <c r="AG643" i="7"/>
  <c r="AE643" i="7" l="1"/>
  <c r="AC644" i="7"/>
  <c r="AA644" i="7"/>
  <c r="AB644" i="7"/>
  <c r="Z644" i="7"/>
  <c r="AM644" i="7" l="1"/>
  <c r="AG644" i="7" s="1"/>
  <c r="AO644" i="7"/>
  <c r="AK644" i="7" s="1"/>
  <c r="AN644" i="7"/>
  <c r="AI644" i="7" s="1"/>
  <c r="AF644" i="7"/>
  <c r="AJ644" i="7"/>
  <c r="AH644" i="7"/>
  <c r="AD644" i="7" l="1"/>
  <c r="AB645" i="7" s="1"/>
  <c r="Z645" i="7"/>
  <c r="AE644" i="7"/>
  <c r="AA645" i="7" l="1"/>
  <c r="AC645" i="7"/>
  <c r="AM645" i="7"/>
  <c r="AG645" i="7" s="1"/>
  <c r="AN645" i="7"/>
  <c r="AI645" i="7" s="1"/>
  <c r="AO645" i="7"/>
  <c r="AK645" i="7" s="1"/>
  <c r="AF645" i="7"/>
  <c r="AH645" i="7"/>
  <c r="AJ645" i="7" l="1"/>
  <c r="AE645" i="7"/>
  <c r="AD645" i="7"/>
  <c r="AC646" i="7"/>
  <c r="AA646" i="7"/>
  <c r="AB646" i="7" l="1"/>
  <c r="Z646" i="7"/>
  <c r="AN646" i="7" l="1"/>
  <c r="AM646" i="7"/>
  <c r="AO646" i="7"/>
  <c r="AF646" i="7" l="1"/>
  <c r="AG646" i="7"/>
  <c r="AJ646" i="7"/>
  <c r="AK646" i="7"/>
  <c r="AH646" i="7"/>
  <c r="AI646" i="7"/>
  <c r="AE646" i="7" l="1"/>
  <c r="AD646" i="7"/>
  <c r="Z647" i="7" l="1"/>
  <c r="AB647" i="7"/>
  <c r="AA647" i="7"/>
  <c r="AC647" i="7"/>
  <c r="AN647" i="7" l="1"/>
  <c r="AH647" i="7" s="1"/>
  <c r="AM647" i="7"/>
  <c r="AF647" i="7" s="1"/>
  <c r="AO647" i="7"/>
  <c r="AJ647" i="7" s="1"/>
  <c r="AK647" i="7" l="1"/>
  <c r="AG647" i="7"/>
  <c r="AD647" i="7"/>
  <c r="AI647" i="7"/>
  <c r="AB648" i="7" l="1"/>
  <c r="Z648" i="7"/>
  <c r="AE647" i="7"/>
  <c r="AC648" i="7" l="1"/>
  <c r="AA648" i="7"/>
  <c r="AM648" i="7"/>
  <c r="AF648" i="7" s="1"/>
  <c r="AN648" i="7"/>
  <c r="AH648" i="7" s="1"/>
  <c r="AO648" i="7"/>
  <c r="AJ648" i="7" s="1"/>
  <c r="AI648" i="7" l="1"/>
  <c r="AK648" i="7"/>
  <c r="AG648" i="7"/>
  <c r="AD648" i="7"/>
  <c r="AE648" i="7" l="1"/>
  <c r="AA649" i="7" s="1"/>
  <c r="AB649" i="7"/>
  <c r="Z649" i="7"/>
  <c r="AC649" i="7"/>
  <c r="AN649" i="7" l="1"/>
  <c r="AM649" i="7"/>
  <c r="AO649" i="7"/>
  <c r="AJ649" i="7" l="1"/>
  <c r="AK649" i="7"/>
  <c r="AF649" i="7"/>
  <c r="AG649" i="7"/>
  <c r="AH649" i="7"/>
  <c r="AI649" i="7"/>
  <c r="AE649" i="7" l="1"/>
  <c r="AD649" i="7"/>
  <c r="Z650" i="7" l="1"/>
  <c r="AB650" i="7"/>
  <c r="AA650" i="7"/>
  <c r="AC650" i="7"/>
  <c r="AN650" i="7" l="1"/>
  <c r="AH650" i="7" s="1"/>
  <c r="AM650" i="7"/>
  <c r="AF650" i="7" s="1"/>
  <c r="AO650" i="7"/>
  <c r="AJ650" i="7" s="1"/>
  <c r="AI650" i="7" l="1"/>
  <c r="AD650" i="7"/>
  <c r="AB651" i="7" s="1"/>
  <c r="AK650" i="7"/>
  <c r="Z651" i="7"/>
  <c r="AG650" i="7"/>
  <c r="AE650" i="7" s="1"/>
  <c r="AC651" i="7" l="1"/>
  <c r="AA651" i="7"/>
  <c r="AN651" i="7" s="1"/>
  <c r="AM651" i="7"/>
  <c r="AG651" i="7" s="1"/>
  <c r="AO651" i="7"/>
  <c r="AK651" i="7" s="1"/>
  <c r="AF651" i="7"/>
  <c r="AI651" i="7" l="1"/>
  <c r="AH651" i="7"/>
  <c r="AJ651" i="7"/>
  <c r="AD651" i="7" s="1"/>
  <c r="AE651" i="7"/>
  <c r="AA652" i="7" s="1"/>
  <c r="AC652" i="7" l="1"/>
  <c r="AB652" i="7"/>
  <c r="Z652" i="7"/>
  <c r="AM652" i="7" s="1"/>
  <c r="AF652" i="7" l="1"/>
  <c r="AG652" i="7"/>
  <c r="AN652" i="7"/>
  <c r="AO652" i="7"/>
  <c r="AJ652" i="7" s="1"/>
  <c r="AK652" i="7" l="1"/>
  <c r="AH652" i="7"/>
  <c r="AD652" i="7" s="1"/>
  <c r="AB653" i="7" s="1"/>
  <c r="AI652" i="7"/>
  <c r="AE652" i="7" s="1"/>
  <c r="Z653" i="7" l="1"/>
  <c r="AA653" i="7"/>
  <c r="AC653" i="7"/>
  <c r="AM653" i="7"/>
  <c r="AG653" i="7" s="1"/>
  <c r="AN653" i="7"/>
  <c r="AI653" i="7" s="1"/>
  <c r="AO653" i="7"/>
  <c r="AK653" i="7" s="1"/>
  <c r="AH653" i="7"/>
  <c r="AF653" i="7" l="1"/>
  <c r="AJ653" i="7"/>
  <c r="AD653" i="7" s="1"/>
  <c r="AE653" i="7"/>
  <c r="AC654" i="7" l="1"/>
  <c r="AA654" i="7"/>
  <c r="AB654" i="7"/>
  <c r="Z654" i="7"/>
  <c r="AN654" i="7" l="1"/>
  <c r="AH654" i="7" s="1"/>
  <c r="AO654" i="7"/>
  <c r="AJ654" i="7" s="1"/>
  <c r="AM654" i="7"/>
  <c r="AF654" i="7" s="1"/>
  <c r="AI654" i="7"/>
  <c r="AK654" i="7"/>
  <c r="AD654" i="7" l="1"/>
  <c r="Z655" i="7" s="1"/>
  <c r="AG654" i="7"/>
  <c r="AE654" i="7" s="1"/>
  <c r="AB655" i="7"/>
  <c r="AC655" i="7" l="1"/>
  <c r="AA655" i="7"/>
  <c r="AM655" i="7" l="1"/>
  <c r="AF655" i="7" s="1"/>
  <c r="AO655" i="7"/>
  <c r="AJ655" i="7" s="1"/>
  <c r="AN655" i="7"/>
  <c r="AH655" i="7" s="1"/>
  <c r="AD655" i="7" l="1"/>
  <c r="AG655" i="7"/>
  <c r="AK655" i="7"/>
  <c r="AI655" i="7"/>
  <c r="AE655" i="7" l="1"/>
  <c r="AB656" i="7"/>
  <c r="Z656" i="7"/>
  <c r="AA656" i="7" l="1"/>
  <c r="AC656" i="7"/>
  <c r="AM656" i="7" l="1"/>
  <c r="AF656" i="7" s="1"/>
  <c r="AO656" i="7"/>
  <c r="AJ656" i="7" s="1"/>
  <c r="AN656" i="7"/>
  <c r="AH656" i="7" s="1"/>
  <c r="AD656" i="7" l="1"/>
  <c r="AG656" i="7"/>
  <c r="AI656" i="7"/>
  <c r="AK656" i="7"/>
  <c r="AE656" i="7" l="1"/>
  <c r="AB657" i="7"/>
  <c r="Z657" i="7"/>
  <c r="AC657" i="7" l="1"/>
  <c r="AA657" i="7"/>
  <c r="AN657" i="7" s="1"/>
  <c r="AH657" i="7" s="1"/>
  <c r="AO657" i="7" l="1"/>
  <c r="AJ657" i="7" s="1"/>
  <c r="AI657" i="7"/>
  <c r="AK657" i="7"/>
  <c r="AM657" i="7"/>
  <c r="AF657" i="7" s="1"/>
  <c r="AD657" i="7" s="1"/>
  <c r="Z658" i="7" l="1"/>
  <c r="AB658" i="7"/>
  <c r="AG657" i="7"/>
  <c r="AE657" i="7" s="1"/>
  <c r="AC658" i="7" l="1"/>
  <c r="AA658" i="7"/>
  <c r="AN658" i="7" s="1"/>
  <c r="AO658" i="7"/>
  <c r="AJ658" i="7" s="1"/>
  <c r="AM658" i="7"/>
  <c r="AF658" i="7" s="1"/>
  <c r="AI658" i="7" l="1"/>
  <c r="AH658" i="7"/>
  <c r="AD658" i="7" s="1"/>
  <c r="AG658" i="7"/>
  <c r="AK658" i="7"/>
  <c r="AB659" i="7" l="1"/>
  <c r="Z659" i="7"/>
  <c r="AE658" i="7"/>
  <c r="AC659" i="7" l="1"/>
  <c r="AA659" i="7"/>
  <c r="AN659" i="7" l="1"/>
  <c r="AM659" i="7"/>
  <c r="AO659" i="7"/>
  <c r="AI659" i="7" l="1"/>
  <c r="AH659" i="7"/>
  <c r="AK659" i="7"/>
  <c r="AJ659" i="7"/>
  <c r="AG659" i="7"/>
  <c r="AE659" i="7" s="1"/>
  <c r="AF659" i="7"/>
  <c r="AD659" i="7" l="1"/>
  <c r="AA660" i="7"/>
  <c r="AC660" i="7"/>
  <c r="AB660" i="7"/>
  <c r="Z660" i="7"/>
  <c r="AN660" i="7" l="1"/>
  <c r="AO660" i="7"/>
  <c r="AK660" i="7" s="1"/>
  <c r="AH660" i="7"/>
  <c r="AM660" i="7"/>
  <c r="AG660" i="7" s="1"/>
  <c r="AI660" i="7"/>
  <c r="AJ660" i="7" l="1"/>
  <c r="AE660" i="7"/>
  <c r="AC661" i="7" s="1"/>
  <c r="AA661" i="7"/>
  <c r="AF660" i="7"/>
  <c r="AD660" i="7" s="1"/>
  <c r="AB661" i="7" l="1"/>
  <c r="Z661" i="7"/>
  <c r="AO661" i="7" l="1"/>
  <c r="AK661" i="7" s="1"/>
  <c r="AM661" i="7"/>
  <c r="AG661" i="7" s="1"/>
  <c r="AJ661" i="7"/>
  <c r="AN661" i="7"/>
  <c r="AI661" i="7" s="1"/>
  <c r="AF661" i="7"/>
  <c r="AH661" i="7" l="1"/>
  <c r="AD661" i="7" s="1"/>
  <c r="AE661" i="7"/>
  <c r="Z662" i="7" l="1"/>
  <c r="AB662" i="7"/>
  <c r="AA662" i="7"/>
  <c r="AC662" i="7"/>
  <c r="AM662" i="7" l="1"/>
  <c r="AF662" i="7" s="1"/>
  <c r="AO662" i="7"/>
  <c r="AJ662" i="7" s="1"/>
  <c r="AN662" i="7"/>
  <c r="AH662" i="7" s="1"/>
  <c r="AG662" i="7" l="1"/>
  <c r="AI662" i="7"/>
  <c r="AK662" i="7"/>
  <c r="AE662" i="7" s="1"/>
  <c r="AD662" i="7"/>
  <c r="AA663" i="7" l="1"/>
  <c r="AC663" i="7"/>
  <c r="AB663" i="7"/>
  <c r="Z663" i="7"/>
  <c r="AN663" i="7" l="1"/>
  <c r="AH663" i="7" s="1"/>
  <c r="AM663" i="7"/>
  <c r="AF663" i="7" s="1"/>
  <c r="AO663" i="7"/>
  <c r="AJ663" i="7" s="1"/>
  <c r="AG663" i="7"/>
  <c r="AI663" i="7"/>
  <c r="AD663" i="7" l="1"/>
  <c r="AK663" i="7"/>
  <c r="AE663" i="7" s="1"/>
  <c r="AC664" i="7" l="1"/>
  <c r="AA664" i="7"/>
  <c r="AB664" i="7"/>
  <c r="Z664" i="7"/>
  <c r="AN664" i="7" l="1"/>
  <c r="AH664" i="7" s="1"/>
  <c r="AO664" i="7"/>
  <c r="AK664" i="7" s="1"/>
  <c r="AM664" i="7"/>
  <c r="AG664" i="7" s="1"/>
  <c r="AJ664" i="7"/>
  <c r="AI664" i="7"/>
  <c r="AE664" i="7" l="1"/>
  <c r="AA665" i="7" s="1"/>
  <c r="AF664" i="7"/>
  <c r="AD664" i="7"/>
  <c r="AB665" i="7" s="1"/>
  <c r="AC665" i="7"/>
  <c r="Z665" i="7" l="1"/>
  <c r="AO665" i="7"/>
  <c r="AM665" i="7"/>
  <c r="AN665" i="7"/>
  <c r="AH665" i="7" l="1"/>
  <c r="AI665" i="7"/>
  <c r="AF665" i="7"/>
  <c r="AG665" i="7"/>
  <c r="AJ665" i="7"/>
  <c r="AK665" i="7"/>
  <c r="AD665" i="7" l="1"/>
  <c r="AB666" i="7"/>
  <c r="Z666" i="7"/>
  <c r="AE665" i="7"/>
  <c r="AC666" i="7" l="1"/>
  <c r="AA666" i="7"/>
  <c r="AN666" i="7" s="1"/>
  <c r="AH666" i="7" s="1"/>
  <c r="AM666" i="7" l="1"/>
  <c r="AF666" i="7" s="1"/>
  <c r="AI666" i="7"/>
  <c r="AO666" i="7"/>
  <c r="AJ666" i="7" s="1"/>
  <c r="AD666" i="7" s="1"/>
  <c r="AG666" i="7" l="1"/>
  <c r="AB667" i="7"/>
  <c r="Z667" i="7"/>
  <c r="AK666" i="7"/>
  <c r="AE666" i="7" s="1"/>
  <c r="AC667" i="7" l="1"/>
  <c r="AA667" i="7"/>
  <c r="AO667" i="7" s="1"/>
  <c r="AJ667" i="7" s="1"/>
  <c r="AM667" i="7"/>
  <c r="AF667" i="7" s="1"/>
  <c r="AN667" i="7"/>
  <c r="AH667" i="7" s="1"/>
  <c r="AD667" i="7" l="1"/>
  <c r="AI667" i="7"/>
  <c r="AK667" i="7"/>
  <c r="AG667" i="7"/>
  <c r="AE667" i="7" l="1"/>
  <c r="AA668" i="7" s="1"/>
  <c r="AC668" i="7"/>
  <c r="Z668" i="7"/>
  <c r="AB668" i="7"/>
  <c r="AO668" i="7" l="1"/>
  <c r="AM668" i="7"/>
  <c r="AG668" i="7" s="1"/>
  <c r="AN668" i="7"/>
  <c r="AF668" i="7" l="1"/>
  <c r="AH668" i="7"/>
  <c r="AI668" i="7"/>
  <c r="AJ668" i="7"/>
  <c r="AD668" i="7" s="1"/>
  <c r="AK668" i="7"/>
  <c r="AE668" i="7" l="1"/>
  <c r="AB669" i="7"/>
  <c r="Z669" i="7"/>
  <c r="AA669" i="7"/>
  <c r="AC669" i="7"/>
  <c r="AO669" i="7" l="1"/>
  <c r="AJ669" i="7" s="1"/>
  <c r="AM669" i="7"/>
  <c r="AF669" i="7" s="1"/>
  <c r="AN669" i="7"/>
  <c r="AH669" i="7" s="1"/>
  <c r="AD669" i="7" l="1"/>
  <c r="Z670" i="7" s="1"/>
  <c r="AG669" i="7"/>
  <c r="AI669" i="7"/>
  <c r="AB670" i="7"/>
  <c r="AK669" i="7"/>
  <c r="AE669" i="7" l="1"/>
  <c r="AA670" i="7" l="1"/>
  <c r="AC670" i="7"/>
  <c r="AO670" i="7" l="1"/>
  <c r="AJ670" i="7" s="1"/>
  <c r="AN670" i="7"/>
  <c r="AH670" i="7" s="1"/>
  <c r="AM670" i="7"/>
  <c r="AF670" i="7" s="1"/>
  <c r="AD670" i="7" l="1"/>
  <c r="AB671" i="7"/>
  <c r="Z671" i="7"/>
  <c r="AG670" i="7"/>
  <c r="AI670" i="7"/>
  <c r="AK670" i="7"/>
  <c r="AE670" i="7" l="1"/>
  <c r="AC671" i="7" l="1"/>
  <c r="AA671" i="7"/>
  <c r="AO671" i="7" l="1"/>
  <c r="AJ671" i="7" s="1"/>
  <c r="AM671" i="7"/>
  <c r="AF671" i="7" s="1"/>
  <c r="AN671" i="7"/>
  <c r="AH671" i="7" s="1"/>
  <c r="AD671" i="7" l="1"/>
  <c r="AI671" i="7"/>
  <c r="AG671" i="7"/>
  <c r="AK671" i="7"/>
  <c r="AE671" i="7" l="1"/>
  <c r="AB672" i="7"/>
  <c r="Z672" i="7"/>
  <c r="AA672" i="7" l="1"/>
  <c r="AM672" i="7" s="1"/>
  <c r="AF672" i="7" s="1"/>
  <c r="AC672" i="7"/>
  <c r="AG672" i="7" l="1"/>
  <c r="AO672" i="7"/>
  <c r="AN672" i="7"/>
  <c r="AH672" i="7" s="1"/>
  <c r="AI672" i="7" l="1"/>
  <c r="AK672" i="7"/>
  <c r="AJ672" i="7"/>
  <c r="AD672" i="7" s="1"/>
  <c r="AE672" i="7" l="1"/>
  <c r="AC673" i="7" s="1"/>
  <c r="AA673" i="7"/>
  <c r="Z673" i="7"/>
  <c r="AB673" i="7"/>
  <c r="AM673" i="7" l="1"/>
  <c r="AF673" i="7" s="1"/>
  <c r="AN673" i="7"/>
  <c r="AI673" i="7" s="1"/>
  <c r="AO673" i="7"/>
  <c r="AJ673" i="7" s="1"/>
  <c r="AH673" i="7"/>
  <c r="AD673" i="7" l="1"/>
  <c r="AK673" i="7"/>
  <c r="AG673" i="7"/>
  <c r="AE673" i="7" l="1"/>
  <c r="AB674" i="7"/>
  <c r="Z674" i="7"/>
  <c r="AC674" i="7" l="1"/>
  <c r="AA674" i="7"/>
  <c r="AN674" i="7" s="1"/>
  <c r="AO674" i="7" l="1"/>
  <c r="AI674" i="7"/>
  <c r="AH674" i="7"/>
  <c r="AM674" i="7"/>
  <c r="AK674" i="7" l="1"/>
  <c r="AJ674" i="7"/>
  <c r="AG674" i="7"/>
  <c r="AE674" i="7" s="1"/>
  <c r="AF674" i="7"/>
  <c r="AD674" i="7" l="1"/>
  <c r="Z675" i="7"/>
  <c r="AB675" i="7"/>
  <c r="AC675" i="7"/>
  <c r="AA675" i="7"/>
  <c r="AN675" i="7" l="1"/>
  <c r="AI675" i="7" s="1"/>
  <c r="AO675" i="7"/>
  <c r="AK675" i="7" s="1"/>
  <c r="AM675" i="7"/>
  <c r="AG675" i="7" s="1"/>
  <c r="AJ675" i="7"/>
  <c r="AE675" i="7" l="1"/>
  <c r="AC676" i="7" s="1"/>
  <c r="AF675" i="7"/>
  <c r="AA676" i="7"/>
  <c r="AH675" i="7"/>
  <c r="AD675" i="7" l="1"/>
  <c r="Z676" i="7" l="1"/>
  <c r="AB676" i="7"/>
  <c r="AM676" i="7" l="1"/>
  <c r="AG676" i="7" s="1"/>
  <c r="AO676" i="7"/>
  <c r="AK676" i="7" s="1"/>
  <c r="AN676" i="7"/>
  <c r="AI676" i="7" s="1"/>
  <c r="AF676" i="7"/>
  <c r="AH676" i="7" l="1"/>
  <c r="AJ676" i="7"/>
  <c r="AD676" i="7" s="1"/>
  <c r="AE676" i="7"/>
  <c r="AB677" i="7" l="1"/>
  <c r="Z677" i="7"/>
  <c r="AC677" i="7"/>
  <c r="AA677" i="7"/>
  <c r="AM677" i="7" l="1"/>
  <c r="AF677" i="7" s="1"/>
  <c r="AN677" i="7"/>
  <c r="AH677" i="7" s="1"/>
  <c r="AO677" i="7"/>
  <c r="AJ677" i="7" s="1"/>
  <c r="AG677" i="7"/>
  <c r="AI677" i="7" l="1"/>
  <c r="AK677" i="7"/>
  <c r="AE677" i="7" s="1"/>
  <c r="AD677" i="7"/>
  <c r="AB678" i="7" l="1"/>
  <c r="Z678" i="7"/>
  <c r="AC678" i="7"/>
  <c r="AA678" i="7"/>
  <c r="AN678" i="7" l="1"/>
  <c r="AH678" i="7" s="1"/>
  <c r="AM678" i="7"/>
  <c r="AF678" i="7" s="1"/>
  <c r="AO678" i="7"/>
  <c r="AJ678" i="7" s="1"/>
  <c r="AI678" i="7"/>
  <c r="AG678" i="7"/>
  <c r="AK678" i="7" l="1"/>
  <c r="AE678" i="7" s="1"/>
  <c r="AD678" i="7"/>
  <c r="AC679" i="7" l="1"/>
  <c r="AA679" i="7"/>
  <c r="AB679" i="7"/>
  <c r="Z679" i="7"/>
  <c r="AM679" i="7" l="1"/>
  <c r="AN679" i="7"/>
  <c r="AO679" i="7"/>
  <c r="AJ679" i="7" l="1"/>
  <c r="AK679" i="7"/>
  <c r="AF679" i="7"/>
  <c r="AG679" i="7"/>
  <c r="AH679" i="7"/>
  <c r="AI679" i="7"/>
  <c r="AE679" i="7" l="1"/>
  <c r="AD679" i="7"/>
  <c r="AB680" i="7" l="1"/>
  <c r="Z680" i="7"/>
  <c r="AC680" i="7"/>
  <c r="AA680" i="7"/>
  <c r="AO680" i="7" l="1"/>
  <c r="AK680" i="7" s="1"/>
  <c r="AM680" i="7"/>
  <c r="AG680" i="7" s="1"/>
  <c r="AN680" i="7"/>
  <c r="AI680" i="7" s="1"/>
  <c r="AJ680" i="7"/>
  <c r="AF680" i="7"/>
  <c r="AH680" i="7"/>
  <c r="AD680" i="7" l="1"/>
  <c r="AE680" i="7"/>
  <c r="AA681" i="7" l="1"/>
  <c r="AC681" i="7"/>
  <c r="AB681" i="7"/>
  <c r="Z681" i="7"/>
  <c r="AO681" i="7" l="1"/>
  <c r="AJ681" i="7" s="1"/>
  <c r="AN681" i="7"/>
  <c r="AI681" i="7" s="1"/>
  <c r="AM681" i="7"/>
  <c r="AG681" i="7" s="1"/>
  <c r="AH681" i="7" l="1"/>
  <c r="AF681" i="7"/>
  <c r="AD681" i="7" s="1"/>
  <c r="AK681" i="7"/>
  <c r="AE681" i="7" s="1"/>
  <c r="AC682" i="7" l="1"/>
  <c r="AA682" i="7"/>
  <c r="AB682" i="7"/>
  <c r="Z682" i="7"/>
  <c r="AM682" i="7" l="1"/>
  <c r="AF682" i="7" s="1"/>
  <c r="AO682" i="7"/>
  <c r="AJ682" i="7" s="1"/>
  <c r="AN682" i="7"/>
  <c r="AH682" i="7" s="1"/>
  <c r="AD682" i="7" l="1"/>
  <c r="Z683" i="7" s="1"/>
  <c r="AB683" i="7"/>
  <c r="AI682" i="7"/>
  <c r="AK682" i="7"/>
  <c r="AG682" i="7"/>
  <c r="AE682" i="7" l="1"/>
  <c r="AC683" i="7" l="1"/>
  <c r="AA683" i="7"/>
  <c r="AN683" i="7" l="1"/>
  <c r="AH683" i="7" s="1"/>
  <c r="AM683" i="7"/>
  <c r="AF683" i="7" s="1"/>
  <c r="AO683" i="7"/>
  <c r="AJ683" i="7" s="1"/>
  <c r="AD683" i="7" l="1"/>
  <c r="AG683" i="7"/>
  <c r="AI683" i="7"/>
  <c r="AK683" i="7"/>
  <c r="AE683" i="7" l="1"/>
  <c r="Z684" i="7"/>
  <c r="AB684" i="7"/>
  <c r="AA684" i="7" l="1"/>
  <c r="AO684" i="7" s="1"/>
  <c r="AC684" i="7"/>
  <c r="AK684" i="7" l="1"/>
  <c r="AJ684" i="7"/>
  <c r="AN684" i="7"/>
  <c r="AH684" i="7" s="1"/>
  <c r="AM684" i="7"/>
  <c r="AF684" i="7" s="1"/>
  <c r="AI684" i="7" l="1"/>
  <c r="AG684" i="7"/>
  <c r="AE684" i="7" s="1"/>
  <c r="AD684" i="7"/>
  <c r="AB685" i="7" l="1"/>
  <c r="Z685" i="7"/>
  <c r="AC685" i="7"/>
  <c r="AA685" i="7"/>
  <c r="AN685" i="7" l="1"/>
  <c r="AH685" i="7" s="1"/>
  <c r="AM685" i="7"/>
  <c r="AF685" i="7" s="1"/>
  <c r="AO685" i="7"/>
  <c r="AJ685" i="7" s="1"/>
  <c r="AI685" i="7"/>
  <c r="AK685" i="7" l="1"/>
  <c r="AG685" i="7"/>
  <c r="AE685" i="7" s="1"/>
  <c r="AD685" i="7"/>
  <c r="AC686" i="7" l="1"/>
  <c r="AA686" i="7"/>
  <c r="AB686" i="7"/>
  <c r="Z686" i="7"/>
  <c r="AO686" i="7" l="1"/>
  <c r="AK686" i="7" s="1"/>
  <c r="AN686" i="7"/>
  <c r="AI686" i="7" s="1"/>
  <c r="AM686" i="7"/>
  <c r="AG686" i="7" s="1"/>
  <c r="AJ686" i="7"/>
  <c r="AH686" i="7" l="1"/>
  <c r="AE686" i="7"/>
  <c r="AC687" i="7" s="1"/>
  <c r="AF686" i="7"/>
  <c r="AD686" i="7" s="1"/>
  <c r="AA687" i="7"/>
  <c r="AB687" i="7" l="1"/>
  <c r="Z687" i="7"/>
  <c r="AN687" i="7" l="1"/>
  <c r="AI687" i="7" s="1"/>
  <c r="AO687" i="7"/>
  <c r="AM687" i="7"/>
  <c r="AH687" i="7"/>
  <c r="AF687" i="7" l="1"/>
  <c r="AG687" i="7"/>
  <c r="AJ687" i="7"/>
  <c r="AD687" i="7" s="1"/>
  <c r="AK687" i="7"/>
  <c r="Z688" i="7" l="1"/>
  <c r="AB688" i="7"/>
  <c r="AE687" i="7"/>
  <c r="AC688" i="7" l="1"/>
  <c r="AA688" i="7"/>
  <c r="AN688" i="7" s="1"/>
  <c r="AH688" i="7" s="1"/>
  <c r="AM688" i="7"/>
  <c r="AF688" i="7" s="1"/>
  <c r="AO688" i="7"/>
  <c r="AJ688" i="7" s="1"/>
  <c r="AD688" i="7" l="1"/>
  <c r="AI688" i="7"/>
  <c r="AG688" i="7"/>
  <c r="AK688" i="7"/>
  <c r="AE688" i="7" l="1"/>
  <c r="AB689" i="7"/>
  <c r="Z689" i="7"/>
  <c r="AA689" i="7" l="1"/>
  <c r="AC689" i="7"/>
  <c r="AM689" i="7" l="1"/>
  <c r="AF689" i="7" s="1"/>
  <c r="AN689" i="7"/>
  <c r="AH689" i="7" s="1"/>
  <c r="AO689" i="7"/>
  <c r="AJ689" i="7" s="1"/>
  <c r="AK689" i="7" l="1"/>
  <c r="AD689" i="7"/>
  <c r="AG689" i="7"/>
  <c r="AI689" i="7"/>
  <c r="AB690" i="7" l="1"/>
  <c r="Z690" i="7"/>
  <c r="AE689" i="7"/>
  <c r="AA690" i="7" l="1"/>
  <c r="AC690" i="7"/>
  <c r="AO690" i="7"/>
  <c r="AJ690" i="7" s="1"/>
  <c r="AN690" i="7"/>
  <c r="AH690" i="7" s="1"/>
  <c r="AM690" i="7"/>
  <c r="AF690" i="7" s="1"/>
  <c r="AD690" i="7" l="1"/>
  <c r="Z691" i="7" s="1"/>
  <c r="AK690" i="7"/>
  <c r="AI690" i="7"/>
  <c r="AG690" i="7"/>
  <c r="AB691" i="7" l="1"/>
  <c r="AE690" i="7"/>
  <c r="AA691" i="7" s="1"/>
  <c r="AC691" i="7"/>
  <c r="AO691" i="7"/>
  <c r="AJ691" i="7" s="1"/>
  <c r="AN691" i="7"/>
  <c r="AM691" i="7"/>
  <c r="AG691" i="7" l="1"/>
  <c r="AF691" i="7"/>
  <c r="AI691" i="7"/>
  <c r="AH691" i="7"/>
  <c r="AK691" i="7"/>
  <c r="AD691" i="7" l="1"/>
  <c r="AE691" i="7"/>
  <c r="AC692" i="7" l="1"/>
  <c r="AA692" i="7"/>
  <c r="AB692" i="7"/>
  <c r="Z692" i="7"/>
  <c r="AN692" i="7" l="1"/>
  <c r="AH692" i="7" s="1"/>
  <c r="AM692" i="7"/>
  <c r="AF692" i="7" s="1"/>
  <c r="AO692" i="7"/>
  <c r="AK692" i="7" s="1"/>
  <c r="AI692" i="7"/>
  <c r="AG692" i="7" l="1"/>
  <c r="AE692" i="7" s="1"/>
  <c r="AJ692" i="7"/>
  <c r="AD692" i="7" s="1"/>
  <c r="AA693" i="7" l="1"/>
  <c r="AC693" i="7"/>
  <c r="Z693" i="7"/>
  <c r="AB693" i="7"/>
  <c r="AM693" i="7" l="1"/>
  <c r="AG693" i="7" s="1"/>
  <c r="AO693" i="7"/>
  <c r="AK693" i="7" s="1"/>
  <c r="AN693" i="7"/>
  <c r="AI693" i="7" s="1"/>
  <c r="AF693" i="7"/>
  <c r="AH693" i="7" l="1"/>
  <c r="AJ693" i="7"/>
  <c r="AD693" i="7" s="1"/>
  <c r="AE693" i="7"/>
  <c r="AB694" i="7" l="1"/>
  <c r="Z694" i="7"/>
  <c r="AC694" i="7"/>
  <c r="AA694" i="7"/>
  <c r="AM694" i="7" l="1"/>
  <c r="AN694" i="7"/>
  <c r="AO694" i="7"/>
  <c r="AJ694" i="7" l="1"/>
  <c r="AK694" i="7"/>
  <c r="AH694" i="7"/>
  <c r="AI694" i="7"/>
  <c r="AF694" i="7"/>
  <c r="AD694" i="7" s="1"/>
  <c r="AG694" i="7"/>
  <c r="AE694" i="7" s="1"/>
  <c r="AC695" i="7" s="1"/>
  <c r="AA695" i="7" l="1"/>
  <c r="AB695" i="7"/>
  <c r="Z695" i="7"/>
  <c r="AO695" i="7" l="1"/>
  <c r="AK695" i="7" s="1"/>
  <c r="AM695" i="7"/>
  <c r="AN695" i="7"/>
  <c r="AJ695" i="7"/>
  <c r="AI695" i="7" l="1"/>
  <c r="AH695" i="7"/>
  <c r="AG695" i="7"/>
  <c r="AE695" i="7" s="1"/>
  <c r="AF695" i="7"/>
  <c r="AD695" i="7" s="1"/>
  <c r="AC696" i="7" l="1"/>
  <c r="AA696" i="7"/>
  <c r="Z696" i="7"/>
  <c r="AB696" i="7"/>
  <c r="AO696" i="7" l="1"/>
  <c r="AN696" i="7"/>
  <c r="AM696" i="7"/>
  <c r="AF696" i="7" s="1"/>
  <c r="AH696" i="7"/>
  <c r="AJ696" i="7"/>
  <c r="AG696" i="7"/>
  <c r="AI696" i="7"/>
  <c r="AK696" i="7"/>
  <c r="AD696" i="7" l="1"/>
  <c r="Z697" i="7" s="1"/>
  <c r="AE696" i="7"/>
  <c r="AB697" i="7"/>
  <c r="AA697" i="7" l="1"/>
  <c r="AC697" i="7"/>
  <c r="AM697" i="7" l="1"/>
  <c r="AO697" i="7"/>
  <c r="AN697" i="7"/>
  <c r="AI697" i="7" l="1"/>
  <c r="AH697" i="7"/>
  <c r="AJ697" i="7"/>
  <c r="AK697" i="7"/>
  <c r="AF697" i="7"/>
  <c r="AD697" i="7" s="1"/>
  <c r="AB698" i="7" s="1"/>
  <c r="AG697" i="7"/>
  <c r="AE697" i="7" s="1"/>
  <c r="AC698" i="7" s="1"/>
  <c r="Z698" i="7" l="1"/>
  <c r="AA698" i="7"/>
  <c r="AO698" i="7"/>
  <c r="AK698" i="7" s="1"/>
  <c r="AM698" i="7"/>
  <c r="AG698" i="7" s="1"/>
  <c r="AN698" i="7"/>
  <c r="AI698" i="7" s="1"/>
  <c r="AF698" i="7"/>
  <c r="AJ698" i="7"/>
  <c r="AH698" i="7" l="1"/>
  <c r="AD698" i="7"/>
  <c r="AE698" i="7"/>
  <c r="AB699" i="7" l="1"/>
  <c r="Z699" i="7"/>
  <c r="AC699" i="7"/>
  <c r="AA699" i="7"/>
  <c r="AM699" i="7" l="1"/>
  <c r="AG699" i="7" s="1"/>
  <c r="AO699" i="7"/>
  <c r="AJ699" i="7" s="1"/>
  <c r="AN699" i="7"/>
  <c r="AI699" i="7" s="1"/>
  <c r="AF699" i="7"/>
  <c r="AK699" i="7"/>
  <c r="AE699" i="7" s="1"/>
  <c r="AC700" i="7" s="1"/>
  <c r="AH699" i="7" l="1"/>
  <c r="AA700" i="7"/>
  <c r="AD699" i="7"/>
  <c r="AB700" i="7" l="1"/>
  <c r="Z700" i="7"/>
  <c r="AM700" i="7" l="1"/>
  <c r="AO700" i="7"/>
  <c r="AN700" i="7"/>
  <c r="AJ700" i="7" l="1"/>
  <c r="AK700" i="7"/>
  <c r="AH700" i="7"/>
  <c r="AI700" i="7"/>
  <c r="AF700" i="7"/>
  <c r="AG700" i="7"/>
  <c r="AE700" i="7" s="1"/>
  <c r="AD700" i="7" l="1"/>
  <c r="Z701" i="7"/>
  <c r="AB701" i="7"/>
  <c r="AC701" i="7"/>
  <c r="AA701" i="7"/>
  <c r="AM701" i="7" l="1"/>
  <c r="AF701" i="7" s="1"/>
  <c r="AN701" i="7"/>
  <c r="AH701" i="7" s="1"/>
  <c r="AO701" i="7"/>
  <c r="AJ701" i="7" s="1"/>
  <c r="AK701" i="7" l="1"/>
  <c r="AG701" i="7"/>
  <c r="AD701" i="7"/>
  <c r="AI701" i="7"/>
  <c r="AB702" i="7" l="1"/>
  <c r="Z702" i="7"/>
  <c r="AE701" i="7"/>
  <c r="AC702" i="7" l="1"/>
  <c r="AA702" i="7"/>
  <c r="AM702" i="7" s="1"/>
  <c r="AG702" i="7" l="1"/>
  <c r="AF702" i="7"/>
  <c r="AO702" i="7"/>
  <c r="AN702" i="7"/>
  <c r="AK702" i="7" l="1"/>
  <c r="AJ702" i="7"/>
  <c r="AI702" i="7"/>
  <c r="AE702" i="7" s="1"/>
  <c r="AH702" i="7"/>
  <c r="AD702" i="7" s="1"/>
  <c r="AB703" i="7" l="1"/>
  <c r="Z703" i="7"/>
  <c r="AC703" i="7"/>
  <c r="AA703" i="7"/>
  <c r="AO703" i="7" l="1"/>
  <c r="AJ703" i="7" s="1"/>
  <c r="AM703" i="7"/>
  <c r="AF703" i="7" s="1"/>
  <c r="AN703" i="7"/>
  <c r="AH703" i="7" s="1"/>
  <c r="AD703" i="7" l="1"/>
  <c r="Z704" i="7" s="1"/>
  <c r="AG703" i="7"/>
  <c r="AI703" i="7"/>
  <c r="AK703" i="7"/>
  <c r="AB704" i="7"/>
  <c r="AE703" i="7" l="1"/>
  <c r="AC704" i="7" l="1"/>
  <c r="AA704" i="7"/>
  <c r="AM704" i="7" l="1"/>
  <c r="AN704" i="7"/>
  <c r="AO704" i="7"/>
  <c r="AG704" i="7" l="1"/>
  <c r="AF704" i="7"/>
  <c r="AK704" i="7"/>
  <c r="AJ704" i="7"/>
  <c r="AI704" i="7"/>
  <c r="AH704" i="7"/>
  <c r="AD704" i="7" l="1"/>
  <c r="AE704" i="7"/>
  <c r="AA705" i="7" l="1"/>
  <c r="AC705" i="7"/>
  <c r="AB705" i="7"/>
  <c r="Z705" i="7"/>
  <c r="AO705" i="7" l="1"/>
  <c r="AJ705" i="7" s="1"/>
  <c r="AM705" i="7"/>
  <c r="AF705" i="7" s="1"/>
  <c r="AN705" i="7"/>
  <c r="AH705" i="7" s="1"/>
  <c r="AK705" i="7"/>
  <c r="AG705" i="7" l="1"/>
  <c r="AI705" i="7"/>
  <c r="AE705" i="7" s="1"/>
  <c r="AD705" i="7"/>
  <c r="AC706" i="7" l="1"/>
  <c r="AA706" i="7"/>
  <c r="Z706" i="7"/>
  <c r="AB706" i="7"/>
  <c r="AO706" i="7" l="1"/>
  <c r="AM706" i="7"/>
  <c r="AN706" i="7"/>
  <c r="AF706" i="7" l="1"/>
  <c r="AG706" i="7"/>
  <c r="AH706" i="7"/>
  <c r="AI706" i="7"/>
  <c r="AJ706" i="7"/>
  <c r="AK706" i="7"/>
  <c r="AE706" i="7" l="1"/>
  <c r="AD706" i="7"/>
  <c r="Z707" i="7" l="1"/>
  <c r="AB707" i="7"/>
  <c r="AC707" i="7"/>
  <c r="AA707" i="7"/>
  <c r="AM707" i="7" l="1"/>
  <c r="AF707" i="7" s="1"/>
  <c r="AN707" i="7"/>
  <c r="AI707" i="7" s="1"/>
  <c r="AO707" i="7"/>
  <c r="AJ707" i="7" s="1"/>
  <c r="AH707" i="7"/>
  <c r="AD707" i="7" l="1"/>
  <c r="AB708" i="7" s="1"/>
  <c r="AK707" i="7"/>
  <c r="Z708" i="7"/>
  <c r="AG707" i="7"/>
  <c r="AE707" i="7" s="1"/>
  <c r="AA708" i="7" l="1"/>
  <c r="AC708" i="7"/>
  <c r="AM708" i="7" l="1"/>
  <c r="AF708" i="7" s="1"/>
  <c r="AN708" i="7"/>
  <c r="AO708" i="7"/>
  <c r="AK708" i="7" l="1"/>
  <c r="AJ708" i="7"/>
  <c r="AI708" i="7"/>
  <c r="AH708" i="7"/>
  <c r="AG708" i="7"/>
  <c r="AE708" i="7" s="1"/>
  <c r="AD708" i="7" l="1"/>
  <c r="AB709" i="7"/>
  <c r="Z709" i="7"/>
  <c r="AC709" i="7"/>
  <c r="AA709" i="7"/>
  <c r="AN709" i="7" l="1"/>
  <c r="AI709" i="7" s="1"/>
  <c r="AO709" i="7"/>
  <c r="AK709" i="7" s="1"/>
  <c r="AM709" i="7"/>
  <c r="AG709" i="7" s="1"/>
  <c r="AH709" i="7"/>
  <c r="AE709" i="7" l="1"/>
  <c r="AC710" i="7" s="1"/>
  <c r="AF709" i="7"/>
  <c r="AJ709" i="7"/>
  <c r="AD709" i="7" s="1"/>
  <c r="AA710" i="7"/>
  <c r="Z710" i="7" l="1"/>
  <c r="AB710" i="7"/>
  <c r="AO710" i="7" l="1"/>
  <c r="AK710" i="7" s="1"/>
  <c r="AM710" i="7"/>
  <c r="AG710" i="7" s="1"/>
  <c r="AN710" i="7"/>
  <c r="AI710" i="7" s="1"/>
  <c r="AF710" i="7"/>
  <c r="AJ710" i="7"/>
  <c r="AH710" i="7" l="1"/>
  <c r="AD710" i="7" s="1"/>
  <c r="AE710" i="7"/>
  <c r="AA711" i="7" l="1"/>
  <c r="AC711" i="7"/>
  <c r="AB711" i="7"/>
  <c r="Z711" i="7"/>
  <c r="AN711" i="7" l="1"/>
  <c r="AI711" i="7" s="1"/>
  <c r="AO711" i="7"/>
  <c r="AK711" i="7" s="1"/>
  <c r="AM711" i="7"/>
  <c r="AG711" i="7" s="1"/>
  <c r="AH711" i="7"/>
  <c r="AJ711" i="7" l="1"/>
  <c r="AE711" i="7"/>
  <c r="AC712" i="7" s="1"/>
  <c r="AF711" i="7"/>
  <c r="AD711" i="7" s="1"/>
  <c r="AA712" i="7"/>
  <c r="AB712" i="7" l="1"/>
  <c r="Z712" i="7"/>
  <c r="AO712" i="7" s="1"/>
  <c r="AN712" i="7"/>
  <c r="AI712" i="7" s="1"/>
  <c r="AM712" i="7"/>
  <c r="AG712" i="7" s="1"/>
  <c r="AF712" i="7" l="1"/>
  <c r="AK712" i="7"/>
  <c r="AJ712" i="7"/>
  <c r="AH712" i="7"/>
  <c r="AE712" i="7"/>
  <c r="AA713" i="7" s="1"/>
  <c r="AC713" i="7" l="1"/>
  <c r="AD712" i="7"/>
  <c r="AB713" i="7"/>
  <c r="Z713" i="7"/>
  <c r="AN713" i="7" s="1"/>
  <c r="AI713" i="7" l="1"/>
  <c r="AH713" i="7"/>
  <c r="AO713" i="7"/>
  <c r="AM713" i="7"/>
  <c r="AG713" i="7" s="1"/>
  <c r="AF713" i="7" l="1"/>
  <c r="AK713" i="7"/>
  <c r="AE713" i="7" s="1"/>
  <c r="AJ713" i="7"/>
  <c r="AC714" i="7" l="1"/>
  <c r="AA714" i="7"/>
  <c r="AD713" i="7"/>
  <c r="AB714" i="7" l="1"/>
  <c r="Z714" i="7"/>
  <c r="AN714" i="7" l="1"/>
  <c r="AI714" i="7" s="1"/>
  <c r="AO714" i="7"/>
  <c r="AK714" i="7" s="1"/>
  <c r="AM714" i="7"/>
  <c r="AG714" i="7" s="1"/>
  <c r="AJ714" i="7"/>
  <c r="AH714" i="7"/>
  <c r="AE714" i="7" l="1"/>
  <c r="AC715" i="7"/>
  <c r="AA715" i="7"/>
  <c r="AF714" i="7"/>
  <c r="AD714" i="7" s="1"/>
  <c r="Z715" i="7" l="1"/>
  <c r="AB715" i="7"/>
  <c r="AN715" i="7" l="1"/>
  <c r="AI715" i="7" s="1"/>
  <c r="AO715" i="7"/>
  <c r="AK715" i="7" s="1"/>
  <c r="AM715" i="7"/>
  <c r="AH715" i="7"/>
  <c r="AJ715" i="7" l="1"/>
  <c r="AG715" i="7"/>
  <c r="AE715" i="7" s="1"/>
  <c r="AF715" i="7"/>
  <c r="AD715" i="7" s="1"/>
  <c r="Z716" i="7" l="1"/>
  <c r="AB716" i="7"/>
  <c r="AA716" i="7"/>
  <c r="AC716" i="7"/>
  <c r="AN716" i="7" l="1"/>
  <c r="AO716" i="7"/>
  <c r="AK716" i="7" s="1"/>
  <c r="AM716" i="7"/>
  <c r="AG716" i="7" s="1"/>
  <c r="AF716" i="7" l="1"/>
  <c r="AJ716" i="7"/>
  <c r="AI716" i="7"/>
  <c r="AE716" i="7" s="1"/>
  <c r="AH716" i="7"/>
  <c r="AD716" i="7" s="1"/>
  <c r="AC717" i="7" l="1"/>
  <c r="AA717" i="7"/>
  <c r="AB717" i="7"/>
  <c r="Z717" i="7"/>
  <c r="AM717" i="7" l="1"/>
  <c r="AN717" i="7"/>
  <c r="AO717" i="7"/>
  <c r="AH717" i="7" l="1"/>
  <c r="AI717" i="7"/>
  <c r="AJ717" i="7"/>
  <c r="AK717" i="7"/>
  <c r="AF717" i="7"/>
  <c r="AG717" i="7"/>
  <c r="AE717" i="7" s="1"/>
  <c r="AD717" i="7" l="1"/>
  <c r="AA718" i="7"/>
  <c r="AC718" i="7"/>
  <c r="Z718" i="7"/>
  <c r="AB718" i="7"/>
  <c r="AN718" i="7" l="1"/>
  <c r="AO718" i="7"/>
  <c r="AM718" i="7"/>
  <c r="AJ718" i="7" l="1"/>
  <c r="AK718" i="7"/>
  <c r="AF718" i="7"/>
  <c r="AG718" i="7"/>
  <c r="AH718" i="7"/>
  <c r="AI718" i="7"/>
  <c r="AD718" i="7" l="1"/>
  <c r="AE718" i="7"/>
  <c r="AC719" i="7" l="1"/>
  <c r="AA719" i="7"/>
  <c r="AB719" i="7"/>
  <c r="Z719" i="7"/>
  <c r="AO719" i="7" l="1"/>
  <c r="AJ719" i="7" s="1"/>
  <c r="AM719" i="7"/>
  <c r="AG719" i="7" s="1"/>
  <c r="AN719" i="7"/>
  <c r="AI719" i="7" s="1"/>
  <c r="AH719" i="7" l="1"/>
  <c r="AF719" i="7"/>
  <c r="AD719" i="7" s="1"/>
  <c r="AK719" i="7"/>
  <c r="AE719" i="7" s="1"/>
  <c r="AC720" i="7" l="1"/>
  <c r="AA720" i="7"/>
  <c r="AB720" i="7"/>
  <c r="Z720" i="7"/>
  <c r="AO720" i="7" l="1"/>
  <c r="AK720" i="7" s="1"/>
  <c r="AN720" i="7"/>
  <c r="AI720" i="7" s="1"/>
  <c r="AM720" i="7"/>
  <c r="AF720" i="7" s="1"/>
  <c r="AH720" i="7"/>
  <c r="AG720" i="7" l="1"/>
  <c r="AJ720" i="7"/>
  <c r="AD720" i="7" s="1"/>
  <c r="AE720" i="7"/>
  <c r="AA721" i="7" s="1"/>
  <c r="AC721" i="7" l="1"/>
  <c r="AB721" i="7"/>
  <c r="Z721" i="7"/>
  <c r="AO721" i="7" l="1"/>
  <c r="AM721" i="7"/>
  <c r="AN721" i="7"/>
  <c r="AF721" i="7" l="1"/>
  <c r="AG721" i="7"/>
  <c r="AH721" i="7"/>
  <c r="AI721" i="7"/>
  <c r="AJ721" i="7"/>
  <c r="AK721" i="7"/>
  <c r="AE721" i="7" l="1"/>
  <c r="AD721" i="7"/>
  <c r="AB722" i="7" l="1"/>
  <c r="Z722" i="7"/>
  <c r="AC722" i="7"/>
  <c r="AA722" i="7"/>
  <c r="AM722" i="7" l="1"/>
  <c r="AF722" i="7" s="1"/>
  <c r="AO722" i="7"/>
  <c r="AJ722" i="7" s="1"/>
  <c r="AN722" i="7"/>
  <c r="AH722" i="7" s="1"/>
  <c r="AG722" i="7" l="1"/>
  <c r="AD722" i="7"/>
  <c r="AI722" i="7"/>
  <c r="AK722" i="7"/>
  <c r="Z723" i="7" l="1"/>
  <c r="AB723" i="7"/>
  <c r="AE722" i="7"/>
  <c r="AC723" i="7" l="1"/>
  <c r="AA723" i="7"/>
  <c r="AN723" i="7" s="1"/>
  <c r="AH723" i="7" s="1"/>
  <c r="AO723" i="7"/>
  <c r="AJ723" i="7" s="1"/>
  <c r="AM723" i="7" l="1"/>
  <c r="AF723" i="7" s="1"/>
  <c r="AD723" i="7" s="1"/>
  <c r="AK723" i="7"/>
  <c r="AG723" i="7"/>
  <c r="AI723" i="7"/>
  <c r="AB724" i="7" l="1"/>
  <c r="Z724" i="7"/>
  <c r="AE723" i="7"/>
  <c r="AA724" i="7" l="1"/>
  <c r="AC724" i="7"/>
  <c r="AM724" i="7" l="1"/>
  <c r="AF724" i="7" s="1"/>
  <c r="AO724" i="7"/>
  <c r="AJ724" i="7" s="1"/>
  <c r="AN724" i="7"/>
  <c r="AH724" i="7" s="1"/>
  <c r="AI724" i="7" l="1"/>
  <c r="AK724" i="7"/>
  <c r="AD724" i="7"/>
  <c r="AG724" i="7"/>
  <c r="AE724" i="7" l="1"/>
  <c r="AC725" i="7" s="1"/>
  <c r="AB725" i="7"/>
  <c r="Z725" i="7"/>
  <c r="AA725" i="7" l="1"/>
  <c r="AO725" i="7"/>
  <c r="AK725" i="7" s="1"/>
  <c r="AM725" i="7"/>
  <c r="AF725" i="7" s="1"/>
  <c r="AN725" i="7"/>
  <c r="AI725" i="7" s="1"/>
  <c r="AJ725" i="7"/>
  <c r="AG725" i="7" l="1"/>
  <c r="AE725" i="7" s="1"/>
  <c r="AA726" i="7" s="1"/>
  <c r="AH725" i="7"/>
  <c r="AD725" i="7" s="1"/>
  <c r="AC726" i="7"/>
  <c r="AB726" i="7" l="1"/>
  <c r="Z726" i="7"/>
  <c r="AN726" i="7" l="1"/>
  <c r="AM726" i="7"/>
  <c r="AO726" i="7"/>
  <c r="AJ726" i="7" l="1"/>
  <c r="AK726" i="7"/>
  <c r="AF726" i="7"/>
  <c r="AG726" i="7"/>
  <c r="AH726" i="7"/>
  <c r="AI726" i="7"/>
  <c r="AE726" i="7" l="1"/>
  <c r="AD726" i="7"/>
  <c r="Z727" i="7" l="1"/>
  <c r="AB727" i="7"/>
  <c r="AA727" i="7"/>
  <c r="AC727" i="7"/>
  <c r="AM727" i="7" l="1"/>
  <c r="AG727" i="7" s="1"/>
  <c r="AO727" i="7"/>
  <c r="AK727" i="7" s="1"/>
  <c r="AF727" i="7"/>
  <c r="AN727" i="7"/>
  <c r="AI727" i="7" s="1"/>
  <c r="AH727" i="7" l="1"/>
  <c r="AE727" i="7"/>
  <c r="AJ727" i="7"/>
  <c r="AD727" i="7" s="1"/>
  <c r="AC728" i="7" l="1"/>
  <c r="AA728" i="7"/>
  <c r="AB728" i="7"/>
  <c r="Z728" i="7"/>
  <c r="AN728" i="7" l="1"/>
  <c r="AI728" i="7" s="1"/>
  <c r="AO728" i="7"/>
  <c r="AK728" i="7" s="1"/>
  <c r="AM728" i="7"/>
  <c r="AG728" i="7" s="1"/>
  <c r="AH728" i="7" l="1"/>
  <c r="AE728" i="7"/>
  <c r="AF728" i="7"/>
  <c r="AJ728" i="7"/>
  <c r="AD728" i="7" l="1"/>
  <c r="AA729" i="7"/>
  <c r="AC729" i="7"/>
  <c r="AB729" i="7" l="1"/>
  <c r="Z729" i="7"/>
  <c r="AM729" i="7" l="1"/>
  <c r="AG729" i="7" s="1"/>
  <c r="AO729" i="7"/>
  <c r="AK729" i="7" s="1"/>
  <c r="AN729" i="7"/>
  <c r="AI729" i="7" s="1"/>
  <c r="AH729" i="7" l="1"/>
  <c r="AJ729" i="7"/>
  <c r="AE729" i="7"/>
  <c r="AF729" i="7"/>
  <c r="AD729" i="7" s="1"/>
  <c r="AB730" i="7" l="1"/>
  <c r="Z730" i="7"/>
  <c r="AC730" i="7"/>
  <c r="AA730" i="7"/>
  <c r="AN730" i="7" l="1"/>
  <c r="AI730" i="7" s="1"/>
  <c r="AO730" i="7"/>
  <c r="AK730" i="7" s="1"/>
  <c r="AM730" i="7"/>
  <c r="AG730" i="7" s="1"/>
  <c r="AE730" i="7" l="1"/>
  <c r="AC731" i="7" s="1"/>
  <c r="AJ730" i="7"/>
  <c r="AF730" i="7"/>
  <c r="AA731" i="7"/>
  <c r="AH730" i="7"/>
  <c r="AD730" i="7" l="1"/>
  <c r="AB731" i="7" l="1"/>
  <c r="Z731" i="7"/>
  <c r="AN731" i="7" l="1"/>
  <c r="AI731" i="7" s="1"/>
  <c r="AH731" i="7"/>
  <c r="AO731" i="7"/>
  <c r="AK731" i="7" s="1"/>
  <c r="AM731" i="7"/>
  <c r="AG731" i="7" s="1"/>
  <c r="AE731" i="7" l="1"/>
  <c r="AC732" i="7"/>
  <c r="AA732" i="7"/>
  <c r="AJ731" i="7"/>
  <c r="AF731" i="7"/>
  <c r="AD731" i="7" l="1"/>
  <c r="AB732" i="7" l="1"/>
  <c r="Z732" i="7"/>
  <c r="AN732" i="7" l="1"/>
  <c r="AI732" i="7" s="1"/>
  <c r="AO732" i="7"/>
  <c r="AK732" i="7" s="1"/>
  <c r="AH732" i="7"/>
  <c r="AM732" i="7"/>
  <c r="AG732" i="7" s="1"/>
  <c r="AE732" i="7" s="1"/>
  <c r="AJ732" i="7"/>
  <c r="AC733" i="7" l="1"/>
  <c r="AA733" i="7"/>
  <c r="AF732" i="7"/>
  <c r="AD732" i="7" s="1"/>
  <c r="Z733" i="7" l="1"/>
  <c r="AB733" i="7"/>
  <c r="AN733" i="7" l="1"/>
  <c r="AI733" i="7" s="1"/>
  <c r="AO733" i="7"/>
  <c r="AK733" i="7" s="1"/>
  <c r="AM733" i="7"/>
  <c r="AG733" i="7" s="1"/>
  <c r="AH733" i="7"/>
  <c r="AJ733" i="7" l="1"/>
  <c r="AE733" i="7"/>
  <c r="AF733" i="7"/>
  <c r="AA734" i="7"/>
  <c r="AC734" i="7"/>
  <c r="AD733" i="7"/>
  <c r="AB734" i="7" l="1"/>
  <c r="Z734" i="7"/>
  <c r="AN734" i="7" l="1"/>
  <c r="AI734" i="7" s="1"/>
  <c r="AM734" i="7"/>
  <c r="AG734" i="7" s="1"/>
  <c r="AO734" i="7"/>
  <c r="AK734" i="7" s="1"/>
  <c r="AH734" i="7"/>
  <c r="AJ734" i="7" l="1"/>
  <c r="AE734" i="7"/>
  <c r="AC735" i="7" s="1"/>
  <c r="AF734" i="7"/>
  <c r="AD734" i="7" s="1"/>
  <c r="AA735" i="7" l="1"/>
  <c r="Z735" i="7"/>
  <c r="AB735" i="7"/>
  <c r="AN735" i="7" l="1"/>
  <c r="AI735" i="7" s="1"/>
  <c r="AO735" i="7"/>
  <c r="AK735" i="7" s="1"/>
  <c r="AH735" i="7"/>
  <c r="AM735" i="7"/>
  <c r="AG735" i="7" s="1"/>
  <c r="AE735" i="7" s="1"/>
  <c r="AJ735" i="7"/>
  <c r="AF735" i="7" l="1"/>
  <c r="AD735" i="7" s="1"/>
  <c r="AA736" i="7"/>
  <c r="AC736" i="7"/>
  <c r="AB736" i="7" l="1"/>
  <c r="Z736" i="7"/>
  <c r="AM736" i="7"/>
  <c r="AF736" i="7" s="1"/>
  <c r="AO736" i="7"/>
  <c r="AK736" i="7" s="1"/>
  <c r="AN736" i="7"/>
  <c r="AI736" i="7" s="1"/>
  <c r="AJ736" i="7" l="1"/>
  <c r="AG736" i="7"/>
  <c r="AE736" i="7" s="1"/>
  <c r="AH736" i="7"/>
  <c r="AC737" i="7" l="1"/>
  <c r="AA737" i="7"/>
  <c r="AD736" i="7"/>
  <c r="AB737" i="7" l="1"/>
  <c r="Z737" i="7"/>
  <c r="AM737" i="7" l="1"/>
  <c r="AO737" i="7"/>
  <c r="AK737" i="7" s="1"/>
  <c r="AN737" i="7"/>
  <c r="AJ737" i="7" l="1"/>
  <c r="AH737" i="7"/>
  <c r="AI737" i="7"/>
  <c r="AF737" i="7"/>
  <c r="AD737" i="7" s="1"/>
  <c r="AG737" i="7"/>
  <c r="AE737" i="7" s="1"/>
  <c r="Z738" i="7" l="1"/>
  <c r="AB738" i="7"/>
  <c r="AC738" i="7"/>
  <c r="AA738" i="7"/>
  <c r="AM738" i="7" l="1"/>
  <c r="AF738" i="7" s="1"/>
  <c r="AN738" i="7"/>
  <c r="AH738" i="7" s="1"/>
  <c r="AO738" i="7"/>
  <c r="AJ738" i="7" s="1"/>
  <c r="AD738" i="7" l="1"/>
  <c r="AB739" i="7" s="1"/>
  <c r="AK738" i="7"/>
  <c r="AG738" i="7"/>
  <c r="AI738" i="7"/>
  <c r="Z739" i="7"/>
  <c r="AE738" i="7" l="1"/>
  <c r="AA739" i="7"/>
  <c r="AO739" i="7" s="1"/>
  <c r="AC739" i="7"/>
  <c r="AK739" i="7" l="1"/>
  <c r="AJ739" i="7"/>
  <c r="AN739" i="7"/>
  <c r="AM739" i="7"/>
  <c r="AG739" i="7" l="1"/>
  <c r="AF739" i="7"/>
  <c r="AI739" i="7"/>
  <c r="AH739" i="7"/>
  <c r="AD739" i="7" s="1"/>
  <c r="AB740" i="7" l="1"/>
  <c r="Z740" i="7"/>
  <c r="AE739" i="7"/>
  <c r="AC740" i="7" l="1"/>
  <c r="AA740" i="7"/>
  <c r="AN740" i="7"/>
  <c r="AH740" i="7" s="1"/>
  <c r="AO740" i="7"/>
  <c r="AJ740" i="7" s="1"/>
  <c r="AK740" i="7" l="1"/>
  <c r="AI740" i="7"/>
  <c r="AM740" i="7"/>
  <c r="AF740" i="7" s="1"/>
  <c r="AD740" i="7" s="1"/>
  <c r="Z741" i="7" l="1"/>
  <c r="AB741" i="7"/>
  <c r="AG740" i="7"/>
  <c r="AE740" i="7" s="1"/>
  <c r="AC741" i="7" l="1"/>
  <c r="AA741" i="7"/>
  <c r="AO741" i="7"/>
  <c r="AJ741" i="7" s="1"/>
  <c r="AM741" i="7"/>
  <c r="AF741" i="7"/>
  <c r="AN741" i="7" l="1"/>
  <c r="AH741" i="7" s="1"/>
  <c r="AD741" i="7" s="1"/>
  <c r="AG741" i="7"/>
  <c r="AK741" i="7"/>
  <c r="AB742" i="7" l="1"/>
  <c r="Z742" i="7"/>
  <c r="AI741" i="7"/>
  <c r="AE741" i="7" s="1"/>
  <c r="AA742" i="7" l="1"/>
  <c r="AC742" i="7"/>
  <c r="AO742" i="7"/>
  <c r="AK742" i="7" s="1"/>
  <c r="AM742" i="7"/>
  <c r="AG742" i="7" s="1"/>
  <c r="AN742" i="7"/>
  <c r="AI742" i="7" s="1"/>
  <c r="AJ742" i="7"/>
  <c r="AH742" i="7" l="1"/>
  <c r="AE742" i="7"/>
  <c r="AC743" i="7"/>
  <c r="AF742" i="7"/>
  <c r="AD742" i="7" s="1"/>
  <c r="AA743" i="7"/>
  <c r="Z743" i="7" l="1"/>
  <c r="AB743" i="7"/>
  <c r="AN743" i="7" l="1"/>
  <c r="AI743" i="7" s="1"/>
  <c r="AM743" i="7"/>
  <c r="AG743" i="7" s="1"/>
  <c r="AO743" i="7"/>
  <c r="AK743" i="7" s="1"/>
  <c r="AH743" i="7"/>
  <c r="AF743" i="7" l="1"/>
  <c r="AE743" i="7"/>
  <c r="AJ743" i="7"/>
  <c r="AD743" i="7" s="1"/>
  <c r="AB744" i="7" l="1"/>
  <c r="Z744" i="7"/>
  <c r="AA744" i="7"/>
  <c r="AC744" i="7"/>
  <c r="AM744" i="7" l="1"/>
  <c r="AF744" i="7" s="1"/>
  <c r="AN744" i="7"/>
  <c r="AH744" i="7" s="1"/>
  <c r="AO744" i="7"/>
  <c r="AJ744" i="7" s="1"/>
  <c r="AD744" i="7" l="1"/>
  <c r="AK744" i="7"/>
  <c r="AG744" i="7"/>
  <c r="AI744" i="7"/>
  <c r="AE744" i="7" l="1"/>
  <c r="AB745" i="7"/>
  <c r="Z745" i="7"/>
  <c r="AC745" i="7" l="1"/>
  <c r="AA745" i="7"/>
  <c r="AN745" i="7" l="1"/>
  <c r="AM745" i="7"/>
  <c r="AF745" i="7" s="1"/>
  <c r="AO745" i="7"/>
  <c r="AJ745" i="7" s="1"/>
  <c r="AK745" i="7" l="1"/>
  <c r="AI745" i="7"/>
  <c r="AH745" i="7"/>
  <c r="AD745" i="7" s="1"/>
  <c r="AG745" i="7"/>
  <c r="AE745" i="7" s="1"/>
  <c r="AA746" i="7" l="1"/>
  <c r="AC746" i="7"/>
  <c r="AB746" i="7"/>
  <c r="Z746" i="7"/>
  <c r="AN746" i="7" l="1"/>
  <c r="AH746" i="7" s="1"/>
  <c r="AM746" i="7"/>
  <c r="AF746" i="7" s="1"/>
  <c r="AO746" i="7"/>
  <c r="AJ746" i="7" s="1"/>
  <c r="AI746" i="7"/>
  <c r="AG746" i="7"/>
  <c r="AD746" i="7" l="1"/>
  <c r="AK746" i="7"/>
  <c r="AE746" i="7" s="1"/>
  <c r="AA747" i="7" l="1"/>
  <c r="AC747" i="7"/>
  <c r="AB747" i="7"/>
  <c r="Z747" i="7"/>
  <c r="AO747" i="7" l="1"/>
  <c r="AJ747" i="7" s="1"/>
  <c r="AM747" i="7"/>
  <c r="AF747" i="7" s="1"/>
  <c r="AN747" i="7"/>
  <c r="AH747" i="7" s="1"/>
  <c r="AK747" i="7"/>
  <c r="AI747" i="7" l="1"/>
  <c r="AD747" i="7"/>
  <c r="AG747" i="7"/>
  <c r="AE747" i="7" l="1"/>
  <c r="AA748" i="7"/>
  <c r="AC748" i="7"/>
  <c r="Z748" i="7"/>
  <c r="AB748" i="7"/>
  <c r="AN748" i="7" l="1"/>
  <c r="AI748" i="7" s="1"/>
  <c r="AO748" i="7"/>
  <c r="AK748" i="7" s="1"/>
  <c r="AM748" i="7"/>
  <c r="AF748" i="7" s="1"/>
  <c r="AH748" i="7"/>
  <c r="AJ748" i="7" l="1"/>
  <c r="AD748" i="7" s="1"/>
  <c r="AG748" i="7"/>
  <c r="AE748" i="7" s="1"/>
  <c r="AB749" i="7" l="1"/>
  <c r="Z749" i="7"/>
  <c r="AA749" i="7"/>
  <c r="AC749" i="7"/>
  <c r="AO749" i="7" l="1"/>
  <c r="AK749" i="7" s="1"/>
  <c r="AM749" i="7"/>
  <c r="AF749" i="7" s="1"/>
  <c r="AN749" i="7"/>
  <c r="AI749" i="7" s="1"/>
  <c r="AG749" i="7"/>
  <c r="AE749" i="7" l="1"/>
  <c r="AH749" i="7"/>
  <c r="AJ749" i="7"/>
  <c r="AD749" i="7" l="1"/>
  <c r="AB750" i="7"/>
  <c r="Z750" i="7"/>
  <c r="AA750" i="7"/>
  <c r="AC750" i="7"/>
  <c r="AO750" i="7" l="1"/>
  <c r="AJ750" i="7" s="1"/>
  <c r="AN750" i="7"/>
  <c r="AI750" i="7" s="1"/>
  <c r="AM750" i="7"/>
  <c r="AG750" i="7" s="1"/>
  <c r="AH750" i="7"/>
  <c r="AF750" i="7" l="1"/>
  <c r="AD750" i="7" s="1"/>
  <c r="AK750" i="7"/>
  <c r="AE750" i="7" s="1"/>
  <c r="AB751" i="7" l="1"/>
  <c r="Z751" i="7"/>
  <c r="AA751" i="7"/>
  <c r="AC751" i="7"/>
  <c r="AO751" i="7" l="1"/>
  <c r="AJ751" i="7" s="1"/>
  <c r="AN751" i="7"/>
  <c r="AI751" i="7" s="1"/>
  <c r="AM751" i="7"/>
  <c r="AF751" i="7" s="1"/>
  <c r="AH751" i="7"/>
  <c r="AD751" i="7" l="1"/>
  <c r="Z752" i="7"/>
  <c r="AB752" i="7"/>
  <c r="AG751" i="7"/>
  <c r="AK751" i="7"/>
  <c r="AE751" i="7" l="1"/>
  <c r="AA752" i="7"/>
  <c r="AC752" i="7"/>
  <c r="AN752" i="7"/>
  <c r="AI752" i="7" s="1"/>
  <c r="AO752" i="7"/>
  <c r="AK752" i="7" s="1"/>
  <c r="AM752" i="7"/>
  <c r="AG752" i="7" s="1"/>
  <c r="AE752" i="7" s="1"/>
  <c r="AJ752" i="7" l="1"/>
  <c r="AF752" i="7"/>
  <c r="AC753" i="7"/>
  <c r="AH752" i="7"/>
  <c r="AA753" i="7"/>
  <c r="AD752" i="7" l="1"/>
  <c r="Z753" i="7" l="1"/>
  <c r="AB753" i="7"/>
  <c r="AM753" i="7" l="1"/>
  <c r="AG753" i="7" s="1"/>
  <c r="AN753" i="7"/>
  <c r="AI753" i="7" s="1"/>
  <c r="AO753" i="7"/>
  <c r="AK753" i="7" s="1"/>
  <c r="AH753" i="7"/>
  <c r="AF753" i="7"/>
  <c r="AJ753" i="7" l="1"/>
  <c r="AD753" i="7"/>
  <c r="AE753" i="7"/>
  <c r="AC754" i="7" l="1"/>
  <c r="AA754" i="7"/>
  <c r="AB754" i="7"/>
  <c r="Z754" i="7"/>
  <c r="AN754" i="7" l="1"/>
  <c r="AI754" i="7" s="1"/>
  <c r="AO754" i="7"/>
  <c r="AK754" i="7" s="1"/>
  <c r="AM754" i="7"/>
  <c r="AG754" i="7" s="1"/>
  <c r="AE754" i="7" l="1"/>
  <c r="AA755" i="7" s="1"/>
  <c r="AJ754" i="7"/>
  <c r="AH754" i="7"/>
  <c r="AF754" i="7"/>
  <c r="AC755" i="7"/>
  <c r="AD754" i="7" l="1"/>
  <c r="AB755" i="7"/>
  <c r="Z755" i="7"/>
  <c r="AN755" i="7" l="1"/>
  <c r="AI755" i="7" s="1"/>
  <c r="AM755" i="7"/>
  <c r="AG755" i="7" s="1"/>
  <c r="AH755" i="7"/>
  <c r="AO755" i="7"/>
  <c r="AK755" i="7" s="1"/>
  <c r="AF755" i="7" l="1"/>
  <c r="AJ755" i="7"/>
  <c r="AD755" i="7" s="1"/>
  <c r="AE755" i="7"/>
  <c r="AB756" i="7" l="1"/>
  <c r="Z756" i="7"/>
  <c r="AC756" i="7"/>
  <c r="AA756" i="7"/>
  <c r="AN756" i="7" l="1"/>
  <c r="AO756" i="7"/>
  <c r="AK756" i="7" s="1"/>
  <c r="AM756" i="7"/>
  <c r="AF756" i="7"/>
  <c r="AH756" i="7"/>
  <c r="AG756" i="7"/>
  <c r="AI756" i="7"/>
  <c r="AJ756" i="7" l="1"/>
  <c r="AD756" i="7"/>
  <c r="AE756" i="7"/>
  <c r="AC757" i="7" l="1"/>
  <c r="AA757" i="7"/>
  <c r="Z757" i="7"/>
  <c r="AB757" i="7"/>
  <c r="AM757" i="7" l="1"/>
  <c r="AG757" i="7" s="1"/>
  <c r="AN757" i="7"/>
  <c r="AI757" i="7" s="1"/>
  <c r="AO757" i="7"/>
  <c r="AK757" i="7" s="1"/>
  <c r="AJ757" i="7"/>
  <c r="AH757" i="7"/>
  <c r="AF757" i="7"/>
  <c r="AD757" i="7" l="1"/>
  <c r="AE757" i="7"/>
  <c r="AA758" i="7" l="1"/>
  <c r="AC758" i="7"/>
  <c r="Z758" i="7"/>
  <c r="AB758" i="7"/>
  <c r="AM758" i="7" l="1"/>
  <c r="AG758" i="7" s="1"/>
  <c r="AN758" i="7"/>
  <c r="AI758" i="7" s="1"/>
  <c r="AO758" i="7"/>
  <c r="AK758" i="7" s="1"/>
  <c r="AH758" i="7"/>
  <c r="AF758" i="7"/>
  <c r="AJ758" i="7" l="1"/>
  <c r="AD758" i="7" s="1"/>
  <c r="Z759" i="7" s="1"/>
  <c r="AE758" i="7"/>
  <c r="AB759" i="7" l="1"/>
  <c r="AC759" i="7"/>
  <c r="AA759" i="7"/>
  <c r="AO759" i="7" l="1"/>
  <c r="AJ759" i="7" s="1"/>
  <c r="AN759" i="7"/>
  <c r="AM759" i="7"/>
  <c r="AI759" i="7" l="1"/>
  <c r="AH759" i="7"/>
  <c r="AK759" i="7"/>
  <c r="AG759" i="7"/>
  <c r="AF759" i="7"/>
  <c r="AD759" i="7" s="1"/>
  <c r="Z760" i="7" l="1"/>
  <c r="AB760" i="7"/>
  <c r="AE759" i="7"/>
  <c r="AC760" i="7" l="1"/>
  <c r="AA760" i="7"/>
  <c r="AO760" i="7"/>
  <c r="AJ760" i="7" s="1"/>
  <c r="AM760" i="7"/>
  <c r="AF760" i="7" s="1"/>
  <c r="AN760" i="7"/>
  <c r="AH760" i="7" s="1"/>
  <c r="AD760" i="7" l="1"/>
  <c r="AK760" i="7"/>
  <c r="AG760" i="7"/>
  <c r="AI760" i="7"/>
  <c r="AE760" i="7" l="1"/>
  <c r="AB761" i="7"/>
  <c r="Z761" i="7"/>
  <c r="AA761" i="7" l="1"/>
  <c r="AC761" i="7"/>
  <c r="AM761" i="7" l="1"/>
  <c r="AF761" i="7" s="1"/>
  <c r="AO761" i="7"/>
  <c r="AJ761" i="7" s="1"/>
  <c r="AN761" i="7"/>
  <c r="AH761" i="7" s="1"/>
  <c r="AK761" i="7" l="1"/>
  <c r="AD761" i="7"/>
  <c r="AI761" i="7"/>
  <c r="AG761" i="7"/>
  <c r="AB762" i="7" l="1"/>
  <c r="Z762" i="7"/>
  <c r="AE761" i="7"/>
  <c r="AA762" i="7" l="1"/>
  <c r="AC762" i="7"/>
  <c r="AM762" i="7" l="1"/>
  <c r="AN762" i="7"/>
  <c r="AO762" i="7"/>
  <c r="AI762" i="7" l="1"/>
  <c r="AH762" i="7"/>
  <c r="AG762" i="7"/>
  <c r="AF762" i="7"/>
  <c r="AK762" i="7"/>
  <c r="AJ762" i="7"/>
  <c r="AE762" i="7" l="1"/>
  <c r="AD762" i="7"/>
  <c r="Z763" i="7" l="1"/>
  <c r="AB763" i="7"/>
  <c r="AA763" i="7"/>
  <c r="AC763" i="7"/>
  <c r="AN763" i="7" l="1"/>
  <c r="AH763" i="7" s="1"/>
  <c r="AO763" i="7"/>
  <c r="AJ763" i="7" s="1"/>
  <c r="AM763" i="7"/>
  <c r="AF763" i="7" s="1"/>
  <c r="AD763" i="7" l="1"/>
  <c r="AB764" i="7" s="1"/>
  <c r="AG763" i="7"/>
  <c r="AI763" i="7"/>
  <c r="AK763" i="7"/>
  <c r="Z764" i="7"/>
  <c r="AE763" i="7" l="1"/>
  <c r="AC764" i="7" l="1"/>
  <c r="AA764" i="7"/>
  <c r="AO764" i="7" l="1"/>
  <c r="AN764" i="7"/>
  <c r="AM764" i="7"/>
  <c r="AK764" i="7" l="1"/>
  <c r="AJ764" i="7"/>
  <c r="AG764" i="7"/>
  <c r="AF764" i="7"/>
  <c r="AI764" i="7"/>
  <c r="AH764" i="7"/>
  <c r="AD764" i="7" l="1"/>
  <c r="AE764" i="7"/>
  <c r="AC765" i="7" l="1"/>
  <c r="AA765" i="7"/>
  <c r="AB765" i="7"/>
  <c r="Z765" i="7"/>
  <c r="AM765" i="7" l="1"/>
  <c r="AG765" i="7" s="1"/>
  <c r="AO765" i="7"/>
  <c r="AK765" i="7" s="1"/>
  <c r="AN765" i="7"/>
  <c r="AI765" i="7" s="1"/>
  <c r="AF765" i="7"/>
  <c r="AJ765" i="7"/>
  <c r="AH765" i="7" l="1"/>
  <c r="AD765" i="7" s="1"/>
  <c r="AB766" i="7" s="1"/>
  <c r="AE765" i="7"/>
  <c r="AA766" i="7"/>
  <c r="AC766" i="7"/>
  <c r="Z766" i="7" l="1"/>
  <c r="AM766" i="7" l="1"/>
  <c r="AO766" i="7"/>
  <c r="AN766" i="7"/>
  <c r="AK766" i="7" l="1"/>
  <c r="AJ766" i="7"/>
  <c r="AI766" i="7"/>
  <c r="AH766" i="7"/>
  <c r="AG766" i="7"/>
  <c r="AE766" i="7" s="1"/>
  <c r="AF766" i="7"/>
  <c r="AD766" i="7" s="1"/>
  <c r="AB767" i="7" s="1"/>
  <c r="Z767" i="7" l="1"/>
  <c r="AA767" i="7"/>
  <c r="AM767" i="7" s="1"/>
  <c r="AC767" i="7"/>
  <c r="AN767" i="7"/>
  <c r="AI767" i="7" s="1"/>
  <c r="AO767" i="7"/>
  <c r="AK767" i="7" s="1"/>
  <c r="AG767" i="7" l="1"/>
  <c r="AF767" i="7"/>
  <c r="AH767" i="7"/>
  <c r="AJ767" i="7"/>
  <c r="AE767" i="7"/>
  <c r="AD767" i="7" l="1"/>
  <c r="AB768" i="7"/>
  <c r="Z768" i="7"/>
  <c r="AA768" i="7"/>
  <c r="AC768" i="7"/>
  <c r="AO768" i="7" l="1"/>
  <c r="AJ768" i="7" s="1"/>
  <c r="AM768" i="7"/>
  <c r="AF768" i="7" s="1"/>
  <c r="AN768" i="7"/>
  <c r="AH768" i="7" s="1"/>
  <c r="AG768" i="7" l="1"/>
  <c r="AD768" i="7"/>
  <c r="AI768" i="7"/>
  <c r="AK768" i="7"/>
  <c r="AB769" i="7" l="1"/>
  <c r="Z769" i="7"/>
  <c r="AE768" i="7"/>
  <c r="AA769" i="7" l="1"/>
  <c r="AC769" i="7"/>
  <c r="AN769" i="7"/>
  <c r="AH769" i="7" s="1"/>
  <c r="AM769" i="7"/>
  <c r="AF769" i="7" s="1"/>
  <c r="AO769" i="7"/>
  <c r="AJ769" i="7" s="1"/>
  <c r="AD769" i="7" l="1"/>
  <c r="Z770" i="7" s="1"/>
  <c r="AB770" i="7"/>
  <c r="AK769" i="7"/>
  <c r="AI769" i="7"/>
  <c r="AG769" i="7"/>
  <c r="AE769" i="7" l="1"/>
  <c r="AA770" i="7" l="1"/>
  <c r="AC770" i="7"/>
  <c r="AN770" i="7" l="1"/>
  <c r="AH770" i="7" s="1"/>
  <c r="AM770" i="7"/>
  <c r="AO770" i="7"/>
  <c r="AJ770" i="7" s="1"/>
  <c r="AG770" i="7" l="1"/>
  <c r="AF770" i="7"/>
  <c r="AD770" i="7" s="1"/>
  <c r="AK770" i="7"/>
  <c r="AI770" i="7"/>
  <c r="AB771" i="7" l="1"/>
  <c r="Z771" i="7"/>
  <c r="AE770" i="7"/>
  <c r="AC771" i="7" l="1"/>
  <c r="AA771" i="7"/>
  <c r="AM771" i="7" s="1"/>
  <c r="AN771" i="7" l="1"/>
  <c r="AI771" i="7" s="1"/>
  <c r="AO771" i="7"/>
  <c r="AK771" i="7" s="1"/>
  <c r="AG771" i="7"/>
  <c r="AF771" i="7"/>
  <c r="AH771" i="7"/>
  <c r="AJ771" i="7" l="1"/>
  <c r="AE771" i="7"/>
  <c r="AD771" i="7"/>
  <c r="AC772" i="7" l="1"/>
  <c r="AA772" i="7"/>
  <c r="AB772" i="7"/>
  <c r="Z772" i="7"/>
  <c r="AM772" i="7" l="1"/>
  <c r="AG772" i="7" s="1"/>
  <c r="AN772" i="7"/>
  <c r="AI772" i="7" s="1"/>
  <c r="AO772" i="7"/>
  <c r="AK772" i="7" s="1"/>
  <c r="AF772" i="7"/>
  <c r="AH772" i="7"/>
  <c r="AJ772" i="7" l="1"/>
  <c r="AD772" i="7" s="1"/>
  <c r="AE772" i="7"/>
  <c r="AC773" i="7" l="1"/>
  <c r="AA773" i="7"/>
  <c r="AB773" i="7"/>
  <c r="Z773" i="7"/>
  <c r="AM773" i="7" l="1"/>
  <c r="AF773" i="7" s="1"/>
  <c r="AO773" i="7"/>
  <c r="AJ773" i="7" s="1"/>
  <c r="AN773" i="7"/>
  <c r="AH773" i="7" s="1"/>
  <c r="AG773" i="7"/>
  <c r="AK773" i="7"/>
  <c r="AI773" i="7" l="1"/>
  <c r="AE773" i="7"/>
  <c r="AD773" i="7"/>
  <c r="AB774" i="7" l="1"/>
  <c r="Z774" i="7"/>
  <c r="AA774" i="7"/>
  <c r="AC774" i="7"/>
  <c r="AO774" i="7" l="1"/>
  <c r="AM774" i="7"/>
  <c r="AN774" i="7"/>
  <c r="AI774" i="7" s="1"/>
  <c r="AJ774" i="7"/>
  <c r="AF774" i="7"/>
  <c r="AK774" i="7"/>
  <c r="AG774" i="7"/>
  <c r="AH774" i="7" l="1"/>
  <c r="AD774" i="7" s="1"/>
  <c r="AE774" i="7"/>
  <c r="AB775" i="7" l="1"/>
  <c r="Z775" i="7"/>
  <c r="AA775" i="7"/>
  <c r="AC775" i="7"/>
  <c r="AM775" i="7" l="1"/>
  <c r="AO775" i="7"/>
  <c r="AJ775" i="7" s="1"/>
  <c r="AN775" i="7"/>
  <c r="AI775" i="7" l="1"/>
  <c r="AH775" i="7"/>
  <c r="AG775" i="7"/>
  <c r="AF775" i="7"/>
  <c r="AK775" i="7"/>
  <c r="AE775" i="7" s="1"/>
  <c r="AA776" i="7" l="1"/>
  <c r="AC776" i="7"/>
  <c r="AD775" i="7"/>
  <c r="AB776" i="7" l="1"/>
  <c r="Z776" i="7"/>
  <c r="AN776" i="7" l="1"/>
  <c r="AI776" i="7" s="1"/>
  <c r="AO776" i="7"/>
  <c r="AK776" i="7" s="1"/>
  <c r="AM776" i="7"/>
  <c r="AH776" i="7"/>
  <c r="AJ776" i="7"/>
  <c r="AF776" i="7" l="1"/>
  <c r="AG776" i="7"/>
  <c r="AE776" i="7" s="1"/>
  <c r="AD776" i="7"/>
  <c r="AC777" i="7" l="1"/>
  <c r="AA777" i="7"/>
  <c r="Z777" i="7"/>
  <c r="AB777" i="7"/>
  <c r="AM777" i="7" l="1"/>
  <c r="AF777" i="7" s="1"/>
  <c r="AO777" i="7"/>
  <c r="AJ777" i="7" s="1"/>
  <c r="AN777" i="7"/>
  <c r="AH777" i="7" s="1"/>
  <c r="AG777" i="7" l="1"/>
  <c r="AK777" i="7"/>
  <c r="AI777" i="7"/>
  <c r="AD777" i="7"/>
  <c r="Z778" i="7" l="1"/>
  <c r="AB778" i="7"/>
  <c r="AE777" i="7"/>
  <c r="AC778" i="7" l="1"/>
  <c r="AA778" i="7"/>
  <c r="AO778" i="7"/>
  <c r="AJ778" i="7" s="1"/>
  <c r="AN778" i="7"/>
  <c r="AH778" i="7" s="1"/>
  <c r="AM778" i="7"/>
  <c r="AF778" i="7" s="1"/>
  <c r="AG778" i="7" l="1"/>
  <c r="AK778" i="7"/>
  <c r="AI778" i="7"/>
  <c r="AD778" i="7"/>
  <c r="AB779" i="7" l="1"/>
  <c r="Z779" i="7"/>
  <c r="AE778" i="7"/>
  <c r="AA779" i="7" l="1"/>
  <c r="AC779" i="7"/>
  <c r="AM779" i="7" l="1"/>
  <c r="AN779" i="7"/>
  <c r="AO779" i="7"/>
  <c r="AK779" i="7" l="1"/>
  <c r="AJ779" i="7"/>
  <c r="AI779" i="7"/>
  <c r="AH779" i="7"/>
  <c r="AG779" i="7"/>
  <c r="AE779" i="7" s="1"/>
  <c r="AF779" i="7"/>
  <c r="AA780" i="7" l="1"/>
  <c r="AC780" i="7"/>
  <c r="AD779" i="7"/>
  <c r="AB780" i="7" l="1"/>
  <c r="Z780" i="7"/>
  <c r="AM780" i="7" l="1"/>
  <c r="AG780" i="7" s="1"/>
  <c r="AN780" i="7"/>
  <c r="AI780" i="7" s="1"/>
  <c r="AF780" i="7"/>
  <c r="AO780" i="7"/>
  <c r="AK780" i="7" s="1"/>
  <c r="AH780" i="7" l="1"/>
  <c r="AJ780" i="7"/>
  <c r="AD780" i="7" s="1"/>
  <c r="AE780" i="7"/>
  <c r="Z781" i="7" l="1"/>
  <c r="AB781" i="7"/>
  <c r="AC781" i="7"/>
  <c r="AA781" i="7"/>
  <c r="AN781" i="7" l="1"/>
  <c r="AI781" i="7" s="1"/>
  <c r="AM781" i="7"/>
  <c r="AG781" i="7" s="1"/>
  <c r="AO781" i="7"/>
  <c r="AK781" i="7" s="1"/>
  <c r="AH781" i="7"/>
  <c r="AJ781" i="7" l="1"/>
  <c r="AE781" i="7"/>
  <c r="AA782" i="7" s="1"/>
  <c r="AC782" i="7"/>
  <c r="AF781" i="7"/>
  <c r="AD781" i="7" s="1"/>
  <c r="Z782" i="7" l="1"/>
  <c r="AB782" i="7"/>
  <c r="AM782" i="7" l="1"/>
  <c r="AG782" i="7" s="1"/>
  <c r="AN782" i="7"/>
  <c r="AI782" i="7" s="1"/>
  <c r="AO782" i="7"/>
  <c r="AK782" i="7" s="1"/>
  <c r="AH782" i="7"/>
  <c r="AJ782" i="7" l="1"/>
  <c r="AE782" i="7"/>
  <c r="AF782" i="7"/>
  <c r="AD782" i="7" s="1"/>
  <c r="AB783" i="7" l="1"/>
  <c r="Z783" i="7"/>
  <c r="AA783" i="7"/>
  <c r="AC783" i="7"/>
  <c r="AM783" i="7" l="1"/>
  <c r="AG783" i="7" s="1"/>
  <c r="AN783" i="7"/>
  <c r="AI783" i="7" s="1"/>
  <c r="AF783" i="7"/>
  <c r="AO783" i="7"/>
  <c r="AK783" i="7" s="1"/>
  <c r="AH783" i="7"/>
  <c r="AJ783" i="7" l="1"/>
  <c r="AD783" i="7" s="1"/>
  <c r="AE783" i="7"/>
  <c r="AB784" i="7" l="1"/>
  <c r="Z784" i="7"/>
  <c r="AA784" i="7"/>
  <c r="AC784" i="7"/>
  <c r="AM784" i="7" l="1"/>
  <c r="AF784" i="7" s="1"/>
  <c r="AO784" i="7"/>
  <c r="AJ784" i="7" s="1"/>
  <c r="AN784" i="7"/>
  <c r="AI784" i="7" s="1"/>
  <c r="AH784" i="7" l="1"/>
  <c r="AD784" i="7" s="1"/>
  <c r="AK784" i="7"/>
  <c r="AG784" i="7"/>
  <c r="AE784" i="7" l="1"/>
  <c r="AC785" i="7"/>
  <c r="AA785" i="7"/>
  <c r="AB785" i="7"/>
  <c r="Z785" i="7"/>
  <c r="AO785" i="7" l="1"/>
  <c r="AJ785" i="7" s="1"/>
  <c r="AN785" i="7"/>
  <c r="AI785" i="7" s="1"/>
  <c r="AM785" i="7"/>
  <c r="AF785" i="7" s="1"/>
  <c r="AH785" i="7" l="1"/>
  <c r="AD785" i="7"/>
  <c r="AB786" i="7" s="1"/>
  <c r="AG785" i="7"/>
  <c r="AK785" i="7"/>
  <c r="Z786" i="7" l="1"/>
  <c r="AE785" i="7"/>
  <c r="AC786" i="7" l="1"/>
  <c r="AA786" i="7"/>
  <c r="AO786" i="7" l="1"/>
  <c r="AJ786" i="7" s="1"/>
  <c r="AM786" i="7"/>
  <c r="AF786" i="7" s="1"/>
  <c r="AN786" i="7"/>
  <c r="AH786" i="7" s="1"/>
  <c r="AD786" i="7" l="1"/>
  <c r="AK786" i="7"/>
  <c r="AB787" i="7"/>
  <c r="Z787" i="7"/>
  <c r="AI786" i="7"/>
  <c r="AG786" i="7"/>
  <c r="AE786" i="7" s="1"/>
  <c r="AA787" i="7" l="1"/>
  <c r="AC787" i="7"/>
  <c r="AM787" i="7"/>
  <c r="AG787" i="7" s="1"/>
  <c r="AO787" i="7"/>
  <c r="AJ787" i="7" s="1"/>
  <c r="AN787" i="7"/>
  <c r="AH787" i="7" s="1"/>
  <c r="AF787" i="7"/>
  <c r="AD787" i="7" l="1"/>
  <c r="AI787" i="7"/>
  <c r="AK787" i="7"/>
  <c r="AE787" i="7" l="1"/>
  <c r="AC788" i="7"/>
  <c r="AA788" i="7"/>
  <c r="AB788" i="7"/>
  <c r="Z788" i="7"/>
  <c r="AM788" i="7" l="1"/>
  <c r="AG788" i="7" s="1"/>
  <c r="AF788" i="7"/>
  <c r="AN788" i="7"/>
  <c r="AI788" i="7" s="1"/>
  <c r="AO788" i="7"/>
  <c r="AK788" i="7" s="1"/>
  <c r="AJ788" i="7" l="1"/>
  <c r="AH788" i="7"/>
  <c r="AD788" i="7" s="1"/>
  <c r="AE788" i="7"/>
  <c r="AB789" i="7" l="1"/>
  <c r="Z789" i="7"/>
  <c r="AC789" i="7"/>
  <c r="AA789" i="7"/>
  <c r="AM789" i="7" l="1"/>
  <c r="AG789" i="7" s="1"/>
  <c r="AO789" i="7"/>
  <c r="AK789" i="7" s="1"/>
  <c r="AN789" i="7"/>
  <c r="AI789" i="7" s="1"/>
  <c r="AE789" i="7" l="1"/>
  <c r="AF789" i="7"/>
  <c r="AH789" i="7"/>
  <c r="AJ789" i="7"/>
  <c r="AD789" i="7" l="1"/>
  <c r="AA790" i="7"/>
  <c r="AC790" i="7"/>
  <c r="AB790" i="7" l="1"/>
  <c r="Z790" i="7"/>
  <c r="AM790" i="7" l="1"/>
  <c r="AG790" i="7" s="1"/>
  <c r="AO790" i="7"/>
  <c r="AK790" i="7" s="1"/>
  <c r="AN790" i="7"/>
  <c r="AI790" i="7" s="1"/>
  <c r="AJ790" i="7"/>
  <c r="AF790" i="7"/>
  <c r="AH790" i="7" l="1"/>
  <c r="AD790" i="7" s="1"/>
  <c r="AE790" i="7"/>
  <c r="AB791" i="7" l="1"/>
  <c r="Z791" i="7"/>
  <c r="AC791" i="7"/>
  <c r="AA791" i="7"/>
  <c r="AM791" i="7" l="1"/>
  <c r="AG791" i="7" s="1"/>
  <c r="AO791" i="7"/>
  <c r="AK791" i="7" s="1"/>
  <c r="AF791" i="7"/>
  <c r="AN791" i="7"/>
  <c r="AI791" i="7" s="1"/>
  <c r="AJ791" i="7" l="1"/>
  <c r="AE791" i="7"/>
  <c r="AC792" i="7" s="1"/>
  <c r="AA792" i="7"/>
  <c r="AH791" i="7"/>
  <c r="AD791" i="7" s="1"/>
  <c r="Z792" i="7" l="1"/>
  <c r="AB792" i="7"/>
  <c r="AN792" i="7" l="1"/>
  <c r="AO792" i="7"/>
  <c r="AK792" i="7" s="1"/>
  <c r="AM792" i="7"/>
  <c r="AG792" i="7" s="1"/>
  <c r="AF792" i="7"/>
  <c r="AJ792" i="7" l="1"/>
  <c r="AH792" i="7"/>
  <c r="AD792" i="7" s="1"/>
  <c r="AI792" i="7"/>
  <c r="AE792" i="7" s="1"/>
  <c r="AB793" i="7" l="1"/>
  <c r="Z793" i="7"/>
  <c r="AA793" i="7"/>
  <c r="AC793" i="7"/>
  <c r="AM793" i="7" l="1"/>
  <c r="AF793" i="7" s="1"/>
  <c r="AO793" i="7"/>
  <c r="AJ793" i="7" s="1"/>
  <c r="AN793" i="7"/>
  <c r="AH793" i="7" s="1"/>
  <c r="AG793" i="7"/>
  <c r="AI793" i="7"/>
  <c r="AK793" i="7"/>
  <c r="AE793" i="7" l="1"/>
  <c r="AD793" i="7"/>
  <c r="AB794" i="7" l="1"/>
  <c r="Z794" i="7"/>
  <c r="AA794" i="7"/>
  <c r="AC794" i="7"/>
  <c r="AN794" i="7" l="1"/>
  <c r="AH794" i="7" s="1"/>
  <c r="AM794" i="7"/>
  <c r="AF794" i="7" s="1"/>
  <c r="AO794" i="7"/>
  <c r="AJ794" i="7" s="1"/>
  <c r="AG794" i="7"/>
  <c r="AK794" i="7"/>
  <c r="AI794" i="7"/>
  <c r="AE794" i="7" l="1"/>
  <c r="AD794" i="7"/>
  <c r="AB795" i="7" l="1"/>
  <c r="Z795" i="7"/>
  <c r="AA795" i="7"/>
  <c r="AC795" i="7"/>
  <c r="AN795" i="7" l="1"/>
  <c r="AI795" i="7" s="1"/>
  <c r="AO795" i="7"/>
  <c r="AK795" i="7" s="1"/>
  <c r="AH795" i="7"/>
  <c r="AM795" i="7"/>
  <c r="AG795" i="7" s="1"/>
  <c r="AE795" i="7" s="1"/>
  <c r="AA796" i="7" s="1"/>
  <c r="AJ795" i="7" l="1"/>
  <c r="AC796" i="7"/>
  <c r="AF795" i="7"/>
  <c r="AD795" i="7" s="1"/>
  <c r="Z796" i="7" l="1"/>
  <c r="AB796" i="7"/>
  <c r="AO796" i="7" l="1"/>
  <c r="AN796" i="7"/>
  <c r="AM796" i="7"/>
  <c r="AF796" i="7" l="1"/>
  <c r="AG796" i="7"/>
  <c r="AJ796" i="7"/>
  <c r="AK796" i="7"/>
  <c r="AH796" i="7"/>
  <c r="AI796" i="7"/>
  <c r="AE796" i="7" l="1"/>
  <c r="AD796" i="7"/>
  <c r="AB797" i="7" l="1"/>
  <c r="Z797" i="7"/>
  <c r="AC797" i="7"/>
  <c r="AA797" i="7"/>
  <c r="AO797" i="7" l="1"/>
  <c r="AJ797" i="7" s="1"/>
  <c r="AN797" i="7"/>
  <c r="AH797" i="7" s="1"/>
  <c r="AM797" i="7"/>
  <c r="AF797" i="7" s="1"/>
  <c r="AD797" i="7" s="1"/>
  <c r="AB798" i="7" s="1"/>
  <c r="AK797" i="7"/>
  <c r="AG797" i="7"/>
  <c r="AI797" i="7"/>
  <c r="AE797" i="7" l="1"/>
  <c r="AC798" i="7" s="1"/>
  <c r="Z798" i="7"/>
  <c r="AA798" i="7"/>
  <c r="AO798" i="7" l="1"/>
  <c r="AJ798" i="7" s="1"/>
  <c r="AN798" i="7"/>
  <c r="AI798" i="7" s="1"/>
  <c r="AM798" i="7"/>
  <c r="AF798" i="7" s="1"/>
  <c r="AK798" i="7" l="1"/>
  <c r="AG798" i="7"/>
  <c r="AE798" i="7" s="1"/>
  <c r="AH798" i="7"/>
  <c r="AD798" i="7" s="1"/>
  <c r="AB799" i="7" l="1"/>
  <c r="Z799" i="7"/>
  <c r="AC799" i="7"/>
  <c r="AA799" i="7"/>
  <c r="AM799" i="7" l="1"/>
  <c r="AG799" i="7" s="1"/>
  <c r="AO799" i="7"/>
  <c r="AK799" i="7" s="1"/>
  <c r="AN799" i="7"/>
  <c r="AI799" i="7" s="1"/>
  <c r="AF799" i="7"/>
  <c r="AE799" i="7" l="1"/>
  <c r="AH799" i="7"/>
  <c r="AJ799" i="7"/>
  <c r="AD799" i="7" l="1"/>
  <c r="AB800" i="7"/>
  <c r="Z800" i="7"/>
  <c r="AC800" i="7"/>
  <c r="AA800" i="7"/>
  <c r="AO800" i="7" l="1"/>
  <c r="AK800" i="7" s="1"/>
  <c r="AM800" i="7"/>
  <c r="AG800" i="7" s="1"/>
  <c r="AN800" i="7"/>
  <c r="AI800" i="7" s="1"/>
  <c r="AF800" i="7" l="1"/>
  <c r="AE800" i="7"/>
  <c r="AJ800" i="7"/>
  <c r="AH800" i="7"/>
  <c r="AD800" i="7" s="1"/>
  <c r="AB801" i="7" l="1"/>
  <c r="Z801" i="7"/>
  <c r="AC801" i="7"/>
  <c r="AA801" i="7"/>
  <c r="AO801" i="7" l="1"/>
  <c r="AK801" i="7" s="1"/>
  <c r="AJ801" i="7"/>
  <c r="AM801" i="7"/>
  <c r="AG801" i="7" s="1"/>
  <c r="AN801" i="7"/>
  <c r="AI801" i="7" s="1"/>
  <c r="AE801" i="7" l="1"/>
  <c r="AA802" i="7" s="1"/>
  <c r="AC802" i="7"/>
  <c r="AH801" i="7"/>
  <c r="AF801" i="7"/>
  <c r="AD801" i="7" l="1"/>
  <c r="Z802" i="7"/>
  <c r="AB802" i="7"/>
  <c r="AM802" i="7" l="1"/>
  <c r="AG802" i="7" s="1"/>
  <c r="AN802" i="7"/>
  <c r="AF802" i="7"/>
  <c r="AO802" i="7"/>
  <c r="AJ802" i="7" l="1"/>
  <c r="AK802" i="7"/>
  <c r="AH802" i="7"/>
  <c r="AD802" i="7" s="1"/>
  <c r="AI802" i="7"/>
  <c r="AE802" i="7" s="1"/>
  <c r="AC803" i="7" l="1"/>
  <c r="AA803" i="7"/>
  <c r="AB803" i="7"/>
  <c r="Z803" i="7"/>
  <c r="AM803" i="7" l="1"/>
  <c r="AG803" i="7" s="1"/>
  <c r="AO803" i="7"/>
  <c r="AK803" i="7" s="1"/>
  <c r="AN803" i="7"/>
  <c r="AI803" i="7" s="1"/>
  <c r="AF803" i="7"/>
  <c r="AJ803" i="7" l="1"/>
  <c r="AE803" i="7"/>
  <c r="AH803" i="7"/>
  <c r="AD803" i="7" s="1"/>
  <c r="AB804" i="7" l="1"/>
  <c r="Z804" i="7"/>
  <c r="AA804" i="7"/>
  <c r="AC804" i="7"/>
  <c r="AO804" i="7" l="1"/>
  <c r="AK804" i="7" s="1"/>
  <c r="AN804" i="7"/>
  <c r="AI804" i="7" s="1"/>
  <c r="AM804" i="7"/>
  <c r="AG804" i="7" s="1"/>
  <c r="AE804" i="7" l="1"/>
  <c r="AC805" i="7" s="1"/>
  <c r="AJ804" i="7"/>
  <c r="AH804" i="7"/>
  <c r="AF804" i="7"/>
  <c r="AA805" i="7"/>
  <c r="AD804" i="7" l="1"/>
  <c r="AB805" i="7"/>
  <c r="Z805" i="7"/>
  <c r="AM805" i="7" l="1"/>
  <c r="AG805" i="7" s="1"/>
  <c r="AO805" i="7"/>
  <c r="AK805" i="7" s="1"/>
  <c r="AN805" i="7"/>
  <c r="AI805" i="7" s="1"/>
  <c r="AF805" i="7"/>
  <c r="AJ805" i="7"/>
  <c r="AH805" i="7"/>
  <c r="AD805" i="7" l="1"/>
  <c r="AE805" i="7"/>
  <c r="AC806" i="7" l="1"/>
  <c r="AA806" i="7"/>
  <c r="Z806" i="7"/>
  <c r="AB806" i="7"/>
  <c r="AM806" i="7" l="1"/>
  <c r="AG806" i="7" s="1"/>
  <c r="AO806" i="7"/>
  <c r="AJ806" i="7" s="1"/>
  <c r="AN806" i="7"/>
  <c r="AH806" i="7" s="1"/>
  <c r="AK806" i="7"/>
  <c r="AI806" i="7" l="1"/>
  <c r="AE806" i="7" s="1"/>
  <c r="AF806" i="7"/>
  <c r="AD806" i="7" s="1"/>
  <c r="AC807" i="7" l="1"/>
  <c r="AA807" i="7"/>
  <c r="AB807" i="7"/>
  <c r="Z807" i="7"/>
  <c r="AN807" i="7" l="1"/>
  <c r="AI807" i="7" s="1"/>
  <c r="AO807" i="7"/>
  <c r="AM807" i="7"/>
  <c r="AH807" i="7" l="1"/>
  <c r="AF807" i="7"/>
  <c r="AG807" i="7"/>
  <c r="AJ807" i="7"/>
  <c r="AK807" i="7"/>
  <c r="AE807" i="7" l="1"/>
  <c r="AD807" i="7"/>
  <c r="Z808" i="7" l="1"/>
  <c r="AB808" i="7"/>
  <c r="AC808" i="7"/>
  <c r="AA808" i="7"/>
  <c r="AM808" i="7" l="1"/>
  <c r="AF808" i="7" s="1"/>
  <c r="AN808" i="7"/>
  <c r="AH808" i="7" s="1"/>
  <c r="AO808" i="7"/>
  <c r="AJ808" i="7" s="1"/>
  <c r="AK808" i="7" l="1"/>
  <c r="AG808" i="7"/>
  <c r="AI808" i="7"/>
  <c r="AD808" i="7"/>
  <c r="AB809" i="7" l="1"/>
  <c r="Z809" i="7"/>
  <c r="AE808" i="7"/>
  <c r="AC809" i="7" l="1"/>
  <c r="AA809" i="7"/>
  <c r="AN809" i="7" l="1"/>
  <c r="AH809" i="7" s="1"/>
  <c r="AI809" i="7"/>
  <c r="AO809" i="7"/>
  <c r="AJ809" i="7" s="1"/>
  <c r="AM809" i="7"/>
  <c r="AF809" i="7" s="1"/>
  <c r="AD809" i="7" s="1"/>
  <c r="AB810" i="7" l="1"/>
  <c r="Z810" i="7"/>
  <c r="AK809" i="7"/>
  <c r="AG809" i="7"/>
  <c r="AE809" i="7" l="1"/>
  <c r="AA810" i="7" l="1"/>
  <c r="AC810" i="7"/>
  <c r="AN810" i="7" l="1"/>
  <c r="AO810" i="7"/>
  <c r="AM810" i="7"/>
  <c r="AK810" i="7" l="1"/>
  <c r="AJ810" i="7"/>
  <c r="AG810" i="7"/>
  <c r="AF810" i="7"/>
  <c r="AI810" i="7"/>
  <c r="AH810" i="7"/>
  <c r="AD810" i="7" l="1"/>
  <c r="AE810" i="7"/>
  <c r="AC811" i="7" l="1"/>
  <c r="AA811" i="7"/>
  <c r="AB811" i="7"/>
  <c r="Z811" i="7"/>
  <c r="AO811" i="7" l="1"/>
  <c r="AN811" i="7"/>
  <c r="AI811" i="7" s="1"/>
  <c r="AM811" i="7"/>
  <c r="AG811" i="7" s="1"/>
  <c r="AF811" i="7"/>
  <c r="AJ811" i="7"/>
  <c r="AK811" i="7"/>
  <c r="AH811" i="7" l="1"/>
  <c r="AE811" i="7"/>
  <c r="AC812" i="7"/>
  <c r="AA812" i="7"/>
  <c r="AD811" i="7"/>
  <c r="AB812" i="7" l="1"/>
  <c r="Z812" i="7"/>
  <c r="AM812" i="7" l="1"/>
  <c r="AG812" i="7" s="1"/>
  <c r="AN812" i="7"/>
  <c r="AI812" i="7" s="1"/>
  <c r="AF812" i="7"/>
  <c r="AO812" i="7"/>
  <c r="AK812" i="7" s="1"/>
  <c r="AE812" i="7" l="1"/>
  <c r="AH812" i="7"/>
  <c r="AJ812" i="7"/>
  <c r="AD812" i="7" l="1"/>
  <c r="AB813" i="7"/>
  <c r="Z813" i="7"/>
  <c r="AA813" i="7"/>
  <c r="AC813" i="7"/>
  <c r="AN813" i="7" l="1"/>
  <c r="AH813" i="7" s="1"/>
  <c r="AM813" i="7"/>
  <c r="AF813" i="7" s="1"/>
  <c r="AO813" i="7"/>
  <c r="AJ813" i="7" s="1"/>
  <c r="AD813" i="7" l="1"/>
  <c r="Z814" i="7"/>
  <c r="AB814" i="7"/>
  <c r="AG813" i="7"/>
  <c r="AI813" i="7"/>
  <c r="AK813" i="7"/>
  <c r="AE813" i="7" l="1"/>
  <c r="AC814" i="7" l="1"/>
  <c r="AA814" i="7"/>
  <c r="AO814" i="7" l="1"/>
  <c r="AM814" i="7"/>
  <c r="AN814" i="7"/>
  <c r="AK814" i="7" l="1"/>
  <c r="AJ814" i="7"/>
  <c r="AI814" i="7"/>
  <c r="AH814" i="7"/>
  <c r="AG814" i="7"/>
  <c r="AE814" i="7" s="1"/>
  <c r="AF814" i="7"/>
  <c r="AD814" i="7" s="1"/>
  <c r="AA815" i="7" l="1"/>
  <c r="AC815" i="7"/>
  <c r="Z815" i="7"/>
  <c r="AB815" i="7"/>
  <c r="AO815" i="7" l="1"/>
  <c r="AJ815" i="7" s="1"/>
  <c r="AM815" i="7"/>
  <c r="AG815" i="7" s="1"/>
  <c r="AN815" i="7"/>
  <c r="AI815" i="7" s="1"/>
  <c r="AK815" i="7"/>
  <c r="AF815" i="7" l="1"/>
  <c r="AH815" i="7"/>
  <c r="AE815" i="7"/>
  <c r="AD815" i="7" l="1"/>
  <c r="AC816" i="7"/>
  <c r="AA816" i="7"/>
  <c r="AB816" i="7"/>
  <c r="Z816" i="7"/>
  <c r="AM816" i="7" l="1"/>
  <c r="AG816" i="7" s="1"/>
  <c r="AO816" i="7"/>
  <c r="AK816" i="7" s="1"/>
  <c r="AN816" i="7"/>
  <c r="AI816" i="7" s="1"/>
  <c r="AJ816" i="7"/>
  <c r="AF816" i="7"/>
  <c r="AH816" i="7" l="1"/>
  <c r="AD816" i="7" s="1"/>
  <c r="AE816" i="7"/>
  <c r="AA817" i="7" l="1"/>
  <c r="AC817" i="7"/>
  <c r="AB817" i="7"/>
  <c r="Z817" i="7"/>
  <c r="AN817" i="7" l="1"/>
  <c r="AM817" i="7"/>
  <c r="AF817" i="7" s="1"/>
  <c r="AO817" i="7"/>
  <c r="AK817" i="7" s="1"/>
  <c r="AH817" i="7"/>
  <c r="AJ817" i="7"/>
  <c r="AI817" i="7"/>
  <c r="AG817" i="7" l="1"/>
  <c r="AE817" i="7"/>
  <c r="AD817" i="7"/>
  <c r="AB818" i="7" l="1"/>
  <c r="Z818" i="7"/>
  <c r="AC818" i="7"/>
  <c r="AA818" i="7"/>
  <c r="AM818" i="7" l="1"/>
  <c r="AG818" i="7" s="1"/>
  <c r="AO818" i="7"/>
  <c r="AK818" i="7" s="1"/>
  <c r="AN818" i="7"/>
  <c r="AI818" i="7" s="1"/>
  <c r="AF818" i="7"/>
  <c r="AJ818" i="7" l="1"/>
  <c r="AH818" i="7"/>
  <c r="AD818" i="7" s="1"/>
  <c r="AE818" i="7"/>
  <c r="AC819" i="7" l="1"/>
  <c r="AA819" i="7"/>
  <c r="AB819" i="7"/>
  <c r="Z819" i="7"/>
  <c r="AN819" i="7" l="1"/>
  <c r="AI819" i="7" s="1"/>
  <c r="AO819" i="7"/>
  <c r="AK819" i="7" s="1"/>
  <c r="AM819" i="7"/>
  <c r="AG819" i="7" s="1"/>
  <c r="AH819" i="7"/>
  <c r="AF819" i="7"/>
  <c r="AJ819" i="7"/>
  <c r="AE819" i="7" l="1"/>
  <c r="AA820" i="7" s="1"/>
  <c r="AD819" i="7"/>
  <c r="AC820" i="7"/>
  <c r="AB820" i="7" l="1"/>
  <c r="Z820" i="7"/>
  <c r="AM820" i="7" l="1"/>
  <c r="AG820" i="7" s="1"/>
  <c r="AF820" i="7"/>
  <c r="AN820" i="7"/>
  <c r="AI820" i="7" s="1"/>
  <c r="AO820" i="7"/>
  <c r="AK820" i="7" s="1"/>
  <c r="AH820" i="7" l="1"/>
  <c r="AJ820" i="7"/>
  <c r="AD820" i="7" s="1"/>
  <c r="AE820" i="7"/>
  <c r="Z821" i="7" l="1"/>
  <c r="AB821" i="7"/>
  <c r="AC821" i="7"/>
  <c r="AA821" i="7"/>
  <c r="AN821" i="7" l="1"/>
  <c r="AH821" i="7" s="1"/>
  <c r="AO821" i="7"/>
  <c r="AJ821" i="7" s="1"/>
  <c r="AM821" i="7"/>
  <c r="AG821" i="7" s="1"/>
  <c r="AI821" i="7" l="1"/>
  <c r="AF821" i="7"/>
  <c r="AD821" i="7" s="1"/>
  <c r="AK821" i="7"/>
  <c r="AE821" i="7" l="1"/>
  <c r="AC822" i="7"/>
  <c r="AA822" i="7"/>
  <c r="Z822" i="7"/>
  <c r="AB822" i="7"/>
  <c r="AN822" i="7" l="1"/>
  <c r="AI822" i="7" s="1"/>
  <c r="AM822" i="7"/>
  <c r="AG822" i="7" s="1"/>
  <c r="AH822" i="7"/>
  <c r="AF822" i="7"/>
  <c r="AO822" i="7"/>
  <c r="AJ822" i="7" s="1"/>
  <c r="AD822" i="7" s="1"/>
  <c r="AB823" i="7" s="1"/>
  <c r="AK822" i="7" l="1"/>
  <c r="AE822" i="7" s="1"/>
  <c r="AA823" i="7" s="1"/>
  <c r="Z823" i="7"/>
  <c r="AC823" i="7"/>
  <c r="AM823" i="7" l="1"/>
  <c r="AG823" i="7" s="1"/>
  <c r="AN823" i="7"/>
  <c r="AI823" i="7" s="1"/>
  <c r="AO823" i="7"/>
  <c r="AK823" i="7" s="1"/>
  <c r="AH823" i="7"/>
  <c r="AF823" i="7"/>
  <c r="AE823" i="7" l="1"/>
  <c r="AJ823" i="7"/>
  <c r="AD823" i="7" s="1"/>
  <c r="AB824" i="7" l="1"/>
  <c r="Z824" i="7"/>
  <c r="AC824" i="7"/>
  <c r="AA824" i="7"/>
  <c r="AN824" i="7" l="1"/>
  <c r="AI824" i="7" s="1"/>
  <c r="AM824" i="7"/>
  <c r="AG824" i="7" s="1"/>
  <c r="AO824" i="7"/>
  <c r="AK824" i="7" s="1"/>
  <c r="AH824" i="7"/>
  <c r="AF824" i="7"/>
  <c r="AJ824" i="7" l="1"/>
  <c r="AD824" i="7" s="1"/>
  <c r="AE824" i="7"/>
  <c r="AA825" i="7" s="1"/>
  <c r="AC825" i="7" l="1"/>
  <c r="Z825" i="7"/>
  <c r="AB825" i="7"/>
  <c r="AM825" i="7"/>
  <c r="AF825" i="7" s="1"/>
  <c r="AO825" i="7"/>
  <c r="AJ825" i="7" s="1"/>
  <c r="AN825" i="7"/>
  <c r="AG825" i="7" l="1"/>
  <c r="AK825" i="7"/>
  <c r="AI825" i="7"/>
  <c r="AE825" i="7" s="1"/>
  <c r="AH825" i="7"/>
  <c r="AD825" i="7" s="1"/>
  <c r="AA826" i="7" l="1"/>
  <c r="AC826" i="7"/>
  <c r="Z826" i="7"/>
  <c r="AB826" i="7"/>
  <c r="AN826" i="7" l="1"/>
  <c r="AI826" i="7" s="1"/>
  <c r="AM826" i="7"/>
  <c r="AF826" i="7" s="1"/>
  <c r="AH826" i="7"/>
  <c r="AO826" i="7"/>
  <c r="AJ826" i="7" s="1"/>
  <c r="AD826" i="7" l="1"/>
  <c r="AK826" i="7"/>
  <c r="AG826" i="7"/>
  <c r="AE826" i="7" s="1"/>
  <c r="AC827" i="7" l="1"/>
  <c r="AA827" i="7"/>
  <c r="Z827" i="7"/>
  <c r="AB827" i="7"/>
  <c r="AM827" i="7" l="1"/>
  <c r="AG827" i="7" s="1"/>
  <c r="AO827" i="7"/>
  <c r="AJ827" i="7" s="1"/>
  <c r="AN827" i="7"/>
  <c r="AI827" i="7" s="1"/>
  <c r="AH827" i="7"/>
  <c r="AF827" i="7"/>
  <c r="AK827" i="7"/>
  <c r="AD827" i="7" l="1"/>
  <c r="AB828" i="7" s="1"/>
  <c r="Z828" i="7"/>
  <c r="AE827" i="7"/>
  <c r="AA828" i="7" l="1"/>
  <c r="AC828" i="7"/>
  <c r="AN828" i="7"/>
  <c r="AI828" i="7" s="1"/>
  <c r="AO828" i="7"/>
  <c r="AK828" i="7" s="1"/>
  <c r="AM828" i="7"/>
  <c r="AG828" i="7" s="1"/>
  <c r="AE828" i="7" s="1"/>
  <c r="AA829" i="7" s="1"/>
  <c r="AH828" i="7"/>
  <c r="AJ828" i="7" l="1"/>
  <c r="AF828" i="7"/>
  <c r="AD828" i="7" s="1"/>
  <c r="AC829" i="7"/>
  <c r="AB829" i="7" l="1"/>
  <c r="Z829" i="7"/>
  <c r="AM829" i="7" l="1"/>
  <c r="AG829" i="7" s="1"/>
  <c r="AN829" i="7"/>
  <c r="AI829" i="7" s="1"/>
  <c r="AO829" i="7"/>
  <c r="AK829" i="7" s="1"/>
  <c r="AH829" i="7"/>
  <c r="AF829" i="7"/>
  <c r="AJ829" i="7" l="1"/>
  <c r="AD829" i="7"/>
  <c r="AB830" i="7" s="1"/>
  <c r="Z830" i="7"/>
  <c r="AE829" i="7"/>
  <c r="AA830" i="7" l="1"/>
  <c r="AC830" i="7"/>
  <c r="AO830" i="7" l="1"/>
  <c r="AM830" i="7"/>
  <c r="AN830" i="7"/>
  <c r="AI830" i="7" l="1"/>
  <c r="AH830" i="7"/>
  <c r="AK830" i="7"/>
  <c r="AJ830" i="7"/>
  <c r="AG830" i="7"/>
  <c r="AE830" i="7" s="1"/>
  <c r="AF830" i="7"/>
  <c r="AA831" i="7" l="1"/>
  <c r="AC831" i="7"/>
  <c r="AD830" i="7"/>
  <c r="AB831" i="7" l="1"/>
  <c r="Z831" i="7"/>
  <c r="AN831" i="7" l="1"/>
  <c r="AI831" i="7" s="1"/>
  <c r="AO831" i="7"/>
  <c r="AK831" i="7" s="1"/>
  <c r="AM831" i="7"/>
  <c r="AG831" i="7" s="1"/>
  <c r="AJ831" i="7"/>
  <c r="AF831" i="7"/>
  <c r="AH831" i="7"/>
  <c r="AD831" i="7" l="1"/>
  <c r="AE831" i="7"/>
  <c r="AC832" i="7" l="1"/>
  <c r="AA832" i="7"/>
  <c r="AB832" i="7"/>
  <c r="Z832" i="7"/>
  <c r="AO832" i="7" l="1"/>
  <c r="AK832" i="7" s="1"/>
  <c r="AN832" i="7"/>
  <c r="AI832" i="7" s="1"/>
  <c r="AM832" i="7"/>
  <c r="AG832" i="7" s="1"/>
  <c r="AJ832" i="7"/>
  <c r="AF832" i="7" l="1"/>
  <c r="AH832" i="7"/>
  <c r="AD832" i="7" s="1"/>
  <c r="AE832" i="7"/>
  <c r="Z833" i="7" l="1"/>
  <c r="AB833" i="7"/>
  <c r="AA833" i="7"/>
  <c r="AC833" i="7"/>
  <c r="AM833" i="7" l="1"/>
  <c r="AN833" i="7"/>
  <c r="AO833" i="7"/>
  <c r="AI833" i="7" l="1"/>
  <c r="AH833" i="7"/>
  <c r="AK833" i="7"/>
  <c r="AJ833" i="7"/>
  <c r="AG833" i="7"/>
  <c r="AE833" i="7" s="1"/>
  <c r="AF833" i="7"/>
  <c r="AD833" i="7" s="1"/>
  <c r="AC834" i="7" l="1"/>
  <c r="AA834" i="7"/>
  <c r="AB834" i="7"/>
  <c r="Z834" i="7"/>
  <c r="AM834" i="7" l="1"/>
  <c r="AN834" i="7"/>
  <c r="AI834" i="7" s="1"/>
  <c r="AO834" i="7"/>
  <c r="AK834" i="7" s="1"/>
  <c r="AF834" i="7"/>
  <c r="AH834" i="7"/>
  <c r="AG834" i="7"/>
  <c r="AJ834" i="7" l="1"/>
  <c r="AD834" i="7"/>
  <c r="AE834" i="7"/>
  <c r="AB835" i="7" l="1"/>
  <c r="Z835" i="7"/>
  <c r="AA835" i="7"/>
  <c r="AC835" i="7"/>
  <c r="AN835" i="7" l="1"/>
  <c r="AH835" i="7" s="1"/>
  <c r="AM835" i="7"/>
  <c r="AF835" i="7" s="1"/>
  <c r="AO835" i="7"/>
  <c r="AJ835" i="7" s="1"/>
  <c r="AD835" i="7" l="1"/>
  <c r="AB836" i="7" s="1"/>
  <c r="Z836" i="7"/>
  <c r="AG835" i="7"/>
  <c r="AK835" i="7"/>
  <c r="AI835" i="7"/>
  <c r="AE835" i="7" l="1"/>
  <c r="AC836" i="7" l="1"/>
  <c r="AA836" i="7"/>
  <c r="AN836" i="7" l="1"/>
  <c r="AH836" i="7" s="1"/>
  <c r="AO836" i="7"/>
  <c r="AJ836" i="7" s="1"/>
  <c r="AM836" i="7"/>
  <c r="AF836" i="7" s="1"/>
  <c r="AI836" i="7"/>
  <c r="AG836" i="7" l="1"/>
  <c r="AK836" i="7"/>
  <c r="AE836" i="7" s="1"/>
  <c r="AD836" i="7"/>
  <c r="AC837" i="7" l="1"/>
  <c r="AA837" i="7"/>
  <c r="Z837" i="7"/>
  <c r="AB837" i="7"/>
  <c r="AN837" i="7" l="1"/>
  <c r="AI837" i="7" s="1"/>
  <c r="AO837" i="7"/>
  <c r="AK837" i="7" s="1"/>
  <c r="AM837" i="7"/>
  <c r="AG837" i="7" s="1"/>
  <c r="AE837" i="7" s="1"/>
  <c r="AC838" i="7" s="1"/>
  <c r="AH837" i="7"/>
  <c r="AJ837" i="7" l="1"/>
  <c r="AF837" i="7"/>
  <c r="AD837" i="7" s="1"/>
  <c r="AA838" i="7"/>
  <c r="AB838" i="7" l="1"/>
  <c r="Z838" i="7"/>
  <c r="AM838" i="7" l="1"/>
  <c r="AG838" i="7" s="1"/>
  <c r="AN838" i="7"/>
  <c r="AI838" i="7" s="1"/>
  <c r="AO838" i="7"/>
  <c r="AK838" i="7" s="1"/>
  <c r="AH838" i="7" l="1"/>
  <c r="AE838" i="7"/>
  <c r="AJ838" i="7"/>
  <c r="AF838" i="7"/>
  <c r="AD838" i="7" l="1"/>
  <c r="AB839" i="7"/>
  <c r="Z839" i="7"/>
  <c r="AA839" i="7"/>
  <c r="AC839" i="7"/>
  <c r="AM839" i="7" l="1"/>
  <c r="AG839" i="7" s="1"/>
  <c r="AN839" i="7"/>
  <c r="AI839" i="7" s="1"/>
  <c r="AO839" i="7"/>
  <c r="AK839" i="7" s="1"/>
  <c r="AF839" i="7"/>
  <c r="AJ839" i="7" l="1"/>
  <c r="AH839" i="7"/>
  <c r="AD839" i="7" s="1"/>
  <c r="AE839" i="7"/>
  <c r="AB840" i="7" l="1"/>
  <c r="Z840" i="7"/>
  <c r="AA840" i="7"/>
  <c r="AC840" i="7"/>
  <c r="AM840" i="7" l="1"/>
  <c r="AG840" i="7" s="1"/>
  <c r="AO840" i="7"/>
  <c r="AK840" i="7" s="1"/>
  <c r="AN840" i="7"/>
  <c r="AI840" i="7" s="1"/>
  <c r="AF840" i="7"/>
  <c r="AJ840" i="7"/>
  <c r="AH840" i="7"/>
  <c r="AE840" i="7" l="1"/>
  <c r="AA841" i="7" s="1"/>
  <c r="AC841" i="7"/>
  <c r="AD840" i="7"/>
  <c r="AB841" i="7" l="1"/>
  <c r="Z841" i="7"/>
  <c r="AM841" i="7" l="1"/>
  <c r="AG841" i="7" s="1"/>
  <c r="AN841" i="7"/>
  <c r="AI841" i="7" s="1"/>
  <c r="AO841" i="7"/>
  <c r="AK841" i="7" s="1"/>
  <c r="AF841" i="7"/>
  <c r="AH841" i="7" l="1"/>
  <c r="AJ841" i="7"/>
  <c r="AE841" i="7"/>
  <c r="AD841" i="7" l="1"/>
  <c r="Z842" i="7"/>
  <c r="AB842" i="7"/>
  <c r="AC842" i="7"/>
  <c r="AA842" i="7"/>
  <c r="AN842" i="7" l="1"/>
  <c r="AI842" i="7" s="1"/>
  <c r="AM842" i="7"/>
  <c r="AF842" i="7" s="1"/>
  <c r="AO842" i="7"/>
  <c r="AK842" i="7" s="1"/>
  <c r="AJ842" i="7"/>
  <c r="AH842" i="7"/>
  <c r="AD842" i="7" l="1"/>
  <c r="AB843" i="7"/>
  <c r="Z843" i="7"/>
  <c r="AG842" i="7"/>
  <c r="AE842" i="7" s="1"/>
  <c r="AA843" i="7" l="1"/>
  <c r="AC843" i="7"/>
  <c r="AO843" i="7"/>
  <c r="AM843" i="7"/>
  <c r="AG843" i="7" s="1"/>
  <c r="AJ843" i="7"/>
  <c r="AN843" i="7"/>
  <c r="AI843" i="7" s="1"/>
  <c r="AF843" i="7" l="1"/>
  <c r="AH843" i="7"/>
  <c r="AK843" i="7"/>
  <c r="AE843" i="7" s="1"/>
  <c r="AC844" i="7" l="1"/>
  <c r="AA844" i="7"/>
  <c r="AD843" i="7"/>
  <c r="AB844" i="7" l="1"/>
  <c r="Z844" i="7"/>
  <c r="AO844" i="7" l="1"/>
  <c r="AK844" i="7" s="1"/>
  <c r="AM844" i="7"/>
  <c r="AG844" i="7" s="1"/>
  <c r="AN844" i="7"/>
  <c r="AI844" i="7" s="1"/>
  <c r="AJ844" i="7"/>
  <c r="AF844" i="7" l="1"/>
  <c r="AE844" i="7"/>
  <c r="AH844" i="7"/>
  <c r="AD844" i="7" s="1"/>
  <c r="Z845" i="7" l="1"/>
  <c r="AB845" i="7"/>
  <c r="AC845" i="7"/>
  <c r="AA845" i="7"/>
  <c r="AO845" i="7" l="1"/>
  <c r="AK845" i="7" s="1"/>
  <c r="AM845" i="7"/>
  <c r="AG845" i="7" s="1"/>
  <c r="AN845" i="7"/>
  <c r="AI845" i="7" s="1"/>
  <c r="AJ845" i="7"/>
  <c r="AH845" i="7" l="1"/>
  <c r="AE845" i="7"/>
  <c r="AF845" i="7"/>
  <c r="AD845" i="7" s="1"/>
  <c r="AA846" i="7" l="1"/>
  <c r="AC846" i="7"/>
  <c r="Z846" i="7"/>
  <c r="AB846" i="7"/>
  <c r="AN846" i="7" l="1"/>
  <c r="AI846" i="7" s="1"/>
  <c r="AO846" i="7"/>
  <c r="AK846" i="7" s="1"/>
  <c r="AM846" i="7"/>
  <c r="AG846" i="7" s="1"/>
  <c r="AE846" i="7" l="1"/>
  <c r="AA847" i="7" s="1"/>
  <c r="AC847" i="7"/>
  <c r="AF846" i="7"/>
  <c r="AJ846" i="7"/>
  <c r="AH846" i="7"/>
  <c r="AD846" i="7" l="1"/>
  <c r="AB847" i="7" l="1"/>
  <c r="Z847" i="7"/>
  <c r="AN847" i="7" l="1"/>
  <c r="AM847" i="7"/>
  <c r="AO847" i="7"/>
  <c r="AJ847" i="7" l="1"/>
  <c r="AK847" i="7"/>
  <c r="AF847" i="7"/>
  <c r="AG847" i="7"/>
  <c r="AH847" i="7"/>
  <c r="AI847" i="7"/>
  <c r="AD847" i="7" l="1"/>
  <c r="AE847" i="7"/>
  <c r="AA848" i="7" l="1"/>
  <c r="AC848" i="7"/>
  <c r="AB848" i="7"/>
  <c r="Z848" i="7"/>
  <c r="AM848" i="7" l="1"/>
  <c r="AG848" i="7" s="1"/>
  <c r="AO848" i="7"/>
  <c r="AJ848" i="7" s="1"/>
  <c r="AN848" i="7"/>
  <c r="AI848" i="7" s="1"/>
  <c r="AH848" i="7"/>
  <c r="AF848" i="7"/>
  <c r="AD848" i="7" s="1"/>
  <c r="AB849" i="7" s="1"/>
  <c r="Z849" i="7" l="1"/>
  <c r="AK848" i="7"/>
  <c r="AE848" i="7" s="1"/>
  <c r="AA849" i="7" l="1"/>
  <c r="AC849" i="7"/>
  <c r="AN849" i="7" l="1"/>
  <c r="AO849" i="7"/>
  <c r="AM849" i="7"/>
  <c r="AG849" i="7" l="1"/>
  <c r="AF849" i="7"/>
  <c r="AI849" i="7"/>
  <c r="AH849" i="7"/>
  <c r="AK849" i="7"/>
  <c r="AJ849" i="7"/>
  <c r="AD849" i="7" l="1"/>
  <c r="AE849" i="7"/>
  <c r="AC850" i="7" l="1"/>
  <c r="AA850" i="7"/>
  <c r="AB850" i="7"/>
  <c r="Z850" i="7"/>
  <c r="AO850" i="7" l="1"/>
  <c r="AJ850" i="7" s="1"/>
  <c r="AN850" i="7"/>
  <c r="AI850" i="7" s="1"/>
  <c r="AM850" i="7"/>
  <c r="AF850" i="7" s="1"/>
  <c r="AG850" i="7"/>
  <c r="AK850" i="7"/>
  <c r="AE850" i="7" l="1"/>
  <c r="AC851" i="7" s="1"/>
  <c r="AA851" i="7"/>
  <c r="AH850" i="7"/>
  <c r="AD850" i="7" s="1"/>
  <c r="Z851" i="7" l="1"/>
  <c r="AB851" i="7"/>
  <c r="AN851" i="7" l="1"/>
  <c r="AI851" i="7" s="1"/>
  <c r="AM851" i="7"/>
  <c r="AG851" i="7" s="1"/>
  <c r="AO851" i="7"/>
  <c r="AK851" i="7" s="1"/>
  <c r="AF851" i="7"/>
  <c r="AH851" i="7"/>
  <c r="AJ851" i="7"/>
  <c r="AD851" i="7" l="1"/>
  <c r="AE851" i="7"/>
  <c r="AC852" i="7" l="1"/>
  <c r="AA852" i="7"/>
  <c r="AB852" i="7"/>
  <c r="Z852" i="7"/>
  <c r="AM852" i="7" l="1"/>
  <c r="AG852" i="7" s="1"/>
  <c r="AO852" i="7"/>
  <c r="AK852" i="7" s="1"/>
  <c r="AN852" i="7"/>
  <c r="AH852" i="7" s="1"/>
  <c r="AF852" i="7"/>
  <c r="AI852" i="7" l="1"/>
  <c r="AE852" i="7" s="1"/>
  <c r="AA853" i="7" s="1"/>
  <c r="AJ852" i="7"/>
  <c r="AD852" i="7" s="1"/>
  <c r="AC853" i="7"/>
  <c r="AB853" i="7" l="1"/>
  <c r="Z853" i="7"/>
  <c r="AN853" i="7" l="1"/>
  <c r="AI853" i="7" s="1"/>
  <c r="AM853" i="7"/>
  <c r="AG853" i="7" s="1"/>
  <c r="AO853" i="7"/>
  <c r="AK853" i="7" s="1"/>
  <c r="AF853" i="7" l="1"/>
  <c r="AE853" i="7"/>
  <c r="AH853" i="7"/>
  <c r="AJ853" i="7"/>
  <c r="AD853" i="7" l="1"/>
  <c r="AB854" i="7"/>
  <c r="Z854" i="7"/>
  <c r="AC854" i="7"/>
  <c r="AA854" i="7"/>
  <c r="AN854" i="7" l="1"/>
  <c r="AI854" i="7" s="1"/>
  <c r="AM854" i="7"/>
  <c r="AO854" i="7"/>
  <c r="AK854" i="7" s="1"/>
  <c r="AF854" i="7"/>
  <c r="AG854" i="7"/>
  <c r="AE854" i="7" l="1"/>
  <c r="AJ854" i="7"/>
  <c r="AH854" i="7"/>
  <c r="AD854" i="7" s="1"/>
  <c r="AB855" i="7" l="1"/>
  <c r="Z855" i="7"/>
  <c r="AA855" i="7"/>
  <c r="AC855" i="7"/>
  <c r="AN855" i="7" l="1"/>
  <c r="AO855" i="7"/>
  <c r="AJ855" i="7" s="1"/>
  <c r="AM855" i="7"/>
  <c r="AG855" i="7" s="1"/>
  <c r="AH855" i="7"/>
  <c r="AI855" i="7"/>
  <c r="AK855" i="7" l="1"/>
  <c r="AF855" i="7"/>
  <c r="AD855" i="7"/>
  <c r="AB856" i="7" s="1"/>
  <c r="AE855" i="7"/>
  <c r="AA856" i="7" s="1"/>
  <c r="Z856" i="7"/>
  <c r="AC856" i="7" l="1"/>
  <c r="AO856" i="7"/>
  <c r="AJ856" i="7" s="1"/>
  <c r="AM856" i="7"/>
  <c r="AF856" i="7" s="1"/>
  <c r="AN856" i="7"/>
  <c r="AH856" i="7" s="1"/>
  <c r="AK856" i="7"/>
  <c r="AI856" i="7" l="1"/>
  <c r="AG856" i="7"/>
  <c r="AE856" i="7" s="1"/>
  <c r="AD856" i="7"/>
  <c r="AC857" i="7" l="1"/>
  <c r="AA857" i="7"/>
  <c r="AB857" i="7"/>
  <c r="Z857" i="7"/>
  <c r="AN857" i="7" l="1"/>
  <c r="AM857" i="7"/>
  <c r="AO857" i="7"/>
  <c r="AF857" i="7" l="1"/>
  <c r="AG857" i="7"/>
  <c r="AJ857" i="7"/>
  <c r="AK857" i="7"/>
  <c r="AH857" i="7"/>
  <c r="AI857" i="7"/>
  <c r="AE857" i="7" l="1"/>
  <c r="AD857" i="7"/>
  <c r="Z858" i="7" l="1"/>
  <c r="AB858" i="7"/>
  <c r="AC858" i="7"/>
  <c r="AA858" i="7"/>
  <c r="AM858" i="7" l="1"/>
  <c r="AF858" i="7" s="1"/>
  <c r="AG858" i="7"/>
  <c r="AO858" i="7"/>
  <c r="AJ858" i="7" s="1"/>
  <c r="AN858" i="7"/>
  <c r="AH858" i="7" s="1"/>
  <c r="AI858" i="7" l="1"/>
  <c r="AK858" i="7"/>
  <c r="AE858" i="7" s="1"/>
  <c r="AD858" i="7"/>
  <c r="AA859" i="7" l="1"/>
  <c r="AC859" i="7"/>
  <c r="AB859" i="7"/>
  <c r="Z859" i="7"/>
  <c r="AM859" i="7" l="1"/>
  <c r="AF859" i="7" s="1"/>
  <c r="AO859" i="7"/>
  <c r="AJ859" i="7" s="1"/>
  <c r="AN859" i="7"/>
  <c r="AH859" i="7" s="1"/>
  <c r="AK859" i="7"/>
  <c r="AG859" i="7"/>
  <c r="AI859" i="7" l="1"/>
  <c r="AE859" i="7"/>
  <c r="AC860" i="7" s="1"/>
  <c r="AA860" i="7"/>
  <c r="AD859" i="7"/>
  <c r="Z860" i="7" l="1"/>
  <c r="AB860" i="7"/>
  <c r="AM860" i="7" l="1"/>
  <c r="AG860" i="7" s="1"/>
  <c r="AO860" i="7"/>
  <c r="AK860" i="7" s="1"/>
  <c r="AN860" i="7"/>
  <c r="AI860" i="7" s="1"/>
  <c r="AF860" i="7"/>
  <c r="AH860" i="7" l="1"/>
  <c r="AJ860" i="7"/>
  <c r="AD860" i="7" s="1"/>
  <c r="AE860" i="7"/>
  <c r="AB861" i="7" l="1"/>
  <c r="Z861" i="7"/>
  <c r="AC861" i="7"/>
  <c r="AA861" i="7"/>
  <c r="AO861" i="7" l="1"/>
  <c r="AJ861" i="7" s="1"/>
  <c r="AN861" i="7"/>
  <c r="AH861" i="7" s="1"/>
  <c r="AM861" i="7"/>
  <c r="AG861" i="7" s="1"/>
  <c r="AI861" i="7"/>
  <c r="AK861" i="7"/>
  <c r="AE861" i="7" l="1"/>
  <c r="AA862" i="7" s="1"/>
  <c r="AF861" i="7"/>
  <c r="AD861" i="7" s="1"/>
  <c r="AC862" i="7" l="1"/>
  <c r="Z862" i="7"/>
  <c r="AB862" i="7"/>
  <c r="AN862" i="7" l="1"/>
  <c r="AO862" i="7"/>
  <c r="AM862" i="7"/>
  <c r="AJ862" i="7" l="1"/>
  <c r="AK862" i="7"/>
  <c r="AF862" i="7"/>
  <c r="AG862" i="7"/>
  <c r="AH862" i="7"/>
  <c r="AI862" i="7"/>
  <c r="AE862" i="7" l="1"/>
  <c r="AC863" i="7"/>
  <c r="AA863" i="7"/>
  <c r="AD862" i="7"/>
  <c r="AB863" i="7" l="1"/>
  <c r="Z863" i="7"/>
  <c r="AM863" i="7" l="1"/>
  <c r="AG863" i="7" s="1"/>
  <c r="AO863" i="7"/>
  <c r="AF863" i="7"/>
  <c r="AN863" i="7"/>
  <c r="AJ863" i="7" l="1"/>
  <c r="AK863" i="7"/>
  <c r="AH863" i="7"/>
  <c r="AD863" i="7" s="1"/>
  <c r="AI863" i="7"/>
  <c r="AE863" i="7" s="1"/>
  <c r="AA864" i="7" l="1"/>
  <c r="AC864" i="7"/>
  <c r="AB864" i="7"/>
  <c r="Z864" i="7"/>
  <c r="AN864" i="7" l="1"/>
  <c r="AH864" i="7" s="1"/>
  <c r="AM864" i="7"/>
  <c r="AG864" i="7" s="1"/>
  <c r="AO864" i="7"/>
  <c r="AJ864" i="7" s="1"/>
  <c r="AI864" i="7"/>
  <c r="AF864" i="7" l="1"/>
  <c r="AD864" i="7" s="1"/>
  <c r="AK864" i="7"/>
  <c r="AE864" i="7" s="1"/>
  <c r="Z865" i="7" l="1"/>
  <c r="AB865" i="7"/>
  <c r="AA865" i="7"/>
  <c r="AC865" i="7"/>
  <c r="AO865" i="7" l="1"/>
  <c r="AJ865" i="7" s="1"/>
  <c r="AN865" i="7"/>
  <c r="AI865" i="7" s="1"/>
  <c r="AM865" i="7"/>
  <c r="AG865" i="7" s="1"/>
  <c r="AH865" i="7" l="1"/>
  <c r="AF865" i="7"/>
  <c r="AD865" i="7" s="1"/>
  <c r="AK865" i="7"/>
  <c r="AE865" i="7" s="1"/>
  <c r="AA866" i="7" l="1"/>
  <c r="AC866" i="7"/>
  <c r="Z866" i="7"/>
  <c r="AB866" i="7"/>
  <c r="AN866" i="7" l="1"/>
  <c r="AI866" i="7" s="1"/>
  <c r="AM866" i="7"/>
  <c r="AG866" i="7" s="1"/>
  <c r="AO866" i="7"/>
  <c r="AK866" i="7" s="1"/>
  <c r="AH866" i="7"/>
  <c r="AF866" i="7" l="1"/>
  <c r="AJ866" i="7"/>
  <c r="AD866" i="7" s="1"/>
  <c r="AE866" i="7"/>
  <c r="AC867" i="7" l="1"/>
  <c r="AA867" i="7"/>
  <c r="Z867" i="7"/>
  <c r="AB867" i="7"/>
  <c r="AN867" i="7" l="1"/>
  <c r="AH867" i="7" s="1"/>
  <c r="AO867" i="7"/>
  <c r="AJ867" i="7" s="1"/>
  <c r="AM867" i="7"/>
  <c r="AG867" i="7" s="1"/>
  <c r="AI867" i="7"/>
  <c r="AK867" i="7"/>
  <c r="AF867" i="7" l="1"/>
  <c r="AD867" i="7" s="1"/>
  <c r="AE867" i="7"/>
  <c r="AA868" i="7" l="1"/>
  <c r="AC868" i="7"/>
  <c r="Z868" i="7"/>
  <c r="AB868" i="7"/>
  <c r="AO868" i="7" l="1"/>
  <c r="AM868" i="7"/>
  <c r="AG868" i="7" s="1"/>
  <c r="AJ868" i="7"/>
  <c r="AN868" i="7"/>
  <c r="AH868" i="7" s="1"/>
  <c r="AK868" i="7"/>
  <c r="AI868" i="7" l="1"/>
  <c r="AE868" i="7"/>
  <c r="AC869" i="7" s="1"/>
  <c r="AA869" i="7"/>
  <c r="AF868" i="7"/>
  <c r="AD868" i="7" s="1"/>
  <c r="AB869" i="7" l="1"/>
  <c r="Z869" i="7"/>
  <c r="AN869" i="7" l="1"/>
  <c r="AI869" i="7" s="1"/>
  <c r="AO869" i="7"/>
  <c r="AK869" i="7" s="1"/>
  <c r="AM869" i="7"/>
  <c r="AG869" i="7" s="1"/>
  <c r="AH869" i="7"/>
  <c r="AJ869" i="7"/>
  <c r="AE869" i="7" l="1"/>
  <c r="AF869" i="7"/>
  <c r="AD869" i="7" s="1"/>
  <c r="Z870" i="7" l="1"/>
  <c r="AB870" i="7"/>
  <c r="AC870" i="7"/>
  <c r="AA870" i="7"/>
  <c r="AN870" i="7" l="1"/>
  <c r="AI870" i="7" s="1"/>
  <c r="AM870" i="7"/>
  <c r="AG870" i="7" s="1"/>
  <c r="AO870" i="7"/>
  <c r="AK870" i="7" s="1"/>
  <c r="AH870" i="7"/>
  <c r="AF870" i="7"/>
  <c r="AE870" i="7" l="1"/>
  <c r="AJ870" i="7"/>
  <c r="AD870" i="7" s="1"/>
  <c r="AB871" i="7" l="1"/>
  <c r="Z871" i="7"/>
  <c r="AA871" i="7"/>
  <c r="AC871" i="7"/>
  <c r="AN871" i="7" l="1"/>
  <c r="AI871" i="7" s="1"/>
  <c r="AM871" i="7"/>
  <c r="AG871" i="7" s="1"/>
  <c r="AO871" i="7"/>
  <c r="AK871" i="7" s="1"/>
  <c r="AH871" i="7"/>
  <c r="AJ871" i="7" l="1"/>
  <c r="AE871" i="7"/>
  <c r="AF871" i="7"/>
  <c r="AD871" i="7" s="1"/>
  <c r="Z872" i="7" l="1"/>
  <c r="AB872" i="7"/>
  <c r="AA872" i="7"/>
  <c r="AC872" i="7"/>
  <c r="AN872" i="7" l="1"/>
  <c r="AH872" i="7" s="1"/>
  <c r="AM872" i="7"/>
  <c r="AG872" i="7" s="1"/>
  <c r="AO872" i="7"/>
  <c r="AK872" i="7" s="1"/>
  <c r="AF872" i="7" l="1"/>
  <c r="AJ872" i="7"/>
  <c r="AD872" i="7" s="1"/>
  <c r="AI872" i="7"/>
  <c r="AE872" i="7" s="1"/>
  <c r="AC873" i="7" l="1"/>
  <c r="AA873" i="7"/>
  <c r="Z873" i="7"/>
  <c r="AB873" i="7"/>
  <c r="AO873" i="7" l="1"/>
  <c r="AJ873" i="7" s="1"/>
  <c r="AM873" i="7"/>
  <c r="AF873" i="7" s="1"/>
  <c r="AN873" i="7"/>
  <c r="AI873" i="7" s="1"/>
  <c r="AK873" i="7"/>
  <c r="AG873" i="7"/>
  <c r="AE873" i="7" l="1"/>
  <c r="AA874" i="7" s="1"/>
  <c r="AH873" i="7"/>
  <c r="AD873" i="7" s="1"/>
  <c r="AC874" i="7"/>
  <c r="Z874" i="7" l="1"/>
  <c r="AB874" i="7"/>
  <c r="AO874" i="7" l="1"/>
  <c r="AK874" i="7" s="1"/>
  <c r="AM874" i="7"/>
  <c r="AG874" i="7" s="1"/>
  <c r="AN874" i="7"/>
  <c r="AI874" i="7" s="1"/>
  <c r="AJ874" i="7"/>
  <c r="AE874" i="7" l="1"/>
  <c r="AF874" i="7"/>
  <c r="AH874" i="7"/>
  <c r="AD874" i="7" l="1"/>
  <c r="AB875" i="7"/>
  <c r="Z875" i="7"/>
  <c r="AA875" i="7"/>
  <c r="AC875" i="7"/>
  <c r="AM875" i="7" l="1"/>
  <c r="AG875" i="7" s="1"/>
  <c r="AN875" i="7"/>
  <c r="AI875" i="7" s="1"/>
  <c r="AF875" i="7"/>
  <c r="AO875" i="7"/>
  <c r="AK875" i="7" s="1"/>
  <c r="AH875" i="7"/>
  <c r="AE875" i="7" l="1"/>
  <c r="AJ875" i="7"/>
  <c r="AD875" i="7" s="1"/>
  <c r="AB876" i="7" l="1"/>
  <c r="Z876" i="7"/>
  <c r="AA876" i="7"/>
  <c r="AC876" i="7"/>
  <c r="AM876" i="7" l="1"/>
  <c r="AF876" i="7" s="1"/>
  <c r="AO876" i="7"/>
  <c r="AK876" i="7" s="1"/>
  <c r="AN876" i="7"/>
  <c r="AI876" i="7" s="1"/>
  <c r="AJ876" i="7"/>
  <c r="AG876" i="7"/>
  <c r="AE876" i="7" l="1"/>
  <c r="AA877" i="7" s="1"/>
  <c r="AH876" i="7"/>
  <c r="AD876" i="7" s="1"/>
  <c r="AC877" i="7"/>
  <c r="Z877" i="7" l="1"/>
  <c r="AB877" i="7"/>
  <c r="AO877" i="7" l="1"/>
  <c r="AK877" i="7" s="1"/>
  <c r="AN877" i="7"/>
  <c r="AI877" i="7" s="1"/>
  <c r="AM877" i="7"/>
  <c r="AG877" i="7" s="1"/>
  <c r="AE877" i="7" l="1"/>
  <c r="AC878" i="7"/>
  <c r="AA878" i="7"/>
  <c r="AH877" i="7"/>
  <c r="AF877" i="7"/>
  <c r="AJ877" i="7"/>
  <c r="AD877" i="7" l="1"/>
  <c r="AB878" i="7" l="1"/>
  <c r="Z878" i="7"/>
  <c r="AO878" i="7" l="1"/>
  <c r="AK878" i="7" s="1"/>
  <c r="AN878" i="7"/>
  <c r="AI878" i="7" s="1"/>
  <c r="AM878" i="7"/>
  <c r="AG878" i="7" s="1"/>
  <c r="AJ878" i="7"/>
  <c r="AE878" i="7" l="1"/>
  <c r="AA879" i="7"/>
  <c r="AC879" i="7"/>
  <c r="AF878" i="7"/>
  <c r="AH878" i="7"/>
  <c r="AD878" i="7" l="1"/>
  <c r="Z879" i="7" l="1"/>
  <c r="AB879" i="7"/>
  <c r="AN879" i="7" l="1"/>
  <c r="AI879" i="7" s="1"/>
  <c r="AM879" i="7"/>
  <c r="AG879" i="7" s="1"/>
  <c r="AO879" i="7"/>
  <c r="AK879" i="7" s="1"/>
  <c r="AH879" i="7"/>
  <c r="AF879" i="7"/>
  <c r="AE879" i="7" l="1"/>
  <c r="AJ879" i="7"/>
  <c r="AD879" i="7" s="1"/>
  <c r="AB880" i="7" l="1"/>
  <c r="Z880" i="7"/>
  <c r="AC880" i="7"/>
  <c r="AA880" i="7"/>
  <c r="AO880" i="7" l="1"/>
  <c r="AK880" i="7" s="1"/>
  <c r="AN880" i="7"/>
  <c r="AI880" i="7" s="1"/>
  <c r="AM880" i="7"/>
  <c r="AG880" i="7" s="1"/>
  <c r="AH880" i="7"/>
  <c r="AF880" i="7"/>
  <c r="AJ880" i="7"/>
  <c r="AE880" i="7" l="1"/>
  <c r="AD880" i="7"/>
  <c r="AC881" i="7" l="1"/>
  <c r="AA881" i="7"/>
  <c r="AB881" i="7"/>
  <c r="Z881" i="7"/>
  <c r="AO881" i="7" l="1"/>
  <c r="AK881" i="7" s="1"/>
  <c r="AN881" i="7"/>
  <c r="AI881" i="7" s="1"/>
  <c r="AM881" i="7"/>
  <c r="AG881" i="7" s="1"/>
  <c r="AH881" i="7"/>
  <c r="AF881" i="7"/>
  <c r="AJ881" i="7"/>
  <c r="AE881" i="7" l="1"/>
  <c r="AC882" i="7"/>
  <c r="AA882" i="7"/>
  <c r="AD881" i="7"/>
  <c r="Z882" i="7" l="1"/>
  <c r="AB882" i="7"/>
  <c r="AO882" i="7" l="1"/>
  <c r="AK882" i="7" s="1"/>
  <c r="AN882" i="7"/>
  <c r="AI882" i="7" s="1"/>
  <c r="AM882" i="7"/>
  <c r="AG882" i="7" s="1"/>
  <c r="AH882" i="7"/>
  <c r="AJ882" i="7"/>
  <c r="AE882" i="7" l="1"/>
  <c r="AC883" i="7"/>
  <c r="AA883" i="7"/>
  <c r="AF882" i="7"/>
  <c r="AD882" i="7" s="1"/>
  <c r="AB883" i="7" l="1"/>
  <c r="Z883" i="7"/>
  <c r="AN883" i="7" l="1"/>
  <c r="AI883" i="7" s="1"/>
  <c r="AM883" i="7"/>
  <c r="AG883" i="7" s="1"/>
  <c r="AO883" i="7"/>
  <c r="AK883" i="7" s="1"/>
  <c r="AH883" i="7"/>
  <c r="AF883" i="7"/>
  <c r="AJ883" i="7"/>
  <c r="AD883" i="7" l="1"/>
  <c r="Z884" i="7" s="1"/>
  <c r="AB884" i="7"/>
  <c r="AE883" i="7"/>
  <c r="AA884" i="7" l="1"/>
  <c r="AC884" i="7"/>
  <c r="AM884" i="7" l="1"/>
  <c r="AN884" i="7"/>
  <c r="AO884" i="7"/>
  <c r="AG884" i="7" l="1"/>
  <c r="AF884" i="7"/>
  <c r="AK884" i="7"/>
  <c r="AJ884" i="7"/>
  <c r="AI884" i="7"/>
  <c r="AH884" i="7"/>
  <c r="AD884" i="7" s="1"/>
  <c r="AB885" i="7" l="1"/>
  <c r="Z885" i="7"/>
  <c r="AE884" i="7"/>
  <c r="AC885" i="7" l="1"/>
  <c r="AA885" i="7"/>
  <c r="AM885" i="7" s="1"/>
  <c r="AF885" i="7" s="1"/>
  <c r="AG885" i="7" l="1"/>
  <c r="AO885" i="7"/>
  <c r="AJ885" i="7" s="1"/>
  <c r="AN885" i="7"/>
  <c r="AH885" i="7" s="1"/>
  <c r="AD885" i="7" l="1"/>
  <c r="Z886" i="7"/>
  <c r="AB886" i="7"/>
  <c r="AK885" i="7"/>
  <c r="AI885" i="7"/>
  <c r="AE885" i="7" l="1"/>
  <c r="AC886" i="7"/>
  <c r="AA886" i="7"/>
  <c r="AN886" i="7" s="1"/>
  <c r="AH886" i="7" s="1"/>
  <c r="AO886" i="7"/>
  <c r="AJ886" i="7" s="1"/>
  <c r="AM886" i="7" l="1"/>
  <c r="AF886" i="7" s="1"/>
  <c r="AK886" i="7"/>
  <c r="AI886" i="7"/>
  <c r="AG886" i="7"/>
  <c r="AE886" i="7" s="1"/>
  <c r="AA887" i="7" s="1"/>
  <c r="AD886" i="7"/>
  <c r="AB887" i="7" l="1"/>
  <c r="Z887" i="7"/>
  <c r="AC887" i="7"/>
  <c r="AN887" i="7" l="1"/>
  <c r="AI887" i="7" s="1"/>
  <c r="AO887" i="7"/>
  <c r="AK887" i="7" s="1"/>
  <c r="AM887" i="7"/>
  <c r="AG887" i="7" s="1"/>
  <c r="AJ887" i="7"/>
  <c r="AH887" i="7"/>
  <c r="AF887" i="7"/>
  <c r="AD887" i="7" l="1"/>
  <c r="AB888" i="7" s="1"/>
  <c r="AE887" i="7"/>
  <c r="AC888" i="7" s="1"/>
  <c r="Z888" i="7"/>
  <c r="AA888" i="7"/>
  <c r="AM888" i="7" l="1"/>
  <c r="AF888" i="7" s="1"/>
  <c r="AN888" i="7"/>
  <c r="AH888" i="7" s="1"/>
  <c r="AO888" i="7"/>
  <c r="AJ888" i="7" s="1"/>
  <c r="AD888" i="7" l="1"/>
  <c r="AK888" i="7"/>
  <c r="AI888" i="7"/>
  <c r="AG888" i="7"/>
  <c r="AB889" i="7" l="1"/>
  <c r="Z889" i="7"/>
  <c r="AE888" i="7"/>
  <c r="AC889" i="7" l="1"/>
  <c r="AA889" i="7"/>
  <c r="AO889" i="7" l="1"/>
  <c r="AJ889" i="7" s="1"/>
  <c r="AN889" i="7"/>
  <c r="AH889" i="7" s="1"/>
  <c r="AM889" i="7"/>
  <c r="AF889" i="7" s="1"/>
  <c r="AD889" i="7" l="1"/>
  <c r="AB890" i="7"/>
  <c r="Z890" i="7"/>
  <c r="AI889" i="7"/>
  <c r="AG889" i="7"/>
  <c r="AK889" i="7"/>
  <c r="AE889" i="7" l="1"/>
  <c r="AA890" i="7" l="1"/>
  <c r="AC890" i="7"/>
  <c r="AM890" i="7" l="1"/>
  <c r="AF890" i="7" s="1"/>
  <c r="AN890" i="7"/>
  <c r="AH890" i="7" s="1"/>
  <c r="AO890" i="7"/>
  <c r="AJ890" i="7" s="1"/>
  <c r="AI890" i="7" l="1"/>
  <c r="AD890" i="7"/>
  <c r="AK890" i="7"/>
  <c r="AG890" i="7"/>
  <c r="AE890" i="7" l="1"/>
  <c r="Z891" i="7"/>
  <c r="AB891" i="7"/>
  <c r="AC891" i="7"/>
  <c r="AA891" i="7"/>
  <c r="AO891" i="7" l="1"/>
  <c r="AK891" i="7" s="1"/>
  <c r="AM891" i="7"/>
  <c r="AG891" i="7" s="1"/>
  <c r="AJ891" i="7"/>
  <c r="AN891" i="7"/>
  <c r="AI891" i="7" s="1"/>
  <c r="AE891" i="7" l="1"/>
  <c r="AC892" i="7" s="1"/>
  <c r="AH891" i="7"/>
  <c r="AF891" i="7"/>
  <c r="AD891" i="7" s="1"/>
  <c r="AA892" i="7"/>
  <c r="AB892" i="7" l="1"/>
  <c r="Z892" i="7"/>
  <c r="AM892" i="7" l="1"/>
  <c r="AG892" i="7" s="1"/>
  <c r="AN892" i="7"/>
  <c r="AO892" i="7"/>
  <c r="AK892" i="7" s="1"/>
  <c r="AF892" i="7"/>
  <c r="AJ892" i="7" l="1"/>
  <c r="AH892" i="7"/>
  <c r="AD892" i="7" s="1"/>
  <c r="AI892" i="7"/>
  <c r="AE892" i="7" s="1"/>
  <c r="AB893" i="7" l="1"/>
  <c r="Z893" i="7"/>
  <c r="AA893" i="7"/>
  <c r="AC893" i="7"/>
  <c r="AM893" i="7" l="1"/>
  <c r="AG893" i="7" s="1"/>
  <c r="AO893" i="7"/>
  <c r="AK893" i="7" s="1"/>
  <c r="AN893" i="7"/>
  <c r="AI893" i="7" s="1"/>
  <c r="AJ893" i="7"/>
  <c r="AE893" i="7" l="1"/>
  <c r="AA894" i="7"/>
  <c r="AC894" i="7"/>
  <c r="AH893" i="7"/>
  <c r="AF893" i="7"/>
  <c r="AD893" i="7" s="1"/>
  <c r="AB894" i="7" l="1"/>
  <c r="Z894" i="7"/>
  <c r="AM894" i="7" l="1"/>
  <c r="AN894" i="7"/>
  <c r="AO894" i="7"/>
  <c r="AK894" i="7" s="1"/>
  <c r="AH894" i="7" l="1"/>
  <c r="AI894" i="7"/>
  <c r="AJ894" i="7"/>
  <c r="AF894" i="7"/>
  <c r="AG894" i="7"/>
  <c r="AE894" i="7" s="1"/>
  <c r="AC895" i="7" l="1"/>
  <c r="AA895" i="7"/>
  <c r="AD894" i="7"/>
  <c r="AB895" i="7" l="1"/>
  <c r="Z895" i="7"/>
  <c r="AM895" i="7" l="1"/>
  <c r="AG895" i="7" s="1"/>
  <c r="AN895" i="7"/>
  <c r="AI895" i="7" s="1"/>
  <c r="AO895" i="7"/>
  <c r="AK895" i="7" s="1"/>
  <c r="AH895" i="7"/>
  <c r="AJ895" i="7" l="1"/>
  <c r="AE895" i="7"/>
  <c r="AF895" i="7"/>
  <c r="AD895" i="7" s="1"/>
  <c r="Z896" i="7" l="1"/>
  <c r="AB896" i="7"/>
  <c r="AC896" i="7"/>
  <c r="AA896" i="7"/>
  <c r="AN896" i="7" l="1"/>
  <c r="AI896" i="7" s="1"/>
  <c r="AO896" i="7"/>
  <c r="AK896" i="7" s="1"/>
  <c r="AM896" i="7"/>
  <c r="AG896" i="7" s="1"/>
  <c r="AE896" i="7" l="1"/>
  <c r="AH896" i="7"/>
  <c r="AJ896" i="7"/>
  <c r="AF896" i="7"/>
  <c r="AD896" i="7" l="1"/>
  <c r="AB897" i="7"/>
  <c r="Z897" i="7"/>
  <c r="AA897" i="7"/>
  <c r="AC897" i="7"/>
  <c r="AN897" i="7" l="1"/>
  <c r="AI897" i="7" s="1"/>
  <c r="AH897" i="7"/>
  <c r="AO897" i="7"/>
  <c r="AJ897" i="7" s="1"/>
  <c r="AM897" i="7"/>
  <c r="AG897" i="7" s="1"/>
  <c r="AF897" i="7" l="1"/>
  <c r="AD897" i="7"/>
  <c r="AK897" i="7"/>
  <c r="AE897" i="7" s="1"/>
  <c r="AA898" i="7" l="1"/>
  <c r="AC898" i="7"/>
  <c r="AB898" i="7"/>
  <c r="Z898" i="7"/>
  <c r="AN898" i="7" l="1"/>
  <c r="AH898" i="7" s="1"/>
  <c r="AM898" i="7"/>
  <c r="AF898" i="7" s="1"/>
  <c r="AO898" i="7"/>
  <c r="AJ898" i="7" s="1"/>
  <c r="AG898" i="7"/>
  <c r="AK898" i="7" l="1"/>
  <c r="AD898" i="7"/>
  <c r="AI898" i="7"/>
  <c r="AE898" i="7" s="1"/>
  <c r="AA899" i="7" l="1"/>
  <c r="AC899" i="7"/>
  <c r="AB899" i="7"/>
  <c r="Z899" i="7"/>
  <c r="AM899" i="7" l="1"/>
  <c r="AF899" i="7" s="1"/>
  <c r="AO899" i="7"/>
  <c r="AJ899" i="7" s="1"/>
  <c r="AN899" i="7"/>
  <c r="AH899" i="7" s="1"/>
  <c r="AK899" i="7"/>
  <c r="AI899" i="7" l="1"/>
  <c r="AD899" i="7"/>
  <c r="AG899" i="7"/>
  <c r="AE899" i="7" s="1"/>
  <c r="AA900" i="7" l="1"/>
  <c r="AC900" i="7"/>
  <c r="AB900" i="7"/>
  <c r="Z900" i="7"/>
  <c r="AM900" i="7" l="1"/>
  <c r="AG900" i="7" s="1"/>
  <c r="AO900" i="7"/>
  <c r="AJ900" i="7" s="1"/>
  <c r="AN900" i="7"/>
  <c r="AH900" i="7" s="1"/>
  <c r="AF900" i="7"/>
  <c r="AI900" i="7" l="1"/>
  <c r="AD900" i="7"/>
  <c r="AK900" i="7"/>
  <c r="AE900" i="7" l="1"/>
  <c r="AA901" i="7"/>
  <c r="AC901" i="7"/>
  <c r="AB901" i="7"/>
  <c r="Z901" i="7"/>
  <c r="AM901" i="7" l="1"/>
  <c r="AG901" i="7" s="1"/>
  <c r="AO901" i="7"/>
  <c r="AJ901" i="7" s="1"/>
  <c r="AF901" i="7"/>
  <c r="AN901" i="7"/>
  <c r="AH901" i="7" s="1"/>
  <c r="AI901" i="7" l="1"/>
  <c r="AD901" i="7"/>
  <c r="AK901" i="7"/>
  <c r="AE901" i="7" s="1"/>
  <c r="AC902" i="7" l="1"/>
  <c r="AA902" i="7"/>
  <c r="AB902" i="7"/>
  <c r="Z902" i="7"/>
  <c r="AN902" i="7" l="1"/>
  <c r="AI902" i="7" s="1"/>
  <c r="AO902" i="7"/>
  <c r="AJ902" i="7" s="1"/>
  <c r="AM902" i="7"/>
  <c r="AG902" i="7" s="1"/>
  <c r="AK902" i="7" l="1"/>
  <c r="AE902" i="7"/>
  <c r="AC903" i="7" s="1"/>
  <c r="AA903" i="7"/>
  <c r="AF902" i="7"/>
  <c r="AH902" i="7"/>
  <c r="AD902" i="7" l="1"/>
  <c r="AB903" i="7" l="1"/>
  <c r="Z903" i="7"/>
  <c r="AN903" i="7" l="1"/>
  <c r="AM903" i="7"/>
  <c r="AG903" i="7" s="1"/>
  <c r="AO903" i="7"/>
  <c r="AF903" i="7"/>
  <c r="AJ903" i="7" l="1"/>
  <c r="AK903" i="7"/>
  <c r="AH903" i="7"/>
  <c r="AD903" i="7" s="1"/>
  <c r="AI903" i="7"/>
  <c r="AE903" i="7" l="1"/>
  <c r="AC904" i="7"/>
  <c r="AA904" i="7"/>
  <c r="Z904" i="7"/>
  <c r="AB904" i="7"/>
  <c r="AM904" i="7" l="1"/>
  <c r="AG904" i="7" s="1"/>
  <c r="AO904" i="7"/>
  <c r="AK904" i="7" s="1"/>
  <c r="AN904" i="7"/>
  <c r="AI904" i="7" s="1"/>
  <c r="AF904" i="7"/>
  <c r="AE904" i="7" l="1"/>
  <c r="AH904" i="7"/>
  <c r="AJ904" i="7"/>
  <c r="AD904" i="7" l="1"/>
  <c r="AB905" i="7"/>
  <c r="Z905" i="7"/>
  <c r="AC905" i="7"/>
  <c r="AA905" i="7"/>
  <c r="AO905" i="7" l="1"/>
  <c r="AK905" i="7" s="1"/>
  <c r="AN905" i="7"/>
  <c r="AH905" i="7" s="1"/>
  <c r="AM905" i="7"/>
  <c r="AG905" i="7" s="1"/>
  <c r="AJ905" i="7"/>
  <c r="AI905" i="7" l="1"/>
  <c r="AE905" i="7" s="1"/>
  <c r="AF905" i="7"/>
  <c r="AD905" i="7" s="1"/>
  <c r="AC906" i="7" l="1"/>
  <c r="AA906" i="7"/>
  <c r="Z906" i="7"/>
  <c r="AB906" i="7"/>
  <c r="AM906" i="7" l="1"/>
  <c r="AF906" i="7" s="1"/>
  <c r="AN906" i="7"/>
  <c r="AH906" i="7" s="1"/>
  <c r="AO906" i="7"/>
  <c r="AJ906" i="7" s="1"/>
  <c r="AG906" i="7"/>
  <c r="AI906" i="7"/>
  <c r="AK906" i="7" l="1"/>
  <c r="AE906" i="7"/>
  <c r="AD906" i="7"/>
  <c r="AB907" i="7" l="1"/>
  <c r="Z907" i="7"/>
  <c r="AC907" i="7"/>
  <c r="AA907" i="7"/>
  <c r="AN907" i="7" l="1"/>
  <c r="AH907" i="7" s="1"/>
  <c r="AM907" i="7"/>
  <c r="AF907" i="7" s="1"/>
  <c r="AO907" i="7"/>
  <c r="AJ907" i="7" s="1"/>
  <c r="AD907" i="7" l="1"/>
  <c r="AB908" i="7" s="1"/>
  <c r="Z908" i="7"/>
  <c r="AK907" i="7"/>
  <c r="AG907" i="7"/>
  <c r="AI907" i="7"/>
  <c r="AE907" i="7" l="1"/>
  <c r="AC908" i="7" l="1"/>
  <c r="AA908" i="7"/>
  <c r="AO908" i="7" l="1"/>
  <c r="AJ908" i="7" s="1"/>
  <c r="AN908" i="7"/>
  <c r="AH908" i="7" s="1"/>
  <c r="AM908" i="7"/>
  <c r="AF908" i="7" s="1"/>
  <c r="AD908" i="7" l="1"/>
  <c r="AB909" i="7"/>
  <c r="Z909" i="7"/>
  <c r="AK908" i="7"/>
  <c r="AI908" i="7"/>
  <c r="AG908" i="7"/>
  <c r="AE908" i="7" l="1"/>
  <c r="AA909" i="7" l="1"/>
  <c r="AC909" i="7"/>
  <c r="AO909" i="7" l="1"/>
  <c r="AN909" i="7"/>
  <c r="AM909" i="7"/>
  <c r="AG909" i="7" l="1"/>
  <c r="AF909" i="7"/>
  <c r="AI909" i="7"/>
  <c r="AH909" i="7"/>
  <c r="AK909" i="7"/>
  <c r="AJ909" i="7"/>
  <c r="AD909" i="7" l="1"/>
  <c r="AB910" i="7"/>
  <c r="Z910" i="7"/>
  <c r="AE909" i="7"/>
  <c r="AC910" i="7" l="1"/>
  <c r="AA910" i="7"/>
  <c r="AN910" i="7"/>
  <c r="AI910" i="7" s="1"/>
  <c r="AM910" i="7"/>
  <c r="AG910" i="7" s="1"/>
  <c r="AH910" i="7" l="1"/>
  <c r="AF910" i="7"/>
  <c r="AO910" i="7"/>
  <c r="AK910" i="7" l="1"/>
  <c r="AE910" i="7" s="1"/>
  <c r="AJ910" i="7"/>
  <c r="AD910" i="7" s="1"/>
  <c r="Z911" i="7" l="1"/>
  <c r="AB911" i="7"/>
  <c r="AC911" i="7"/>
  <c r="AA911" i="7"/>
  <c r="AM911" i="7" l="1"/>
  <c r="AG911" i="7" s="1"/>
  <c r="AO911" i="7"/>
  <c r="AK911" i="7" s="1"/>
  <c r="AN911" i="7"/>
  <c r="AI911" i="7" s="1"/>
  <c r="AE911" i="7" l="1"/>
  <c r="AC912" i="7" s="1"/>
  <c r="AH911" i="7"/>
  <c r="AF911" i="7"/>
  <c r="AJ911" i="7"/>
  <c r="AA912" i="7"/>
  <c r="AD911" i="7" l="1"/>
  <c r="Z912" i="7" l="1"/>
  <c r="AB912" i="7"/>
  <c r="AM912" i="7" l="1"/>
  <c r="AG912" i="7" s="1"/>
  <c r="AO912" i="7"/>
  <c r="AK912" i="7" s="1"/>
  <c r="AF912" i="7"/>
  <c r="AN912" i="7"/>
  <c r="AI912" i="7" s="1"/>
  <c r="AE912" i="7" l="1"/>
  <c r="AH912" i="7"/>
  <c r="AJ912" i="7"/>
  <c r="AD912" i="7" l="1"/>
  <c r="AB913" i="7"/>
  <c r="Z913" i="7"/>
  <c r="AC913" i="7"/>
  <c r="AA913" i="7"/>
  <c r="AN913" i="7" l="1"/>
  <c r="AM913" i="7"/>
  <c r="AG913" i="7" s="1"/>
  <c r="AO913" i="7"/>
  <c r="AK913" i="7" s="1"/>
  <c r="AF913" i="7"/>
  <c r="AH913" i="7"/>
  <c r="AI913" i="7"/>
  <c r="AJ913" i="7" l="1"/>
  <c r="AE913" i="7"/>
  <c r="AD913" i="7"/>
  <c r="Z914" i="7" l="1"/>
  <c r="AB914" i="7"/>
  <c r="AA914" i="7"/>
  <c r="AC914" i="7"/>
  <c r="AM914" i="7" l="1"/>
  <c r="AF914" i="7" s="1"/>
  <c r="AO914" i="7"/>
  <c r="AJ914" i="7" s="1"/>
  <c r="AN914" i="7"/>
  <c r="AI914" i="7" s="1"/>
  <c r="AG914" i="7" l="1"/>
  <c r="AH914" i="7"/>
  <c r="AD914" i="7" s="1"/>
  <c r="AK914" i="7"/>
  <c r="Z915" i="7" l="1"/>
  <c r="AB915" i="7"/>
  <c r="AE914" i="7"/>
  <c r="AA915" i="7" l="1"/>
  <c r="AC915" i="7"/>
  <c r="AO915" i="7"/>
  <c r="AJ915" i="7" s="1"/>
  <c r="AN915" i="7"/>
  <c r="AH915" i="7" s="1"/>
  <c r="AM915" i="7" l="1"/>
  <c r="AF915" i="7" s="1"/>
  <c r="AD915" i="7" s="1"/>
  <c r="AI915" i="7"/>
  <c r="AK915" i="7"/>
  <c r="AG915" i="7" l="1"/>
  <c r="AB916" i="7"/>
  <c r="Z916" i="7"/>
  <c r="AE915" i="7"/>
  <c r="AC916" i="7" l="1"/>
  <c r="AA916" i="7"/>
  <c r="AM916" i="7"/>
  <c r="AG916" i="7" s="1"/>
  <c r="AN916" i="7"/>
  <c r="AI916" i="7" s="1"/>
  <c r="AO916" i="7"/>
  <c r="AK916" i="7" s="1"/>
  <c r="AF916" i="7"/>
  <c r="AH916" i="7"/>
  <c r="AJ916" i="7" l="1"/>
  <c r="AD916" i="7" s="1"/>
  <c r="AE916" i="7"/>
  <c r="AA917" i="7" s="1"/>
  <c r="AC917" i="7" l="1"/>
  <c r="AB917" i="7"/>
  <c r="Z917" i="7"/>
  <c r="AO917" i="7" l="1"/>
  <c r="AK917" i="7" s="1"/>
  <c r="AN917" i="7"/>
  <c r="AI917" i="7" s="1"/>
  <c r="AM917" i="7"/>
  <c r="AG917" i="7" s="1"/>
  <c r="AJ917" i="7"/>
  <c r="AE917" i="7" l="1"/>
  <c r="AC918" i="7" s="1"/>
  <c r="AH917" i="7"/>
  <c r="AF917" i="7"/>
  <c r="AA918" i="7"/>
  <c r="AD917" i="7" l="1"/>
  <c r="AB918" i="7" l="1"/>
  <c r="Z918" i="7"/>
  <c r="AO918" i="7" l="1"/>
  <c r="AK918" i="7" s="1"/>
  <c r="AM918" i="7"/>
  <c r="AG918" i="7" s="1"/>
  <c r="AJ918" i="7"/>
  <c r="AN918" i="7"/>
  <c r="AI918" i="7" s="1"/>
  <c r="AF918" i="7"/>
  <c r="AH918" i="7" l="1"/>
  <c r="AD918" i="7" s="1"/>
  <c r="AE918" i="7"/>
  <c r="AB919" i="7" l="1"/>
  <c r="Z919" i="7"/>
  <c r="AC919" i="7"/>
  <c r="AA919" i="7"/>
  <c r="AM919" i="7" l="1"/>
  <c r="AF919" i="7" s="1"/>
  <c r="AN919" i="7"/>
  <c r="AH919" i="7" s="1"/>
  <c r="AO919" i="7"/>
  <c r="AK919" i="7" s="1"/>
  <c r="AJ919" i="7" l="1"/>
  <c r="AD919" i="7" s="1"/>
  <c r="AG919" i="7"/>
  <c r="AI919" i="7"/>
  <c r="AE919" i="7" l="1"/>
  <c r="AA920" i="7"/>
  <c r="AC920" i="7"/>
  <c r="AB920" i="7"/>
  <c r="Z920" i="7"/>
  <c r="AM920" i="7" l="1"/>
  <c r="AF920" i="7" s="1"/>
  <c r="AO920" i="7"/>
  <c r="AJ920" i="7" s="1"/>
  <c r="AN920" i="7"/>
  <c r="AH920" i="7" s="1"/>
  <c r="AG920" i="7"/>
  <c r="AK920" i="7"/>
  <c r="AI920" i="7" l="1"/>
  <c r="AE920" i="7" s="1"/>
  <c r="AD920" i="7"/>
  <c r="AA921" i="7" l="1"/>
  <c r="AC921" i="7"/>
  <c r="Z921" i="7"/>
  <c r="AB921" i="7"/>
  <c r="AM921" i="7" l="1"/>
  <c r="AF921" i="7" s="1"/>
  <c r="AO921" i="7"/>
  <c r="AJ921" i="7" s="1"/>
  <c r="AN921" i="7"/>
  <c r="AI921" i="7" s="1"/>
  <c r="AH921" i="7"/>
  <c r="AD921" i="7" s="1"/>
  <c r="AB922" i="7" s="1"/>
  <c r="AK921" i="7"/>
  <c r="AG921" i="7"/>
  <c r="AE921" i="7" l="1"/>
  <c r="AA922" i="7" s="1"/>
  <c r="Z922" i="7"/>
  <c r="AC922" i="7"/>
  <c r="AO922" i="7"/>
  <c r="AK922" i="7" s="1"/>
  <c r="AM922" i="7"/>
  <c r="AG922" i="7" s="1"/>
  <c r="AJ922" i="7"/>
  <c r="AN922" i="7"/>
  <c r="AI922" i="7" s="1"/>
  <c r="AE922" i="7" l="1"/>
  <c r="AC923" i="7" s="1"/>
  <c r="AA923" i="7"/>
  <c r="AH922" i="7"/>
  <c r="AF922" i="7"/>
  <c r="AD922" i="7" l="1"/>
  <c r="AB923" i="7"/>
  <c r="Z923" i="7"/>
  <c r="AM923" i="7" l="1"/>
  <c r="AO923" i="7"/>
  <c r="AK923" i="7" s="1"/>
  <c r="AN923" i="7"/>
  <c r="AI923" i="7" s="1"/>
  <c r="AJ923" i="7" l="1"/>
  <c r="AF923" i="7"/>
  <c r="AG923" i="7"/>
  <c r="AE923" i="7" s="1"/>
  <c r="AH923" i="7"/>
  <c r="AD923" i="7" s="1"/>
  <c r="AC924" i="7" l="1"/>
  <c r="AA924" i="7"/>
  <c r="AB924" i="7"/>
  <c r="Z924" i="7"/>
  <c r="AO924" i="7" l="1"/>
  <c r="AJ924" i="7" s="1"/>
  <c r="AN924" i="7"/>
  <c r="AH924" i="7" s="1"/>
  <c r="AM924" i="7"/>
  <c r="AF924" i="7" s="1"/>
  <c r="AK924" i="7"/>
  <c r="AI924" i="7" l="1"/>
  <c r="AG924" i="7"/>
  <c r="AD924" i="7"/>
  <c r="AE924" i="7" l="1"/>
  <c r="AB925" i="7"/>
  <c r="Z925" i="7"/>
  <c r="AA925" i="7"/>
  <c r="AC925" i="7"/>
  <c r="AO925" i="7" l="1"/>
  <c r="AJ925" i="7" s="1"/>
  <c r="AN925" i="7"/>
  <c r="AH925" i="7" s="1"/>
  <c r="AM925" i="7"/>
  <c r="AF925" i="7" s="1"/>
  <c r="AD925" i="7" l="1"/>
  <c r="AB926" i="7"/>
  <c r="Z926" i="7"/>
  <c r="AI925" i="7"/>
  <c r="AG925" i="7"/>
  <c r="AK925" i="7"/>
  <c r="AE925" i="7" l="1"/>
  <c r="AC926" i="7"/>
  <c r="AA926" i="7"/>
  <c r="AN926" i="7"/>
  <c r="AH926" i="7" s="1"/>
  <c r="AM926" i="7"/>
  <c r="AF926" i="7" s="1"/>
  <c r="AO926" i="7"/>
  <c r="AJ926" i="7" s="1"/>
  <c r="AD926" i="7" l="1"/>
  <c r="AB927" i="7" s="1"/>
  <c r="AI926" i="7"/>
  <c r="AG926" i="7"/>
  <c r="AK926" i="7"/>
  <c r="Z927" i="7"/>
  <c r="AE926" i="7" l="1"/>
  <c r="AC927" i="7" l="1"/>
  <c r="AA927" i="7"/>
  <c r="AN927" i="7" l="1"/>
  <c r="AH927" i="7" s="1"/>
  <c r="AM927" i="7"/>
  <c r="AF927" i="7" s="1"/>
  <c r="AO927" i="7"/>
  <c r="AJ927" i="7" s="1"/>
  <c r="AD927" i="7" l="1"/>
  <c r="AG927" i="7"/>
  <c r="AK927" i="7"/>
  <c r="AI927" i="7"/>
  <c r="AE927" i="7" l="1"/>
  <c r="AB928" i="7"/>
  <c r="Z928" i="7"/>
  <c r="AA928" i="7" l="1"/>
  <c r="AN928" i="7" s="1"/>
  <c r="AH928" i="7" s="1"/>
  <c r="AC928" i="7"/>
  <c r="AI928" i="7" l="1"/>
  <c r="AM928" i="7"/>
  <c r="AF928" i="7" s="1"/>
  <c r="AO928" i="7"/>
  <c r="AJ928" i="7" s="1"/>
  <c r="AD928" i="7" l="1"/>
  <c r="AK928" i="7"/>
  <c r="AG928" i="7"/>
  <c r="AE928" i="7" l="1"/>
  <c r="AB929" i="7"/>
  <c r="Z929" i="7"/>
  <c r="AC929" i="7" l="1"/>
  <c r="AA929" i="7"/>
  <c r="AO929" i="7" l="1"/>
  <c r="AJ929" i="7" s="1"/>
  <c r="AM929" i="7"/>
  <c r="AF929" i="7" s="1"/>
  <c r="AN929" i="7"/>
  <c r="AH929" i="7" s="1"/>
  <c r="AD929" i="7" l="1"/>
  <c r="AB930" i="7"/>
  <c r="Z930" i="7"/>
  <c r="AK929" i="7"/>
  <c r="AG929" i="7"/>
  <c r="AI929" i="7"/>
  <c r="AE929" i="7" l="1"/>
  <c r="AA930" i="7" l="1"/>
  <c r="AC930" i="7"/>
  <c r="AN930" i="7" l="1"/>
  <c r="AH930" i="7" s="1"/>
  <c r="AM930" i="7"/>
  <c r="AF930" i="7" s="1"/>
  <c r="AO930" i="7"/>
  <c r="AJ930" i="7" s="1"/>
  <c r="AD930" i="7" l="1"/>
  <c r="AB931" i="7"/>
  <c r="Z931" i="7"/>
  <c r="AI930" i="7"/>
  <c r="AK930" i="7"/>
  <c r="AG930" i="7"/>
  <c r="AE930" i="7" s="1"/>
  <c r="AA931" i="7" l="1"/>
  <c r="AC931" i="7"/>
  <c r="AN931" i="7" l="1"/>
  <c r="AM931" i="7"/>
  <c r="AF931" i="7" s="1"/>
  <c r="AO931" i="7"/>
  <c r="AK931" i="7" l="1"/>
  <c r="AJ931" i="7"/>
  <c r="AI931" i="7"/>
  <c r="AH931" i="7"/>
  <c r="AD931" i="7" s="1"/>
  <c r="AG931" i="7"/>
  <c r="AE931" i="7" s="1"/>
  <c r="AB932" i="7" l="1"/>
  <c r="Z932" i="7"/>
  <c r="AA932" i="7"/>
  <c r="AC932" i="7"/>
  <c r="AO932" i="7" l="1"/>
  <c r="AK932" i="7" s="1"/>
  <c r="AN932" i="7"/>
  <c r="AI932" i="7" s="1"/>
  <c r="AJ932" i="7"/>
  <c r="AM932" i="7"/>
  <c r="AG932" i="7" s="1"/>
  <c r="AE932" i="7" s="1"/>
  <c r="AA933" i="7" s="1"/>
  <c r="AH932" i="7"/>
  <c r="AF932" i="7" l="1"/>
  <c r="AD932" i="7" s="1"/>
  <c r="AC933" i="7"/>
  <c r="AB933" i="7" l="1"/>
  <c r="Z933" i="7"/>
  <c r="AO933" i="7" l="1"/>
  <c r="AK933" i="7" s="1"/>
  <c r="AN933" i="7"/>
  <c r="AI933" i="7" s="1"/>
  <c r="AM933" i="7"/>
  <c r="AG933" i="7" s="1"/>
  <c r="AE933" i="7" l="1"/>
  <c r="AH933" i="7"/>
  <c r="AF933" i="7"/>
  <c r="AC934" i="7"/>
  <c r="AA934" i="7"/>
  <c r="AJ933" i="7"/>
  <c r="AD933" i="7" l="1"/>
  <c r="AB934" i="7" l="1"/>
  <c r="Z934" i="7"/>
  <c r="AO934" i="7" l="1"/>
  <c r="AK934" i="7" s="1"/>
  <c r="AN934" i="7"/>
  <c r="AI934" i="7" s="1"/>
  <c r="AM934" i="7"/>
  <c r="AG934" i="7" s="1"/>
  <c r="AJ934" i="7"/>
  <c r="AE934" i="7" l="1"/>
  <c r="AF934" i="7"/>
  <c r="AC935" i="7"/>
  <c r="AA935" i="7"/>
  <c r="AH934" i="7"/>
  <c r="AD934" i="7" l="1"/>
  <c r="Z935" i="7" l="1"/>
  <c r="AB935" i="7"/>
  <c r="AM935" i="7" l="1"/>
  <c r="AN935" i="7"/>
  <c r="AI935" i="7" s="1"/>
  <c r="AO935" i="7"/>
  <c r="AK935" i="7" s="1"/>
  <c r="AH935" i="7"/>
  <c r="AJ935" i="7" l="1"/>
  <c r="AF935" i="7"/>
  <c r="AG935" i="7"/>
  <c r="AE935" i="7" s="1"/>
  <c r="AC936" i="7" l="1"/>
  <c r="AA936" i="7"/>
  <c r="AD935" i="7"/>
  <c r="AB936" i="7" l="1"/>
  <c r="Z936" i="7"/>
  <c r="AO936" i="7" l="1"/>
  <c r="AM936" i="7"/>
  <c r="AG936" i="7" s="1"/>
  <c r="AN936" i="7"/>
  <c r="AI936" i="7" s="1"/>
  <c r="AF936" i="7"/>
  <c r="AH936" i="7" l="1"/>
  <c r="AJ936" i="7"/>
  <c r="AK936" i="7"/>
  <c r="AE936" i="7" s="1"/>
  <c r="AD936" i="7" l="1"/>
  <c r="AC937" i="7"/>
  <c r="AA937" i="7"/>
  <c r="AB937" i="7"/>
  <c r="Z937" i="7"/>
  <c r="AO937" i="7" l="1"/>
  <c r="AJ937" i="7" s="1"/>
  <c r="AM937" i="7"/>
  <c r="AG937" i="7" s="1"/>
  <c r="AN937" i="7"/>
  <c r="AI937" i="7" s="1"/>
  <c r="AK937" i="7"/>
  <c r="AH937" i="7" l="1"/>
  <c r="AE937" i="7"/>
  <c r="AF937" i="7"/>
  <c r="AD937" i="7" s="1"/>
  <c r="AA938" i="7" l="1"/>
  <c r="AC938" i="7"/>
  <c r="Z938" i="7"/>
  <c r="AB938" i="7"/>
  <c r="AN938" i="7" l="1"/>
  <c r="AM938" i="7"/>
  <c r="AG938" i="7" s="1"/>
  <c r="AO938" i="7"/>
  <c r="AJ938" i="7"/>
  <c r="AH938" i="7"/>
  <c r="AK938" i="7"/>
  <c r="AI938" i="7"/>
  <c r="AF938" i="7" l="1"/>
  <c r="AE938" i="7"/>
  <c r="AC939" i="7"/>
  <c r="AA939" i="7"/>
  <c r="AD938" i="7"/>
  <c r="AB939" i="7" l="1"/>
  <c r="Z939" i="7"/>
  <c r="AM939" i="7" l="1"/>
  <c r="AG939" i="7" s="1"/>
  <c r="AO939" i="7"/>
  <c r="AN939" i="7"/>
  <c r="AF939" i="7"/>
  <c r="AH939" i="7" l="1"/>
  <c r="AI939" i="7"/>
  <c r="AJ939" i="7"/>
  <c r="AK939" i="7"/>
  <c r="AE939" i="7" s="1"/>
  <c r="AD939" i="7" l="1"/>
  <c r="AA940" i="7"/>
  <c r="AC940" i="7"/>
  <c r="AB940" i="7"/>
  <c r="Z940" i="7"/>
  <c r="AN940" i="7" l="1"/>
  <c r="AM940" i="7"/>
  <c r="AF940" i="7" s="1"/>
  <c r="AO940" i="7"/>
  <c r="AJ940" i="7" s="1"/>
  <c r="AH940" i="7"/>
  <c r="AI940" i="7"/>
  <c r="AG940" i="7" l="1"/>
  <c r="AD940" i="7"/>
  <c r="AK940" i="7"/>
  <c r="AE940" i="7" s="1"/>
  <c r="AA941" i="7" l="1"/>
  <c r="AC941" i="7"/>
  <c r="Z941" i="7"/>
  <c r="AB941" i="7"/>
  <c r="AN941" i="7" l="1"/>
  <c r="AH941" i="7" s="1"/>
  <c r="AM941" i="7"/>
  <c r="AF941" i="7" s="1"/>
  <c r="AO941" i="7"/>
  <c r="AJ941" i="7" s="1"/>
  <c r="AI941" i="7"/>
  <c r="AG941" i="7" l="1"/>
  <c r="AK941" i="7"/>
  <c r="AD941" i="7"/>
  <c r="AE941" i="7"/>
  <c r="Z942" i="7" l="1"/>
  <c r="AB942" i="7"/>
  <c r="AA942" i="7"/>
  <c r="AC942" i="7"/>
  <c r="AN942" i="7" l="1"/>
  <c r="AH942" i="7" s="1"/>
  <c r="AO942" i="7"/>
  <c r="AJ942" i="7" s="1"/>
  <c r="AM942" i="7"/>
  <c r="AF942" i="7" s="1"/>
  <c r="AK942" i="7" l="1"/>
  <c r="AD942" i="7"/>
  <c r="AG942" i="7"/>
  <c r="AI942" i="7"/>
  <c r="AB943" i="7" l="1"/>
  <c r="Z943" i="7"/>
  <c r="AE942" i="7"/>
  <c r="AA943" i="7" l="1"/>
  <c r="AC943" i="7"/>
  <c r="AM943" i="7" l="1"/>
  <c r="AF943" i="7" s="1"/>
  <c r="AO943" i="7"/>
  <c r="AJ943" i="7" s="1"/>
  <c r="AN943" i="7"/>
  <c r="AH943" i="7" s="1"/>
  <c r="AD943" i="7" l="1"/>
  <c r="AI943" i="7"/>
  <c r="AK943" i="7"/>
  <c r="AG943" i="7"/>
  <c r="AE943" i="7" l="1"/>
  <c r="Z944" i="7"/>
  <c r="AB944" i="7"/>
  <c r="AA944" i="7" l="1"/>
  <c r="AC944" i="7"/>
  <c r="AO944" i="7" l="1"/>
  <c r="AN944" i="7"/>
  <c r="AH944" i="7" s="1"/>
  <c r="AM944" i="7"/>
  <c r="AF944" i="7" s="1"/>
  <c r="AI944" i="7" l="1"/>
  <c r="AK944" i="7"/>
  <c r="AJ944" i="7"/>
  <c r="AD944" i="7" s="1"/>
  <c r="AG944" i="7"/>
  <c r="AE944" i="7" s="1"/>
  <c r="AB945" i="7" l="1"/>
  <c r="Z945" i="7"/>
  <c r="AA945" i="7"/>
  <c r="AC945" i="7"/>
  <c r="AM945" i="7" l="1"/>
  <c r="AF945" i="7" s="1"/>
  <c r="AN945" i="7"/>
  <c r="AH945" i="7" s="1"/>
  <c r="AO945" i="7"/>
  <c r="AJ945" i="7" s="1"/>
  <c r="AG945" i="7"/>
  <c r="AI945" i="7"/>
  <c r="AK945" i="7"/>
  <c r="AE945" i="7" l="1"/>
  <c r="AD945" i="7"/>
  <c r="AB946" i="7" l="1"/>
  <c r="Z946" i="7"/>
  <c r="AA946" i="7"/>
  <c r="AC946" i="7"/>
  <c r="AN946" i="7" l="1"/>
  <c r="AH946" i="7" s="1"/>
  <c r="AO946" i="7"/>
  <c r="AJ946" i="7" s="1"/>
  <c r="AM946" i="7"/>
  <c r="AF946" i="7" s="1"/>
  <c r="AD946" i="7" l="1"/>
  <c r="AB947" i="7" s="1"/>
  <c r="Z947" i="7"/>
  <c r="AG946" i="7"/>
  <c r="AI946" i="7"/>
  <c r="AK946" i="7"/>
  <c r="AE946" i="7" l="1"/>
  <c r="AA947" i="7" l="1"/>
  <c r="AC947" i="7"/>
  <c r="AO947" i="7" l="1"/>
  <c r="AJ947" i="7" s="1"/>
  <c r="AM947" i="7"/>
  <c r="AF947" i="7" s="1"/>
  <c r="AN947" i="7"/>
  <c r="AH947" i="7" s="1"/>
  <c r="AD947" i="7" l="1"/>
  <c r="AB948" i="7" s="1"/>
  <c r="AI947" i="7"/>
  <c r="AG947" i="7"/>
  <c r="AK947" i="7"/>
  <c r="Z948" i="7" l="1"/>
  <c r="AE947" i="7"/>
  <c r="AC948" i="7" s="1"/>
  <c r="AA948" i="7"/>
  <c r="AO948" i="7"/>
  <c r="AJ948" i="7" s="1"/>
  <c r="AN948" i="7"/>
  <c r="AH948" i="7" s="1"/>
  <c r="AM948" i="7"/>
  <c r="AF948" i="7" s="1"/>
  <c r="AD948" i="7" l="1"/>
  <c r="AB949" i="7" s="1"/>
  <c r="Z949" i="7"/>
  <c r="AK948" i="7"/>
  <c r="AI948" i="7"/>
  <c r="AG948" i="7"/>
  <c r="AE948" i="7" l="1"/>
  <c r="AA949" i="7" s="1"/>
  <c r="AN949" i="7" s="1"/>
  <c r="AH949" i="7" s="1"/>
  <c r="AM949" i="7" l="1"/>
  <c r="AF949" i="7" s="1"/>
  <c r="AO949" i="7"/>
  <c r="AJ949" i="7" s="1"/>
  <c r="AC949" i="7"/>
  <c r="AK949" i="7"/>
  <c r="AI949" i="7"/>
  <c r="AG949" i="7"/>
  <c r="AD949" i="7" l="1"/>
  <c r="AE949" i="7"/>
  <c r="AB950" i="7"/>
  <c r="Z950" i="7"/>
  <c r="AA950" i="7" l="1"/>
  <c r="AO950" i="7" s="1"/>
  <c r="AJ950" i="7" s="1"/>
  <c r="AC950" i="7"/>
  <c r="AK950" i="7" l="1"/>
  <c r="AN950" i="7"/>
  <c r="AH950" i="7" s="1"/>
  <c r="AM950" i="7"/>
  <c r="AF950" i="7" s="1"/>
  <c r="AD950" i="7" l="1"/>
  <c r="AB951" i="7"/>
  <c r="Z951" i="7"/>
  <c r="AI950" i="7"/>
  <c r="AG950" i="7"/>
  <c r="AE950" i="7" s="1"/>
  <c r="AC951" i="7" l="1"/>
  <c r="AA951" i="7"/>
  <c r="AO951" i="7" s="1"/>
  <c r="AJ951" i="7" s="1"/>
  <c r="AK951" i="7" l="1"/>
  <c r="AM951" i="7"/>
  <c r="AF951" i="7" s="1"/>
  <c r="AN951" i="7"/>
  <c r="AH951" i="7" s="1"/>
  <c r="AI951" i="7" l="1"/>
  <c r="AD951" i="7"/>
  <c r="AG951" i="7"/>
  <c r="AE951" i="7" s="1"/>
  <c r="Z952" i="7" l="1"/>
  <c r="AB952" i="7"/>
  <c r="AC952" i="7"/>
  <c r="AA952" i="7"/>
  <c r="AN952" i="7" l="1"/>
  <c r="AH952" i="7" s="1"/>
  <c r="AO952" i="7"/>
  <c r="AK952" i="7" s="1"/>
  <c r="AM952" i="7"/>
  <c r="AF952" i="7" s="1"/>
  <c r="AI952" i="7" l="1"/>
  <c r="AG952" i="7"/>
  <c r="AE952" i="7" s="1"/>
  <c r="AJ952" i="7"/>
  <c r="AD952" i="7" s="1"/>
  <c r="Z953" i="7" l="1"/>
  <c r="AB953" i="7"/>
  <c r="AC953" i="7"/>
  <c r="AA953" i="7"/>
  <c r="AN953" i="7" l="1"/>
  <c r="AH953" i="7" s="1"/>
  <c r="AO953" i="7"/>
  <c r="AJ953" i="7" s="1"/>
  <c r="AM953" i="7"/>
  <c r="AF953" i="7" s="1"/>
  <c r="AI953" i="7" l="1"/>
  <c r="AG953" i="7"/>
  <c r="AK953" i="7"/>
  <c r="AE953" i="7" s="1"/>
  <c r="AD953" i="7"/>
  <c r="Z954" i="7" l="1"/>
  <c r="AB954" i="7"/>
  <c r="AC954" i="7"/>
  <c r="AA954" i="7"/>
  <c r="AO954" i="7" l="1"/>
  <c r="AJ954" i="7" s="1"/>
  <c r="AM954" i="7"/>
  <c r="AF954" i="7" s="1"/>
  <c r="AN954" i="7"/>
  <c r="AH954" i="7" s="1"/>
  <c r="AI954" i="7" l="1"/>
  <c r="AD954" i="7"/>
  <c r="AG954" i="7"/>
  <c r="AK954" i="7"/>
  <c r="AE954" i="7" l="1"/>
  <c r="AC955" i="7"/>
  <c r="AA955" i="7"/>
  <c r="AB955" i="7"/>
  <c r="Z955" i="7"/>
  <c r="AN955" i="7" l="1"/>
  <c r="AH955" i="7" s="1"/>
  <c r="AO955" i="7"/>
  <c r="AJ955" i="7" s="1"/>
  <c r="AM955" i="7"/>
  <c r="AF955" i="7" s="1"/>
  <c r="AI955" i="7"/>
  <c r="AK955" i="7"/>
  <c r="AD955" i="7" l="1"/>
  <c r="AB956" i="7" s="1"/>
  <c r="AG955" i="7"/>
  <c r="Z956" i="7"/>
  <c r="AE955" i="7"/>
  <c r="AA956" i="7" l="1"/>
  <c r="AC956" i="7"/>
  <c r="AN956" i="7"/>
  <c r="AH956" i="7" s="1"/>
  <c r="AO956" i="7"/>
  <c r="AJ956" i="7" s="1"/>
  <c r="AM956" i="7"/>
  <c r="AF956" i="7" s="1"/>
  <c r="AD956" i="7" s="1"/>
  <c r="AB957" i="7" s="1"/>
  <c r="Z957" i="7" l="1"/>
  <c r="AI956" i="7"/>
  <c r="AK956" i="7"/>
  <c r="AG956" i="7"/>
  <c r="AE956" i="7" l="1"/>
  <c r="AC957" i="7" l="1"/>
  <c r="AA957" i="7"/>
  <c r="AO957" i="7" l="1"/>
  <c r="AM957" i="7"/>
  <c r="AN957" i="7"/>
  <c r="AF957" i="7" l="1"/>
  <c r="AG957" i="7"/>
  <c r="AH957" i="7"/>
  <c r="AI957" i="7"/>
  <c r="AJ957" i="7"/>
  <c r="AK957" i="7"/>
  <c r="AE957" i="7" l="1"/>
  <c r="AD957" i="7"/>
  <c r="AB958" i="7" l="1"/>
  <c r="Z958" i="7"/>
  <c r="AC958" i="7"/>
  <c r="AA958" i="7"/>
  <c r="AO958" i="7" l="1"/>
  <c r="AJ958" i="7" s="1"/>
  <c r="AM958" i="7"/>
  <c r="AF958" i="7" s="1"/>
  <c r="AN958" i="7"/>
  <c r="AH958" i="7" s="1"/>
  <c r="AI958" i="7"/>
  <c r="AG958" i="7" l="1"/>
  <c r="AK958" i="7"/>
  <c r="AE958" i="7" s="1"/>
  <c r="AD958" i="7"/>
  <c r="Z959" i="7" s="1"/>
  <c r="AC959" i="7" l="1"/>
  <c r="AA959" i="7"/>
  <c r="AO959" i="7"/>
  <c r="AJ959" i="7" s="1"/>
  <c r="AB959" i="7"/>
  <c r="AK959" i="7"/>
  <c r="AM959" i="7"/>
  <c r="AF959" i="7" s="1"/>
  <c r="AN959" i="7"/>
  <c r="AH959" i="7" s="1"/>
  <c r="AD959" i="7" l="1"/>
  <c r="AG959" i="7"/>
  <c r="AI959" i="7"/>
  <c r="AE959" i="7" s="1"/>
  <c r="AA960" i="7" l="1"/>
  <c r="AC960" i="7"/>
  <c r="Z960" i="7"/>
  <c r="AB960" i="7"/>
  <c r="AN960" i="7" l="1"/>
  <c r="AO960" i="7"/>
  <c r="AM960" i="7"/>
  <c r="AG960" i="7" s="1"/>
  <c r="AH960" i="7"/>
  <c r="AJ960" i="7"/>
  <c r="AF960" i="7"/>
  <c r="AK960" i="7"/>
  <c r="AI960" i="7"/>
  <c r="AD960" i="7" l="1"/>
  <c r="AB961" i="7" s="1"/>
  <c r="AE960" i="7"/>
  <c r="AC961" i="7"/>
  <c r="AA961" i="7"/>
  <c r="Z961" i="7" l="1"/>
  <c r="AO961" i="7" l="1"/>
  <c r="AK961" i="7" s="1"/>
  <c r="AN961" i="7"/>
  <c r="AI961" i="7" s="1"/>
  <c r="AJ961" i="7"/>
  <c r="AH961" i="7"/>
  <c r="AM961" i="7"/>
  <c r="AG961" i="7" s="1"/>
  <c r="AE961" i="7" s="1"/>
  <c r="AF961" i="7" l="1"/>
  <c r="AD961" i="7" s="1"/>
  <c r="AA962" i="7"/>
  <c r="AC962" i="7"/>
  <c r="Z962" i="7" l="1"/>
  <c r="AB962" i="7"/>
  <c r="AO962" i="7" l="1"/>
  <c r="AN962" i="7"/>
  <c r="AM962" i="7"/>
  <c r="AF962" i="7" l="1"/>
  <c r="AG962" i="7"/>
  <c r="AJ962" i="7"/>
  <c r="AK962" i="7"/>
  <c r="AH962" i="7"/>
  <c r="AI962" i="7"/>
  <c r="AE962" i="7" l="1"/>
  <c r="AD962" i="7"/>
  <c r="AB963" i="7" l="1"/>
  <c r="Z963" i="7"/>
  <c r="AA963" i="7"/>
  <c r="AC963" i="7"/>
  <c r="AO963" i="7" l="1"/>
  <c r="AJ963" i="7" s="1"/>
  <c r="AN963" i="7"/>
  <c r="AM963" i="7"/>
  <c r="AF963" i="7" l="1"/>
  <c r="AG963" i="7"/>
  <c r="AH963" i="7"/>
  <c r="AI963" i="7"/>
  <c r="AK963" i="7"/>
  <c r="AE963" i="7" l="1"/>
  <c r="AD963" i="7"/>
  <c r="AB964" i="7" l="1"/>
  <c r="Z964" i="7"/>
  <c r="AC964" i="7"/>
  <c r="AA964" i="7"/>
  <c r="AO964" i="7" l="1"/>
  <c r="AJ964" i="7" s="1"/>
  <c r="AN964" i="7"/>
  <c r="AH964" i="7" s="1"/>
  <c r="AM964" i="7"/>
  <c r="AF964" i="7" s="1"/>
  <c r="AG964" i="7"/>
  <c r="AD964" i="7" l="1"/>
  <c r="Z965" i="7"/>
  <c r="AB965" i="7"/>
  <c r="AK964" i="7"/>
  <c r="AI964" i="7"/>
  <c r="AE964" i="7" s="1"/>
  <c r="AA965" i="7" l="1"/>
  <c r="AC965" i="7"/>
  <c r="AO965" i="7"/>
  <c r="AJ965" i="7" s="1"/>
  <c r="AN965" i="7"/>
  <c r="AH965" i="7" s="1"/>
  <c r="AM965" i="7"/>
  <c r="AF965" i="7" s="1"/>
  <c r="AD965" i="7" s="1"/>
  <c r="Z966" i="7" l="1"/>
  <c r="AB966" i="7"/>
  <c r="AK965" i="7"/>
  <c r="AG965" i="7"/>
  <c r="AI965" i="7"/>
  <c r="AE965" i="7" l="1"/>
  <c r="AC966" i="7" s="1"/>
  <c r="AA966" i="7"/>
  <c r="AN966" i="7" s="1"/>
  <c r="AO966" i="7"/>
  <c r="AJ966" i="7" s="1"/>
  <c r="AM966" i="7"/>
  <c r="AF966" i="7" s="1"/>
  <c r="AH966" i="7" l="1"/>
  <c r="AD966" i="7" s="1"/>
  <c r="AI966" i="7"/>
  <c r="AK966" i="7"/>
  <c r="AG966" i="7"/>
  <c r="Z967" i="7" l="1"/>
  <c r="AB967" i="7"/>
  <c r="AE966" i="7"/>
  <c r="AA967" i="7"/>
  <c r="AC967" i="7"/>
  <c r="AO967" i="7"/>
  <c r="AJ967" i="7" s="1"/>
  <c r="AN967" i="7"/>
  <c r="AH967" i="7" s="1"/>
  <c r="AM967" i="7"/>
  <c r="AF967" i="7" s="1"/>
  <c r="AD967" i="7" l="1"/>
  <c r="AB968" i="7" s="1"/>
  <c r="Z968" i="7"/>
  <c r="AK967" i="7"/>
  <c r="AG967" i="7"/>
  <c r="AI967" i="7"/>
  <c r="AE967" i="7" l="1"/>
  <c r="AA968" i="7" l="1"/>
  <c r="AC968" i="7"/>
  <c r="AM968" i="7" l="1"/>
  <c r="AF968" i="7" s="1"/>
  <c r="AO968" i="7"/>
  <c r="AJ968" i="7" s="1"/>
  <c r="AN968" i="7"/>
  <c r="AH968" i="7" s="1"/>
  <c r="AI968" i="7" l="1"/>
  <c r="AD968" i="7"/>
  <c r="AG968" i="7"/>
  <c r="AK968" i="7"/>
  <c r="AE968" i="7" l="1"/>
  <c r="AC969" i="7"/>
  <c r="AA969" i="7"/>
  <c r="Z969" i="7"/>
  <c r="AB969" i="7"/>
  <c r="AN969" i="7" l="1"/>
  <c r="AH969" i="7" s="1"/>
  <c r="AO969" i="7"/>
  <c r="AJ969" i="7" s="1"/>
  <c r="AM969" i="7"/>
  <c r="AF969" i="7" s="1"/>
  <c r="AD969" i="7" l="1"/>
  <c r="AB970" i="7" s="1"/>
  <c r="AG969" i="7"/>
  <c r="AK969" i="7"/>
  <c r="AI969" i="7"/>
  <c r="Z970" i="7"/>
  <c r="AE969" i="7" l="1"/>
  <c r="AC970" i="7" l="1"/>
  <c r="AA970" i="7"/>
  <c r="AN970" i="7" l="1"/>
  <c r="AH970" i="7" s="1"/>
  <c r="AM970" i="7"/>
  <c r="AF970" i="7" s="1"/>
  <c r="AO970" i="7"/>
  <c r="AJ970" i="7" s="1"/>
  <c r="AD970" i="7" l="1"/>
  <c r="AG970" i="7"/>
  <c r="AI970" i="7"/>
  <c r="AK970" i="7"/>
  <c r="AE970" i="7" l="1"/>
  <c r="AB971" i="7"/>
  <c r="Z971" i="7"/>
  <c r="AC971" i="7" l="1"/>
  <c r="AA971" i="7"/>
  <c r="AM971" i="7" l="1"/>
  <c r="AF971" i="7" s="1"/>
  <c r="AG971" i="7"/>
  <c r="AN971" i="7"/>
  <c r="AH971" i="7" s="1"/>
  <c r="AO971" i="7"/>
  <c r="AJ971" i="7" s="1"/>
  <c r="AK971" i="7" l="1"/>
  <c r="AI971" i="7"/>
  <c r="AE971" i="7" s="1"/>
  <c r="AD971" i="7"/>
  <c r="AA972" i="7" l="1"/>
  <c r="AC972" i="7"/>
  <c r="Z972" i="7"/>
  <c r="AB972" i="7"/>
  <c r="AO972" i="7" l="1"/>
  <c r="AJ972" i="7" s="1"/>
  <c r="AN972" i="7"/>
  <c r="AI972" i="7" s="1"/>
  <c r="AM972" i="7"/>
  <c r="AG972" i="7" s="1"/>
  <c r="AH972" i="7"/>
  <c r="AK972" i="7"/>
  <c r="AE972" i="7" l="1"/>
  <c r="AC973" i="7"/>
  <c r="AA973" i="7"/>
  <c r="AF972" i="7"/>
  <c r="AD972" i="7" s="1"/>
  <c r="AB973" i="7" l="1"/>
  <c r="Z973" i="7"/>
  <c r="AO973" i="7" l="1"/>
  <c r="AK973" i="7" s="1"/>
  <c r="AM973" i="7"/>
  <c r="AG973" i="7" s="1"/>
  <c r="AN973" i="7"/>
  <c r="AI973" i="7" s="1"/>
  <c r="AJ973" i="7"/>
  <c r="AH973" i="7" l="1"/>
  <c r="AE973" i="7"/>
  <c r="AF973" i="7"/>
  <c r="AD973" i="7" s="1"/>
  <c r="AA974" i="7"/>
  <c r="AC974" i="7"/>
  <c r="AB974" i="7" l="1"/>
  <c r="Z974" i="7"/>
  <c r="AN974" i="7" l="1"/>
  <c r="AI974" i="7" s="1"/>
  <c r="AO974" i="7"/>
  <c r="AK974" i="7" s="1"/>
  <c r="AH974" i="7"/>
  <c r="AM974" i="7"/>
  <c r="AG974" i="7" s="1"/>
  <c r="AJ974" i="7" l="1"/>
  <c r="AE974" i="7"/>
  <c r="AA975" i="7"/>
  <c r="AC975" i="7"/>
  <c r="AF974" i="7"/>
  <c r="AD974" i="7" s="1"/>
  <c r="Z975" i="7" l="1"/>
  <c r="AB975" i="7"/>
  <c r="AO975" i="7" l="1"/>
  <c r="AK975" i="7" s="1"/>
  <c r="AN975" i="7"/>
  <c r="AI975" i="7" s="1"/>
  <c r="AM975" i="7"/>
  <c r="AG975" i="7" s="1"/>
  <c r="AJ975" i="7"/>
  <c r="AH975" i="7"/>
  <c r="AE975" i="7" l="1"/>
  <c r="AC976" i="7"/>
  <c r="AA976" i="7"/>
  <c r="AF975" i="7"/>
  <c r="AD975" i="7" s="1"/>
  <c r="AB976" i="7" l="1"/>
  <c r="Z976" i="7"/>
  <c r="AN976" i="7" l="1"/>
  <c r="AI976" i="7" s="1"/>
  <c r="AO976" i="7"/>
  <c r="AK976" i="7" s="1"/>
  <c r="AM976" i="7"/>
  <c r="AG976" i="7" s="1"/>
  <c r="AJ976" i="7"/>
  <c r="AF976" i="7"/>
  <c r="AE976" i="7" l="1"/>
  <c r="AA977" i="7"/>
  <c r="AC977" i="7"/>
  <c r="AH976" i="7"/>
  <c r="AD976" i="7" s="1"/>
  <c r="AB977" i="7" l="1"/>
  <c r="Z977" i="7"/>
  <c r="AM977" i="7" l="1"/>
  <c r="AG977" i="7" s="1"/>
  <c r="AO977" i="7"/>
  <c r="AK977" i="7" s="1"/>
  <c r="AN977" i="7"/>
  <c r="AI977" i="7" s="1"/>
  <c r="AH977" i="7"/>
  <c r="AF977" i="7"/>
  <c r="AJ977" i="7"/>
  <c r="AD977" i="7" l="1"/>
  <c r="AE977" i="7"/>
  <c r="AC978" i="7" l="1"/>
  <c r="AA978" i="7"/>
  <c r="AB978" i="7"/>
  <c r="Z978" i="7"/>
  <c r="AN978" i="7" l="1"/>
  <c r="AI978" i="7" s="1"/>
  <c r="AO978" i="7"/>
  <c r="AK978" i="7" s="1"/>
  <c r="AM978" i="7"/>
  <c r="AG978" i="7" s="1"/>
  <c r="AJ978" i="7"/>
  <c r="AH978" i="7"/>
  <c r="AF978" i="7" l="1"/>
  <c r="AE978" i="7"/>
  <c r="AA979" i="7" s="1"/>
  <c r="AC979" i="7"/>
  <c r="AD978" i="7"/>
  <c r="AB979" i="7" l="1"/>
  <c r="Z979" i="7"/>
  <c r="AM979" i="7" l="1"/>
  <c r="AG979" i="7" s="1"/>
  <c r="AN979" i="7"/>
  <c r="AI979" i="7" s="1"/>
  <c r="AO979" i="7"/>
  <c r="AK979" i="7" s="1"/>
  <c r="AF979" i="7"/>
  <c r="AH979" i="7"/>
  <c r="AJ979" i="7"/>
  <c r="AD979" i="7" l="1"/>
  <c r="AE979" i="7"/>
  <c r="AC980" i="7" l="1"/>
  <c r="AA980" i="7"/>
  <c r="AB980" i="7"/>
  <c r="Z980" i="7"/>
  <c r="AO980" i="7" l="1"/>
  <c r="AK980" i="7" s="1"/>
  <c r="AN980" i="7"/>
  <c r="AI980" i="7" s="1"/>
  <c r="AM980" i="7"/>
  <c r="AF980" i="7" s="1"/>
  <c r="AJ980" i="7"/>
  <c r="AH980" i="7" l="1"/>
  <c r="AD980" i="7"/>
  <c r="AG980" i="7"/>
  <c r="AE980" i="7" s="1"/>
  <c r="AC981" i="7" l="1"/>
  <c r="AA981" i="7"/>
  <c r="AB981" i="7"/>
  <c r="Z981" i="7"/>
  <c r="AO981" i="7" l="1"/>
  <c r="AJ981" i="7" s="1"/>
  <c r="AN981" i="7"/>
  <c r="AH981" i="7" s="1"/>
  <c r="AM981" i="7"/>
  <c r="AF981" i="7" s="1"/>
  <c r="AG981" i="7"/>
  <c r="AK981" i="7"/>
  <c r="AI981" i="7"/>
  <c r="AD981" i="7" l="1"/>
  <c r="AB982" i="7" s="1"/>
  <c r="AE981" i="7"/>
  <c r="Z982" i="7"/>
  <c r="AC982" i="7" l="1"/>
  <c r="AA982" i="7"/>
  <c r="AM982" i="7" s="1"/>
  <c r="AF982" i="7" s="1"/>
  <c r="AG982" i="7" l="1"/>
  <c r="AO982" i="7"/>
  <c r="AJ982" i="7" s="1"/>
  <c r="AN982" i="7"/>
  <c r="AH982" i="7" s="1"/>
  <c r="AD982" i="7" l="1"/>
  <c r="AB983" i="7"/>
  <c r="Z983" i="7"/>
  <c r="AI982" i="7"/>
  <c r="AK982" i="7"/>
  <c r="AE982" i="7" l="1"/>
  <c r="AA983" i="7"/>
  <c r="AC983" i="7"/>
  <c r="AO983" i="7"/>
  <c r="AJ983" i="7" s="1"/>
  <c r="AM983" i="7"/>
  <c r="AF983" i="7" s="1"/>
  <c r="AN983" i="7"/>
  <c r="AH983" i="7" s="1"/>
  <c r="AD983" i="7" l="1"/>
  <c r="AI983" i="7"/>
  <c r="AK983" i="7"/>
  <c r="AG983" i="7"/>
  <c r="AE983" i="7" l="1"/>
  <c r="AC984" i="7" s="1"/>
  <c r="AA984" i="7"/>
  <c r="Z984" i="7"/>
  <c r="AB984" i="7"/>
  <c r="AN984" i="7" l="1"/>
  <c r="AI984" i="7" s="1"/>
  <c r="AO984" i="7"/>
  <c r="AK984" i="7" s="1"/>
  <c r="AM984" i="7"/>
  <c r="AG984" i="7" s="1"/>
  <c r="AJ984" i="7"/>
  <c r="AH984" i="7" l="1"/>
  <c r="AE984" i="7"/>
  <c r="AC985" i="7" s="1"/>
  <c r="AF984" i="7"/>
  <c r="AD984" i="7" s="1"/>
  <c r="AA985" i="7"/>
  <c r="Z985" i="7" l="1"/>
  <c r="AB985" i="7"/>
  <c r="AM985" i="7" l="1"/>
  <c r="AG985" i="7" s="1"/>
  <c r="AN985" i="7"/>
  <c r="AI985" i="7" s="1"/>
  <c r="AO985" i="7"/>
  <c r="AK985" i="7" s="1"/>
  <c r="AF985" i="7"/>
  <c r="AH985" i="7" l="1"/>
  <c r="AE985" i="7"/>
  <c r="AJ985" i="7"/>
  <c r="AD985" i="7" s="1"/>
  <c r="AB986" i="7" l="1"/>
  <c r="Z986" i="7"/>
  <c r="AC986" i="7"/>
  <c r="AA986" i="7"/>
  <c r="AM986" i="7" l="1"/>
  <c r="AG986" i="7" s="1"/>
  <c r="AF986" i="7"/>
  <c r="AO986" i="7"/>
  <c r="AK986" i="7" s="1"/>
  <c r="AN986" i="7"/>
  <c r="AI986" i="7" s="1"/>
  <c r="AJ986" i="7" l="1"/>
  <c r="AH986" i="7"/>
  <c r="AD986" i="7" s="1"/>
  <c r="AE986" i="7"/>
  <c r="Z987" i="7" l="1"/>
  <c r="AB987" i="7"/>
  <c r="AC987" i="7"/>
  <c r="AA987" i="7"/>
  <c r="AO987" i="7" l="1"/>
  <c r="AK987" i="7" s="1"/>
  <c r="AN987" i="7"/>
  <c r="AI987" i="7" s="1"/>
  <c r="AM987" i="7"/>
  <c r="AG987" i="7" s="1"/>
  <c r="AF987" i="7"/>
  <c r="AE987" i="7" l="1"/>
  <c r="AC988" i="7"/>
  <c r="AA988" i="7"/>
  <c r="AJ987" i="7"/>
  <c r="AH987" i="7"/>
  <c r="AD987" i="7" s="1"/>
  <c r="AB988" i="7" l="1"/>
  <c r="Z988" i="7"/>
  <c r="AO988" i="7" l="1"/>
  <c r="AK988" i="7" s="1"/>
  <c r="AN988" i="7"/>
  <c r="AI988" i="7" s="1"/>
  <c r="AM988" i="7"/>
  <c r="AG988" i="7" s="1"/>
  <c r="AJ988" i="7"/>
  <c r="AH988" i="7"/>
  <c r="AF988" i="7"/>
  <c r="AD988" i="7" l="1"/>
  <c r="Z989" i="7" s="1"/>
  <c r="AE988" i="7"/>
  <c r="AB989" i="7"/>
  <c r="AA989" i="7"/>
  <c r="AM989" i="7" s="1"/>
  <c r="AG989" i="7" s="1"/>
  <c r="AC989" i="7"/>
  <c r="AO989" i="7" l="1"/>
  <c r="AK989" i="7" s="1"/>
  <c r="AN989" i="7"/>
  <c r="AJ989" i="7"/>
  <c r="AF989" i="7"/>
  <c r="AI989" i="7" l="1"/>
  <c r="AE989" i="7" s="1"/>
  <c r="AH989" i="7"/>
  <c r="AD989" i="7" s="1"/>
  <c r="Z990" i="7" l="1"/>
  <c r="AB990" i="7"/>
  <c r="AA990" i="7"/>
  <c r="AC990" i="7"/>
  <c r="AO990" i="7" l="1"/>
  <c r="AN990" i="7"/>
  <c r="AI990" i="7" s="1"/>
  <c r="AM990" i="7"/>
  <c r="AG990" i="7" s="1"/>
  <c r="AF990" i="7" l="1"/>
  <c r="AK990" i="7"/>
  <c r="AE990" i="7" s="1"/>
  <c r="AJ990" i="7"/>
  <c r="AH990" i="7"/>
  <c r="AA991" i="7" l="1"/>
  <c r="AC991" i="7"/>
  <c r="AD990" i="7"/>
  <c r="Z991" i="7" l="1"/>
  <c r="AB991" i="7"/>
  <c r="AO991" i="7" l="1"/>
  <c r="AK991" i="7" s="1"/>
  <c r="AN991" i="7"/>
  <c r="AI991" i="7" s="1"/>
  <c r="AM991" i="7"/>
  <c r="AG991" i="7" s="1"/>
  <c r="AH991" i="7"/>
  <c r="AE991" i="7" l="1"/>
  <c r="AA992" i="7"/>
  <c r="AC992" i="7"/>
  <c r="AJ991" i="7"/>
  <c r="AF991" i="7"/>
  <c r="AD991" i="7" l="1"/>
  <c r="AB992" i="7"/>
  <c r="Z992" i="7"/>
  <c r="AO992" i="7" l="1"/>
  <c r="AK992" i="7" s="1"/>
  <c r="AN992" i="7"/>
  <c r="AI992" i="7" s="1"/>
  <c r="AM992" i="7"/>
  <c r="AG992" i="7" s="1"/>
  <c r="AF992" i="7"/>
  <c r="AH992" i="7" l="1"/>
  <c r="AJ992" i="7"/>
  <c r="AD992" i="7" s="1"/>
  <c r="AE992" i="7"/>
  <c r="AA993" i="7"/>
  <c r="AC993" i="7"/>
  <c r="AB993" i="7" l="1"/>
  <c r="Z993" i="7"/>
  <c r="AM993" i="7" l="1"/>
  <c r="AG993" i="7" s="1"/>
  <c r="AN993" i="7"/>
  <c r="AI993" i="7" s="1"/>
  <c r="AO993" i="7"/>
  <c r="AK993" i="7" s="1"/>
  <c r="AF993" i="7" l="1"/>
  <c r="AH993" i="7"/>
  <c r="AJ993" i="7"/>
  <c r="AD993" i="7" s="1"/>
  <c r="AE993" i="7"/>
  <c r="AB994" i="7" l="1"/>
  <c r="Z994" i="7"/>
  <c r="AA994" i="7"/>
  <c r="AC994" i="7"/>
  <c r="AM994" i="7" l="1"/>
  <c r="AF994" i="7" s="1"/>
  <c r="AO994" i="7"/>
  <c r="AK994" i="7" s="1"/>
  <c r="AN994" i="7"/>
  <c r="AH994" i="7" s="1"/>
  <c r="AJ994" i="7" l="1"/>
  <c r="AD994" i="7" s="1"/>
  <c r="AG994" i="7"/>
  <c r="AI994" i="7"/>
  <c r="AE994" i="7" l="1"/>
  <c r="AC995" i="7"/>
  <c r="AA995" i="7"/>
  <c r="AB995" i="7"/>
  <c r="Z995" i="7"/>
  <c r="AM995" i="7" l="1"/>
  <c r="AG995" i="7" s="1"/>
  <c r="AO995" i="7"/>
  <c r="AJ995" i="7" s="1"/>
  <c r="AN995" i="7"/>
  <c r="AI995" i="7" s="1"/>
  <c r="AF995" i="7"/>
  <c r="AK995" i="7" l="1"/>
  <c r="AE995" i="7" s="1"/>
  <c r="AH995" i="7"/>
  <c r="AD995" i="7" s="1"/>
  <c r="Z996" i="7" l="1"/>
  <c r="AB996" i="7"/>
  <c r="AC996" i="7"/>
  <c r="AA996" i="7"/>
  <c r="AM996" i="7" l="1"/>
  <c r="AG996" i="7" s="1"/>
  <c r="AN996" i="7"/>
  <c r="AI996" i="7" s="1"/>
  <c r="AO996" i="7"/>
  <c r="AK996" i="7" s="1"/>
  <c r="AH996" i="7" l="1"/>
  <c r="AJ996" i="7"/>
  <c r="AE996" i="7"/>
  <c r="AF996" i="7"/>
  <c r="AD996" i="7" s="1"/>
  <c r="Z997" i="7" l="1"/>
  <c r="AB997" i="7"/>
  <c r="AA997" i="7"/>
  <c r="AC997" i="7"/>
  <c r="AO997" i="7" l="1"/>
  <c r="AJ997" i="7" s="1"/>
  <c r="AN997" i="7"/>
  <c r="AI997" i="7" s="1"/>
  <c r="AM997" i="7"/>
  <c r="AG997" i="7" s="1"/>
  <c r="AF997" i="7" l="1"/>
  <c r="AH997" i="7"/>
  <c r="AD997" i="7" s="1"/>
  <c r="AK997" i="7"/>
  <c r="AE997" i="7" s="1"/>
  <c r="AC998" i="7" l="1"/>
  <c r="AA998" i="7"/>
  <c r="AB998" i="7"/>
  <c r="Z998" i="7"/>
  <c r="AM998" i="7" l="1"/>
  <c r="AG998" i="7" s="1"/>
  <c r="AO998" i="7"/>
  <c r="AJ998" i="7" s="1"/>
  <c r="AN998" i="7"/>
  <c r="AI998" i="7" s="1"/>
  <c r="AF998" i="7" l="1"/>
  <c r="AH998" i="7"/>
  <c r="AD998" i="7" s="1"/>
  <c r="AK998" i="7"/>
  <c r="AE998" i="7" s="1"/>
  <c r="AB999" i="7" l="1"/>
  <c r="Z999" i="7"/>
  <c r="AC999" i="7"/>
  <c r="AA999" i="7"/>
  <c r="AM999" i="7" l="1"/>
  <c r="AF999" i="7" s="1"/>
  <c r="AO999" i="7"/>
  <c r="AK999" i="7" s="1"/>
  <c r="AN999" i="7"/>
  <c r="AI999" i="7" s="1"/>
  <c r="AJ999" i="7" l="1"/>
  <c r="AH999" i="7"/>
  <c r="AD999" i="7"/>
  <c r="AG999" i="7"/>
  <c r="AE999" i="7" s="1"/>
  <c r="Z1000" i="7" l="1"/>
  <c r="AB1000" i="7"/>
  <c r="AC1000" i="7"/>
  <c r="AA1000" i="7"/>
  <c r="AN1000" i="7" l="1"/>
  <c r="AI1000" i="7" s="1"/>
  <c r="AO1000" i="7"/>
  <c r="AK1000" i="7" s="1"/>
  <c r="AM1000" i="7"/>
  <c r="AG1000" i="7" s="1"/>
  <c r="AH1000" i="7"/>
  <c r="AE1000" i="7" l="1"/>
  <c r="AC1001" i="7" s="1"/>
  <c r="AF1000" i="7"/>
  <c r="AA1001" i="7"/>
  <c r="AJ1000" i="7"/>
  <c r="AD1000" i="7" s="1"/>
  <c r="AB1001" i="7" l="1"/>
  <c r="Z1001" i="7"/>
  <c r="AM1001" i="7" l="1"/>
  <c r="AG1001" i="7" s="1"/>
  <c r="AO1001" i="7"/>
  <c r="AK1001" i="7" s="1"/>
  <c r="AN1001" i="7"/>
  <c r="AF1001" i="7"/>
  <c r="AJ1001" i="7" l="1"/>
  <c r="AH1001" i="7"/>
  <c r="AD1001" i="7" s="1"/>
  <c r="AI1001" i="7"/>
  <c r="AE1001" i="7" s="1"/>
  <c r="AB1002" i="7" l="1"/>
  <c r="Z1002" i="7"/>
  <c r="AC1002" i="7"/>
  <c r="AA1002" i="7"/>
  <c r="AN1002" i="7" l="1"/>
  <c r="AH1002" i="7" s="1"/>
  <c r="AM1002" i="7"/>
  <c r="AG1002" i="7" s="1"/>
  <c r="AO1002" i="7"/>
  <c r="AJ1002" i="7" s="1"/>
  <c r="AF1002" i="7" l="1"/>
  <c r="AD1002" i="7" s="1"/>
  <c r="AI1002" i="7"/>
  <c r="AK1002" i="7"/>
  <c r="AE1002" i="7" l="1"/>
  <c r="AA1003" i="7"/>
  <c r="AC1003" i="7"/>
  <c r="Z1003" i="7"/>
  <c r="AB1003" i="7"/>
  <c r="AO1003" i="7" l="1"/>
  <c r="AK1003" i="7" s="1"/>
  <c r="AM1003" i="7"/>
  <c r="AG1003" i="7" s="1"/>
  <c r="AN1003" i="7"/>
  <c r="AI1003" i="7" s="1"/>
  <c r="AH1003" i="7"/>
  <c r="AJ1003" i="7"/>
  <c r="AF1003" i="7"/>
  <c r="AD1003" i="7" l="1"/>
  <c r="Z1004" i="7" s="1"/>
  <c r="Q6" i="8"/>
  <c r="AE1003" i="7"/>
  <c r="Q3" i="8"/>
  <c r="AC1004" i="7"/>
  <c r="AA1004" i="7"/>
  <c r="AB1004" i="7"/>
  <c r="R3" i="8" l="1"/>
  <c r="R5" i="8"/>
  <c r="R6" i="8"/>
  <c r="AO1004" i="7"/>
  <c r="AK1004" i="7" s="1"/>
  <c r="AM1004" i="7"/>
  <c r="AN1004" i="7"/>
  <c r="AJ1004" i="7" l="1"/>
  <c r="AI1004" i="7"/>
  <c r="AH1004" i="7"/>
  <c r="AG1004" i="7"/>
  <c r="AE1004" i="7" s="1"/>
  <c r="AF1004" i="7"/>
  <c r="AD1004" i="7" l="1"/>
</calcChain>
</file>

<file path=xl/sharedStrings.xml><?xml version="1.0" encoding="utf-8"?>
<sst xmlns="http://schemas.openxmlformats.org/spreadsheetml/2006/main" count="131" uniqueCount="82">
  <si>
    <t>Paramètre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</si>
  <si>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</si>
  <si>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</si>
  <si>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</si>
  <si>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</si>
  <si>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</si>
  <si>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</si>
  <si>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</si>
  <si>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</si>
  <si>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</si>
  <si>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</si>
  <si>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</si>
  <si>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</si>
  <si>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</si>
  <si>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</si>
  <si>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</si>
  <si>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</si>
  <si>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</si>
  <si>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</si>
  <si>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</si>
  <si>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</si>
  <si>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t</t>
  </si>
  <si>
    <t>m</t>
  </si>
  <si>
    <t>seconde</t>
  </si>
  <si>
    <t>mètre</t>
  </si>
  <si>
    <t>mètre/seconde</t>
  </si>
  <si>
    <t>-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</si>
  <si>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</si>
  <si>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</si>
  <si>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</si>
  <si>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</si>
  <si>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</si>
  <si>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Λ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</si>
  <si>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</si>
  <si>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</si>
  <si>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</si>
  <si>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</si>
  <si>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ƒ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</si>
  <si>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</si>
  <si>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</si>
  <si>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</si>
  <si>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</si>
  <si>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</si>
  <si>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</si>
  <si>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</si>
  <si>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</si>
  <si>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</si>
  <si>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</si>
  <si>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</si>
  <si>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</si>
  <si>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</si>
  <si>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</si>
  <si>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</si>
  <si>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</si>
  <si>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</si>
  <si>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  <scheme val="minor"/>
      </rPr>
      <t>3</t>
    </r>
  </si>
  <si>
    <t>Numérotation</t>
  </si>
  <si>
    <t>x</t>
  </si>
  <si>
    <t>y</t>
  </si>
  <si>
    <t>Temps</t>
  </si>
  <si>
    <t>Position X navette</t>
  </si>
  <si>
    <t>Position Y navette</t>
  </si>
  <si>
    <t>Position initiale :</t>
  </si>
  <si>
    <t>Position finale :</t>
  </si>
  <si>
    <t>Position courante :</t>
  </si>
  <si>
    <t>(px)</t>
  </si>
  <si>
    <t>(py)</t>
  </si>
  <si>
    <t>indice</t>
  </si>
  <si>
    <t>Vitesse en X</t>
  </si>
  <si>
    <t>Vitesse en Y</t>
  </si>
  <si>
    <t>Accélération en X</t>
  </si>
  <si>
    <t>Accélération en Y</t>
  </si>
  <si>
    <t xml:space="preserve">Progression : </t>
  </si>
  <si>
    <t>Accélération Y corps 2</t>
  </si>
  <si>
    <t>Accélération X corps 1</t>
  </si>
  <si>
    <t>Accélération X corps 2</t>
  </si>
  <si>
    <t>Accélération Y corps 1</t>
  </si>
  <si>
    <t>Accélération X corps 3</t>
  </si>
  <si>
    <t>Accélération Y corps 3</t>
  </si>
  <si>
    <t>Distance corps 1</t>
  </si>
  <si>
    <t>Distance corps 2</t>
  </si>
  <si>
    <t>Distance corps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</si>
</sst>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2" borderId="9" xfId="0" applyFont="1" applyFill="1" applyBorder="1"/>
    <xf numFmtId="0" fontId="0" fillId="2" borderId="11" xfId="0" applyFill="1" applyBorder="1"/>
    <xf numFmtId="0" fontId="0" fillId="2" borderId="1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4" fillId="3" borderId="9" xfId="0" applyFont="1" applyFill="1" applyBorder="1"/>
    <xf numFmtId="0" fontId="3" fillId="3" borderId="11" xfId="0" applyFont="1" applyFill="1" applyBorder="1"/>
    <xf numFmtId="0" fontId="3" fillId="3" borderId="10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4" fillId="4" borderId="9" xfId="0" applyFont="1" applyFill="1" applyBorder="1"/>
    <xf numFmtId="0" fontId="3" fillId="4" borderId="6" xfId="0" applyFont="1" applyFill="1" applyBorder="1"/>
    <xf numFmtId="0" fontId="3" fillId="4" borderId="11" xfId="0" applyFont="1" applyFill="1" applyBorder="1"/>
    <xf numFmtId="0" fontId="3" fillId="4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9" xfId="0" applyFill="1" applyBorder="1"/>
    <xf numFmtId="0" fontId="0" fillId="5" borderId="11" xfId="0" applyFill="1" applyBorder="1"/>
    <xf numFmtId="0" fontId="0" fillId="5" borderId="11" xfId="0" applyFill="1" applyBorder="1" applyAlignment="1">
      <alignment horizontal="center" vertical="center"/>
    </xf>
    <xf numFmtId="0" fontId="0" fillId="5" borderId="8" xfId="0" applyFill="1" applyBorder="1"/>
    <xf numFmtId="0" fontId="0" fillId="5" borderId="10" xfId="0" applyFill="1" applyBorder="1" applyAlignment="1">
      <alignment horizontal="center"/>
    </xf>
    <xf numFmtId="0" fontId="0" fillId="6" borderId="9" xfId="0" applyFill="1" applyBorder="1"/>
    <xf numFmtId="0" fontId="0" fillId="6" borderId="11" xfId="0" applyFill="1" applyBorder="1"/>
    <xf numFmtId="0" fontId="0" fillId="6" borderId="11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/>
    </xf>
    <xf numFmtId="0" fontId="0" fillId="6" borderId="10" xfId="0" applyFill="1" applyBorder="1"/>
    <xf numFmtId="0" fontId="0" fillId="0" borderId="9" xfId="0" applyBorder="1" applyAlignment="1">
      <alignment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9" fontId="7" fillId="0" borderId="0" xfId="1" applyFont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3" fillId="7" borderId="9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0" fillId="8" borderId="0" xfId="0" applyFill="1" applyBorder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vertical="center"/>
    </xf>
    <xf numFmtId="0" fontId="0" fillId="8" borderId="0" xfId="0" applyFill="1" applyBorder="1" applyAlignment="1"/>
    <xf numFmtId="164" fontId="0" fillId="8" borderId="0" xfId="0" applyNumberFormat="1" applyFill="1" applyBorder="1" applyAlignment="1">
      <alignment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Conditions!$M$4:$M$1003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Conditions!$N$4:$N$1003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6-48D7-AB6A-4BE6851CD0F0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Conditions!$Q$4:$Q$1003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Conditions!$R$4:$R$1003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D6-48D7-AB6A-4BE6851CD0F0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Conditions!$U$4:$U$1003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Conditions!$V$4:$V$1003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D6-48D7-AB6A-4BE6851CD0F0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Conditions!$Z$4:$Z$1004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Conditions!$AA$4:$AA$1004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D6-48D7-AB6A-4BE6851CD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Conditions!$M$4:$M$1003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Conditions!$N$4:$N$1003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9-4712-B1F7-A16C19E27AB9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Conditions!$Q$4:$Q$1003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Conditions!$R$4:$R$1003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C9-4712-B1F7-A16C19E27AB9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Conditions!$U$4:$U$1003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Conditions!$V$4:$V$1003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C9-4712-B1F7-A16C19E27AB9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gradFill>
                <a:gsLst>
                  <a:gs pos="24000">
                    <a:schemeClr val="accent6">
                      <a:lumMod val="60000"/>
                      <a:lumOff val="40000"/>
                    </a:schemeClr>
                  </a:gs>
                  <a:gs pos="100000">
                    <a:srgbClr val="C00000"/>
                  </a:gs>
                  <a:gs pos="60000">
                    <a:schemeClr val="accent6">
                      <a:lumMod val="75000"/>
                    </a:schemeClr>
                  </a:gs>
                </a:gsLst>
                <a:lin ang="5400000" scaled="1"/>
              </a:gra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19050" cap="rnd">
                <a:gradFill>
                  <a:gsLst>
                    <a:gs pos="24000">
                      <a:schemeClr val="accent6">
                        <a:lumMod val="60000"/>
                        <a:lumOff val="40000"/>
                      </a:schemeClr>
                    </a:gs>
                    <a:gs pos="100000">
                      <a:srgbClr val="C00000"/>
                    </a:gs>
                    <a:gs pos="60000">
                      <a:schemeClr val="accent6">
                        <a:lumMod val="75000"/>
                      </a:schemeClr>
                    </a:gs>
                  </a:gsLst>
                  <a:lin ang="5400000" scaled="1"/>
                </a:gradFill>
                <a:round/>
                <a:headEnd type="none"/>
                <a:tailEnd type="none" w="lg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2-4690-4E40-9CF7-59B249E128A6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19050" cap="rnd">
                <a:gradFill>
                  <a:gsLst>
                    <a:gs pos="24000">
                      <a:schemeClr val="accent6">
                        <a:lumMod val="60000"/>
                        <a:lumOff val="40000"/>
                      </a:schemeClr>
                    </a:gs>
                    <a:gs pos="100000">
                      <a:srgbClr val="C00000"/>
                    </a:gs>
                    <a:gs pos="60000">
                      <a:schemeClr val="accent6">
                        <a:lumMod val="75000"/>
                      </a:schemeClr>
                    </a:gs>
                  </a:gsLst>
                  <a:lin ang="5400000" scaled="1"/>
                </a:gradFill>
                <a:round/>
                <a:headEnd type="none"/>
                <a:tailEnd type="stealth" w="lg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690-4E40-9CF7-59B249E128A6}"/>
              </c:ext>
            </c:extLst>
          </c:dPt>
          <c:xVal>
            <c:numRef>
              <c:f>'Graphique animé'!$Q$4:$Q$8</c:f>
              <c:numCache>
                <c:formatCode>General</c:formatCode>
                <c:ptCount val="5"/>
                <c:pt idx="0">
                  <c:v>119462.98385400932</c:v>
                </c:pt>
                <c:pt idx="1">
                  <c:v>119462.98385400932</c:v>
                </c:pt>
                <c:pt idx="2">
                  <c:v>119462.98385400932</c:v>
                </c:pt>
                <c:pt idx="3">
                  <c:v>119462.98385400932</c:v>
                </c:pt>
                <c:pt idx="4">
                  <c:v>119462.98385400932</c:v>
                </c:pt>
              </c:numCache>
            </c:numRef>
          </c:xVal>
          <c:yVal>
            <c:numRef>
              <c:f>'Graphique animé'!$R$4:$R$8</c:f>
              <c:numCache>
                <c:formatCode>General</c:formatCode>
                <c:ptCount val="5"/>
                <c:pt idx="0">
                  <c:v>-340316.16131390765</c:v>
                </c:pt>
                <c:pt idx="1">
                  <c:v>-340316.16131390765</c:v>
                </c:pt>
                <c:pt idx="2">
                  <c:v>-340316.16131390765</c:v>
                </c:pt>
                <c:pt idx="3">
                  <c:v>-340316.16131390765</c:v>
                </c:pt>
                <c:pt idx="4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90-4E40-9CF7-59B249E12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0" sourceLinked="0"/>
        <c:majorTickMark val="out"/>
        <c:minorTickMark val="cross"/>
        <c:tickLblPos val="low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0" sourceLinked="0"/>
        <c:majorTickMark val="out"/>
        <c:minorTickMark val="cross"/>
        <c:tickLblPos val="low"/>
        <c:crossAx val="1593945744"/>
        <c:crosses val="autoZero"/>
        <c:crossBetween val="midCat"/>
      </c:valAx>
      <c:spPr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45</xdr:row>
      <xdr:rowOff>176892</xdr:rowOff>
    </xdr:from>
    <xdr:to>
      <xdr:col>10</xdr:col>
      <xdr:colOff>1019735</xdr:colOff>
      <xdr:row>83</xdr:row>
      <xdr:rowOff>179294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752476</xdr:colOff>
      <xdr:row>0</xdr:row>
      <xdr:rowOff>76200</xdr:rowOff>
    </xdr:from>
    <xdr:to>
      <xdr:col>11</xdr:col>
      <xdr:colOff>276225</xdr:colOff>
      <xdr:row>38</xdr:row>
      <xdr:rowOff>171450</xdr:rowOff>
    </xdr:to>
    <xdr:graphicFrame macro="">
      <xdr:nvGraphicFramePr>
        <xdr:cNvPr id="2" name="Graphiqu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57150</xdr:rowOff>
        </xdr:from>
        <xdr:to>
          <xdr:col>14</xdr:col>
          <xdr:colOff>314325</xdr:colOff>
          <xdr:row>8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F81A-F4EE-4B2F-B96E-7634D5EF151D}">
  <sheetPr codeName="Feuil2"/>
  <dimension ref="B2:AY1005"/>
  <sheetViews>
    <sheetView topLeftCell="AJ1" zoomScaleNormal="100" workbookViewId="0">
      <selection activeCell="AQ3" sqref="AQ3:AY10"/>
    </sheetView>
  </sheetViews>
  <sheetFormatPr baseColWidth="10" defaultRowHeight="15" x14ac:dyDescent="0.25"/>
  <cols>
    <col min="7" max="7" width="13.28515625" customWidth="1"/>
    <col min="8" max="9" width="11.42578125" customWidth="1"/>
    <col min="10" max="11" width="15.42578125" bestFit="1" customWidth="1"/>
    <col min="12" max="12" width="13.85546875" bestFit="1" customWidth="1"/>
    <col min="13" max="13" width="12.85546875" bestFit="1" customWidth="1"/>
    <col min="16" max="16" width="13.85546875" bestFit="1" customWidth="1"/>
    <col min="20" max="20" width="13.85546875" bestFit="1" customWidth="1"/>
    <col min="21" max="21" width="10.42578125" bestFit="1" customWidth="1"/>
    <col min="22" max="22" width="11.140625" bestFit="1" customWidth="1"/>
    <col min="24" max="24" width="13.85546875" customWidth="1"/>
    <col min="26" max="26" width="17.28515625" bestFit="1" customWidth="1"/>
    <col min="27" max="27" width="17.140625" bestFit="1" customWidth="1"/>
    <col min="28" max="28" width="11.85546875" bestFit="1" customWidth="1"/>
    <col min="29" max="29" width="12" bestFit="1" customWidth="1"/>
    <col min="30" max="31" width="16.5703125" bestFit="1" customWidth="1"/>
    <col min="32" max="37" width="20.5703125" bestFit="1" customWidth="1"/>
    <col min="39" max="41" width="15.5703125" bestFit="1" customWidth="1"/>
  </cols>
  <sheetData>
    <row r="2" spans="2:51" x14ac:dyDescent="0.25">
      <c r="L2" s="84" t="s">
        <v>11</v>
      </c>
      <c r="M2" s="85"/>
      <c r="N2" s="86"/>
      <c r="P2" s="71" t="s">
        <v>19</v>
      </c>
      <c r="Q2" s="72"/>
      <c r="R2" s="73"/>
      <c r="T2" s="62" t="s">
        <v>20</v>
      </c>
      <c r="U2" s="63"/>
      <c r="V2" s="64"/>
      <c r="Z2" s="6" t="s">
        <v>65</v>
      </c>
      <c r="AA2" s="6" t="s">
        <v>66</v>
      </c>
    </row>
    <row r="3" spans="2:51" x14ac:dyDescent="0.25">
      <c r="B3" s="28" t="s">
        <v>0</v>
      </c>
      <c r="C3" s="29"/>
      <c r="D3" s="29"/>
      <c r="E3" s="29"/>
      <c r="F3" s="29"/>
      <c r="G3" s="29"/>
      <c r="H3" s="29"/>
      <c r="I3" s="29"/>
      <c r="J3" s="30"/>
      <c r="L3" s="51" t="s">
        <v>56</v>
      </c>
      <c r="M3" s="13" t="s">
        <v>57</v>
      </c>
      <c r="N3" s="11" t="s">
        <v>58</v>
      </c>
      <c r="P3" s="51" t="s">
        <v>56</v>
      </c>
      <c r="Q3" s="13" t="s">
        <v>57</v>
      </c>
      <c r="R3" s="11" t="s">
        <v>58</v>
      </c>
      <c r="T3" s="51" t="s">
        <v>56</v>
      </c>
      <c r="U3" s="13" t="s">
        <v>57</v>
      </c>
      <c r="V3" s="11" t="s">
        <v>58</v>
      </c>
      <c r="X3" s="53" t="s">
        <v>56</v>
      </c>
      <c r="Y3" s="53" t="s">
        <v>59</v>
      </c>
      <c r="Z3" s="59" t="s">
        <v>60</v>
      </c>
      <c r="AA3" s="53" t="s">
        <v>61</v>
      </c>
      <c r="AB3" s="1" t="s">
        <v>68</v>
      </c>
      <c r="AC3" s="1" t="s">
        <v>69</v>
      </c>
      <c r="AD3" s="1" t="s">
        <v>70</v>
      </c>
      <c r="AE3" s="1" t="s">
        <v>71</v>
      </c>
      <c r="AF3" s="53" t="s">
        <v>74</v>
      </c>
      <c r="AG3" s="53" t="s">
        <v>76</v>
      </c>
      <c r="AH3" s="53" t="s">
        <v>75</v>
      </c>
      <c r="AI3" s="53" t="s">
        <v>73</v>
      </c>
      <c r="AJ3" s="53" t="s">
        <v>77</v>
      </c>
      <c r="AK3" s="53" t="s">
        <v>78</v>
      </c>
      <c r="AM3" s="53" t="s">
        <v>79</v>
      </c>
      <c r="AN3" s="53" t="s">
        <v>80</v>
      </c>
      <c r="AO3" s="53" t="s">
        <v>81</v>
      </c>
      <c r="AQ3" s="87"/>
      <c r="AR3" s="87"/>
      <c r="AS3" s="87"/>
      <c r="AT3" s="88"/>
      <c r="AU3" s="87"/>
      <c r="AV3" s="87"/>
      <c r="AW3" s="88"/>
      <c r="AX3" s="88"/>
      <c r="AY3" s="89"/>
    </row>
    <row r="4" spans="2:51" x14ac:dyDescent="0.25">
      <c r="B4" s="81" t="s">
        <v>1</v>
      </c>
      <c r="C4" s="82"/>
      <c r="E4" s="7" t="s">
        <v>21</v>
      </c>
      <c r="F4" s="12"/>
      <c r="G4" s="65">
        <v>0.5</v>
      </c>
      <c r="H4" s="66"/>
      <c r="I4" s="14"/>
      <c r="J4" s="7" t="s">
        <v>23</v>
      </c>
      <c r="L4" s="6">
        <v>1</v>
      </c>
      <c r="M4" s="52">
        <f>$G$20*COS(L4*PI()/180)+$G$19</f>
        <v>24999.238475781956</v>
      </c>
      <c r="N4" s="52">
        <f>$G$20*SIN(L4*PI()/180)+$H$19</f>
        <v>7587.2620321864179</v>
      </c>
      <c r="P4" s="6">
        <v>1</v>
      </c>
      <c r="Q4" s="52">
        <f>$G$30*COS(P4*PI()/180)+$G$29</f>
        <v>-16500.53306695263</v>
      </c>
      <c r="R4" s="52">
        <f>$G$30*SIN(P4*PI()/180)+$H$29</f>
        <v>10061.083422530492</v>
      </c>
      <c r="T4" s="6">
        <v>1</v>
      </c>
      <c r="U4" s="52">
        <f>$G$40*COS(T4*PI()/180)+$G$39</f>
        <v>-0.76152421804363257</v>
      </c>
      <c r="V4" s="52">
        <f>$G$40*SIN(T4*PI()/180)+$H$39</f>
        <v>-14912.737967813582</v>
      </c>
      <c r="X4" s="6">
        <v>0</v>
      </c>
      <c r="Y4" s="55">
        <v>0</v>
      </c>
      <c r="Z4" s="54">
        <f>G11</f>
        <v>0</v>
      </c>
      <c r="AA4" s="54">
        <f>H11</f>
        <v>0</v>
      </c>
      <c r="AB4" s="56">
        <f>G12</f>
        <v>0</v>
      </c>
      <c r="AC4" s="56">
        <f>H12</f>
        <v>0</v>
      </c>
      <c r="AD4" s="52">
        <f>AF4+AH4+AJ4</f>
        <v>119.16853330342633</v>
      </c>
      <c r="AE4" s="52">
        <f>AG4+AI4+AK4</f>
        <v>-760.51678598645651</v>
      </c>
      <c r="AF4" s="52">
        <f>(($G$19-Z4)/(AM4^2+$G$24^2)^(3/2))*$G$23</f>
        <v>798.22179539145645</v>
      </c>
      <c r="AG4" s="52">
        <f>(($H$19-AA4)/(AM4^2+$G$24^2)^(3/2))*$G$23</f>
        <v>299.33317327179617</v>
      </c>
      <c r="AH4" s="52">
        <f>(($G$29-Z4)/(AN4^2+$G$34^2)^(3/2))*$G$33</f>
        <v>-279.23137914452502</v>
      </c>
      <c r="AI4" s="52">
        <f>(($H$29-AA4)/(AN4^2+$G$34^2)^(3/2))*$G$33</f>
        <v>139.61568957226251</v>
      </c>
      <c r="AJ4" s="52">
        <f>(($G$39-Z4)/(AO4^2+$G$44^2)^(3/2))*$G$43</f>
        <v>-399.8218829435051</v>
      </c>
      <c r="AK4" s="52">
        <f>(($H$39-AA4)/(AO4^2+$G$44^2)^(3/2))*$G$43</f>
        <v>-1199.4656488305152</v>
      </c>
      <c r="AM4" s="52">
        <f>SQRT(($G$19-Z4)^2+($H$19-AA4)^2)</f>
        <v>21360.00936329383</v>
      </c>
      <c r="AN4" s="57">
        <f>SQRT(($G$29-Z4)^2+($H$29-AA4)^2)</f>
        <v>22360.679774997898</v>
      </c>
      <c r="AO4" s="57">
        <f>SQRT(($G$39-Z4)^2+($H$39-AA4)^2)</f>
        <v>15811.388300841896</v>
      </c>
      <c r="AQ4" s="87"/>
      <c r="AR4" s="87"/>
      <c r="AS4" s="87"/>
      <c r="AT4" s="88"/>
      <c r="AU4" s="87"/>
      <c r="AV4" s="88"/>
      <c r="AW4" s="88"/>
      <c r="AX4" s="87"/>
      <c r="AY4" s="89"/>
    </row>
    <row r="5" spans="2:51" x14ac:dyDescent="0.25">
      <c r="B5" s="74" t="s">
        <v>2</v>
      </c>
      <c r="C5" s="75"/>
      <c r="E5" s="7" t="s">
        <v>37</v>
      </c>
      <c r="F5" s="12"/>
      <c r="G5" s="65">
        <v>0</v>
      </c>
      <c r="H5" s="66"/>
      <c r="I5" s="14"/>
      <c r="J5" s="7" t="s">
        <v>25</v>
      </c>
      <c r="L5" s="6">
        <v>2</v>
      </c>
      <c r="M5" s="52">
        <f t="shared" ref="M5:M68" si="0">$G$20*COS(L5*PI()/180)+$G$19</f>
        <v>24996.954135095479</v>
      </c>
      <c r="N5" s="52">
        <f>$G$20*SIN(L5*PI()/180)+$H$19</f>
        <v>7674.4974835125049</v>
      </c>
      <c r="P5" s="6">
        <v>2</v>
      </c>
      <c r="Q5" s="52">
        <f>$G$30*COS(P5*PI()/180)+$G$29</f>
        <v>-16502.132105433164</v>
      </c>
      <c r="R5" s="52">
        <f>$G$30*SIN(P5*PI()/180)+$H$29</f>
        <v>10122.148238458753</v>
      </c>
      <c r="T5" s="6">
        <v>2</v>
      </c>
      <c r="U5" s="52">
        <f t="shared" ref="U5:U68" si="1">$G$40*COS(T5*PI()/180)+$G$39</f>
        <v>-3.0458649045212951</v>
      </c>
      <c r="V5" s="52">
        <f t="shared" ref="V5:V68" si="2">$G$40*SIN(T5*PI()/180)+$H$39</f>
        <v>-14825.502516487495</v>
      </c>
      <c r="X5" s="6">
        <v>1</v>
      </c>
      <c r="Y5" s="55">
        <v>0.5</v>
      </c>
      <c r="Z5" s="52">
        <f>Z4+AB4*$G$4+((1/2)*AD4)*$G$4^2</f>
        <v>14.896066662928291</v>
      </c>
      <c r="AA5" s="52">
        <f>AA4+AC4*$G$4+((1/2)*AE4)*$G$4^2</f>
        <v>-95.064598248307064</v>
      </c>
      <c r="AB5" s="52">
        <f>AB4+AD4*$G$4</f>
        <v>59.584266651713165</v>
      </c>
      <c r="AC5" s="52">
        <f>AC4+AE4*$G$4</f>
        <v>-380.25839299322826</v>
      </c>
      <c r="AD5" s="52">
        <f t="shared" ref="AD5:AD22" si="3">AF5+AH5+AJ5</f>
        <v>112.60116813851005</v>
      </c>
      <c r="AE5" s="52">
        <f>AG5+AI5+AK5</f>
        <v>-763.33122122422583</v>
      </c>
      <c r="AF5" s="52">
        <f>(($G$19-Z5)/(AM5^2+$G$24^2)^(3/2))*$G$23</f>
        <v>795.8252382422603</v>
      </c>
      <c r="AG5" s="52">
        <f t="shared" ref="AG5:AG68" si="4">(($H$19-AA5)/(AM5^2+$G$24^2)^(3/2))*$G$23</f>
        <v>302.44246482420186</v>
      </c>
      <c r="AH5" s="52">
        <f t="shared" ref="AH5:AH68" si="5">(($G$29-Z5)/(AN5^2+$G$34^2)^(3/2))*$G$33</f>
        <v>-277.53659386448641</v>
      </c>
      <c r="AI5" s="52">
        <f t="shared" ref="AI5:AI68" si="6">(($H$29-AA5)/(AN5^2+$G$34^2)^(3/2))*$G$33</f>
        <v>139.983232194067</v>
      </c>
      <c r="AJ5" s="52">
        <f t="shared" ref="AJ5:AJ68" si="7">(($G$39-Z5)/(AO5^2+$G$44^2)^(3/2))*$G$43</f>
        <v>-405.68747623926379</v>
      </c>
      <c r="AK5" s="52">
        <f>(($H$39-AA5)/(AO5^2+$G$44^2)^(3/2))*$G$43</f>
        <v>-1205.7569182424947</v>
      </c>
      <c r="AM5" s="52">
        <f t="shared" ref="AM5:AM68" si="8">SQRT(($G$19-Z5)^2+($H$19-AA5)^2)</f>
        <v>21379.6488623609</v>
      </c>
      <c r="AN5" s="57">
        <f t="shared" ref="AN5:AN68" si="9">SQRT(($G$29-Z5)^2+($H$29-AA5)^2)</f>
        <v>22416.654384678492</v>
      </c>
      <c r="AO5" s="57">
        <f>SQRT(($G$39-Z5)^2+($H$39-AA5)^2)</f>
        <v>15725.974751659187</v>
      </c>
      <c r="AQ5" s="87"/>
      <c r="AR5" s="87"/>
      <c r="AS5" s="87"/>
      <c r="AT5" s="88"/>
      <c r="AU5" s="87"/>
      <c r="AV5" s="90"/>
      <c r="AW5" s="90"/>
      <c r="AX5" s="88"/>
      <c r="AY5" s="89"/>
    </row>
    <row r="6" spans="2:51" x14ac:dyDescent="0.25">
      <c r="B6" s="77" t="s">
        <v>3</v>
      </c>
      <c r="C6" s="78"/>
      <c r="D6" s="83"/>
      <c r="E6" s="7" t="s">
        <v>32</v>
      </c>
      <c r="F6" s="12"/>
      <c r="G6" s="65">
        <v>2</v>
      </c>
      <c r="H6" s="66"/>
      <c r="I6" s="14"/>
      <c r="J6" s="7" t="s">
        <v>26</v>
      </c>
      <c r="L6" s="6">
        <v>3</v>
      </c>
      <c r="M6" s="52">
        <f t="shared" si="0"/>
        <v>24993.14767377287</v>
      </c>
      <c r="N6" s="52">
        <f t="shared" ref="N6:N68" si="10">$G$20*SIN(L6*PI()/180)+$H$19</f>
        <v>7761.6797812147188</v>
      </c>
      <c r="P6" s="6">
        <v>3</v>
      </c>
      <c r="Q6" s="52">
        <f t="shared" ref="Q6:Q69" si="11">$G$30*COS(P6*PI()/180)+$G$29</f>
        <v>-16504.796628358992</v>
      </c>
      <c r="R6" s="52">
        <f t="shared" ref="R6:R69" si="12">$G$30*SIN(P6*PI()/180)+$H$29</f>
        <v>10183.175846850303</v>
      </c>
      <c r="T6" s="6">
        <v>3</v>
      </c>
      <c r="U6" s="52">
        <f t="shared" si="1"/>
        <v>-6.8523262271310159</v>
      </c>
      <c r="V6" s="52">
        <f t="shared" si="2"/>
        <v>-14738.32021878528</v>
      </c>
      <c r="X6" s="6">
        <v>2</v>
      </c>
      <c r="Y6" s="55">
        <v>1</v>
      </c>
      <c r="Z6" s="52">
        <f>Z5+AB5*$G$4+((1/2)*AD5)*$G$4^2</f>
        <v>58.763346006098629</v>
      </c>
      <c r="AA6" s="52">
        <f t="shared" ref="AA6:AA9" si="13">AA5+AC5*$G$4+((1/2)*AE5)*$G$4^2</f>
        <v>-380.61019739794943</v>
      </c>
      <c r="AB6" s="52">
        <f t="shared" ref="AB6:AB12" si="14">AB5+AD5*$G$4</f>
        <v>115.88485072096819</v>
      </c>
      <c r="AC6" s="52">
        <f t="shared" ref="AC6:AC14" si="15">AC5+AE5*$G$4</f>
        <v>-761.92400360534111</v>
      </c>
      <c r="AD6" s="52">
        <f t="shared" si="3"/>
        <v>92.146298330016918</v>
      </c>
      <c r="AE6" s="52">
        <f t="shared" ref="AE6:AE68" si="16">AG6+AI6+AK6</f>
        <v>-772.07890139735071</v>
      </c>
      <c r="AF6" s="52">
        <f t="shared" ref="AF6:AF68" si="17">(($G$19-Z6)/(AM6^2+$G$24^2)^(3/2))*$G$23</f>
        <v>788.40883777649003</v>
      </c>
      <c r="AG6" s="52">
        <f t="shared" si="4"/>
        <v>311.57258872687225</v>
      </c>
      <c r="AH6" s="52">
        <f t="shared" si="5"/>
        <v>-272.48950361186826</v>
      </c>
      <c r="AI6" s="52">
        <f t="shared" si="6"/>
        <v>141.01603728429595</v>
      </c>
      <c r="AJ6" s="52">
        <f t="shared" si="7"/>
        <v>-423.77303583460485</v>
      </c>
      <c r="AK6" s="52">
        <f t="shared" ref="AK6:AK68" si="18">(($H$39-AA6)/(AO6^2+$G$44^2)^(3/2))*$G$43</f>
        <v>-1224.6675274085189</v>
      </c>
      <c r="AM6" s="52">
        <f t="shared" si="8"/>
        <v>21441.943390791854</v>
      </c>
      <c r="AN6" s="57">
        <f t="shared" si="9"/>
        <v>22585.638247377468</v>
      </c>
      <c r="AO6" s="57">
        <f t="shared" ref="AO6:AO68" si="19">SQRT(($G$39-Z6)^2+($H$39-AA6)^2)</f>
        <v>15469.894789277645</v>
      </c>
      <c r="AQ6" s="91"/>
      <c r="AR6" s="91"/>
      <c r="AS6" s="91"/>
      <c r="AT6" s="88"/>
      <c r="AU6" s="87"/>
      <c r="AV6" s="90"/>
      <c r="AW6" s="90"/>
      <c r="AX6" s="88"/>
      <c r="AY6" s="89"/>
    </row>
    <row r="7" spans="2:51" x14ac:dyDescent="0.25">
      <c r="L7" s="6">
        <v>4</v>
      </c>
      <c r="M7" s="52">
        <f t="shared" si="0"/>
        <v>24987.820251299119</v>
      </c>
      <c r="N7" s="52">
        <f t="shared" si="10"/>
        <v>7848.7823687206264</v>
      </c>
      <c r="P7" s="6">
        <v>4</v>
      </c>
      <c r="Q7" s="52">
        <f t="shared" si="11"/>
        <v>-16508.525824090615</v>
      </c>
      <c r="R7" s="52">
        <f t="shared" si="12"/>
        <v>10244.147658104439</v>
      </c>
      <c r="T7" s="6">
        <v>4</v>
      </c>
      <c r="U7" s="52">
        <f t="shared" si="1"/>
        <v>-12.179748700878918</v>
      </c>
      <c r="V7" s="52">
        <f t="shared" si="2"/>
        <v>-14651.217631279373</v>
      </c>
      <c r="X7" s="6">
        <v>3</v>
      </c>
      <c r="Y7" s="55">
        <v>1.5</v>
      </c>
      <c r="Z7" s="52">
        <f>Z6+AB6*$G$4+((1/2)*AD6)*$G$4^2</f>
        <v>128.22405865783483</v>
      </c>
      <c r="AA7" s="52">
        <f t="shared" si="13"/>
        <v>-858.08206187528879</v>
      </c>
      <c r="AB7" s="52">
        <f t="shared" si="14"/>
        <v>161.95799988597665</v>
      </c>
      <c r="AC7" s="52">
        <f t="shared" si="15"/>
        <v>-1147.9634543040165</v>
      </c>
      <c r="AD7" s="52">
        <f t="shared" si="3"/>
        <v>55.493464814631807</v>
      </c>
      <c r="AE7" s="52">
        <f t="shared" si="16"/>
        <v>-787.69775044318101</v>
      </c>
      <c r="AF7" s="52">
        <f t="shared" si="17"/>
        <v>775.27663424571824</v>
      </c>
      <c r="AG7" s="52">
        <f t="shared" si="4"/>
        <v>326.0818634835378</v>
      </c>
      <c r="AH7" s="52">
        <f t="shared" si="5"/>
        <v>-264.21336898309431</v>
      </c>
      <c r="AI7" s="52">
        <f t="shared" si="6"/>
        <v>142.52874142808358</v>
      </c>
      <c r="AJ7" s="52">
        <f t="shared" si="7"/>
        <v>-455.56980044799212</v>
      </c>
      <c r="AK7" s="52">
        <f t="shared" si="18"/>
        <v>-1256.3083553548024</v>
      </c>
      <c r="AM7" s="52">
        <f t="shared" si="8"/>
        <v>21557.945514727206</v>
      </c>
      <c r="AN7" s="57">
        <f t="shared" si="9"/>
        <v>22870.141010014562</v>
      </c>
      <c r="AO7" s="57">
        <f t="shared" si="19"/>
        <v>15043.022467724048</v>
      </c>
      <c r="AQ7" s="87"/>
      <c r="AR7" s="87"/>
      <c r="AS7" s="87"/>
      <c r="AT7" s="88"/>
      <c r="AU7" s="87"/>
      <c r="AV7" s="92"/>
      <c r="AW7" s="92"/>
      <c r="AX7" s="88"/>
      <c r="AY7" s="89"/>
    </row>
    <row r="8" spans="2:51" x14ac:dyDescent="0.25">
      <c r="E8" s="6"/>
      <c r="H8" s="6"/>
      <c r="I8" s="5"/>
      <c r="J8" s="6"/>
      <c r="L8" s="6">
        <v>5</v>
      </c>
      <c r="M8" s="52">
        <f t="shared" si="0"/>
        <v>24980.973490458728</v>
      </c>
      <c r="N8" s="52">
        <f t="shared" si="10"/>
        <v>7935.7787137382911</v>
      </c>
      <c r="P8" s="6">
        <v>5</v>
      </c>
      <c r="Q8" s="52">
        <f t="shared" si="11"/>
        <v>-16513.318556678889</v>
      </c>
      <c r="R8" s="52">
        <f t="shared" si="12"/>
        <v>10305.045099616804</v>
      </c>
      <c r="T8" s="6">
        <v>5</v>
      </c>
      <c r="U8" s="52">
        <f t="shared" si="1"/>
        <v>-19.026509541272389</v>
      </c>
      <c r="V8" s="52">
        <f t="shared" si="2"/>
        <v>-14564.221286261709</v>
      </c>
      <c r="X8" s="6">
        <v>4</v>
      </c>
      <c r="Y8" s="55">
        <v>2</v>
      </c>
      <c r="Z8" s="52">
        <f>Z7+AB7*$G$4+((1/2)*AD7)*$G$4^2</f>
        <v>216.13974170265215</v>
      </c>
      <c r="AA8" s="52">
        <f t="shared" si="13"/>
        <v>-1530.5260078326946</v>
      </c>
      <c r="AB8" s="52">
        <f t="shared" si="14"/>
        <v>189.70473229329255</v>
      </c>
      <c r="AC8" s="52">
        <f t="shared" si="15"/>
        <v>-1541.8123295256071</v>
      </c>
      <c r="AD8" s="52">
        <f t="shared" si="3"/>
        <v>-1.3168566428028043</v>
      </c>
      <c r="AE8" s="52">
        <f t="shared" si="16"/>
        <v>-811.67785049592135</v>
      </c>
      <c r="AF8" s="52">
        <f t="shared" si="17"/>
        <v>755.32322118471393</v>
      </c>
      <c r="AG8" s="52">
        <f t="shared" si="4"/>
        <v>344.77427075273715</v>
      </c>
      <c r="AH8" s="52">
        <f t="shared" si="5"/>
        <v>-252.93026836046505</v>
      </c>
      <c r="AI8" s="52">
        <f t="shared" si="6"/>
        <v>144.26191522026039</v>
      </c>
      <c r="AJ8" s="52">
        <f t="shared" si="7"/>
        <v>-503.70980946705168</v>
      </c>
      <c r="AK8" s="52">
        <f t="shared" si="18"/>
        <v>-1300.7140364689189</v>
      </c>
      <c r="AM8" s="52">
        <f t="shared" si="8"/>
        <v>21747.448739978212</v>
      </c>
      <c r="AN8" s="57">
        <f t="shared" si="9"/>
        <v>23273.27514711575</v>
      </c>
      <c r="AO8" s="57">
        <f t="shared" si="19"/>
        <v>14444.197569634711</v>
      </c>
      <c r="AQ8" s="91"/>
      <c r="AR8" s="91"/>
      <c r="AS8" s="87"/>
      <c r="AT8" s="88"/>
      <c r="AU8" s="87"/>
      <c r="AV8" s="92"/>
      <c r="AW8" s="92"/>
      <c r="AX8" s="88"/>
      <c r="AY8" s="89"/>
    </row>
    <row r="9" spans="2:51" x14ac:dyDescent="0.25">
      <c r="B9" s="23" t="s">
        <v>4</v>
      </c>
      <c r="C9" s="24"/>
      <c r="D9" s="24"/>
      <c r="E9" s="25"/>
      <c r="F9" s="24"/>
      <c r="G9" s="24"/>
      <c r="H9" s="25"/>
      <c r="I9" s="26"/>
      <c r="J9" s="27"/>
      <c r="L9" s="6">
        <v>6</v>
      </c>
      <c r="M9" s="52">
        <f t="shared" si="0"/>
        <v>24972.609476841368</v>
      </c>
      <c r="N9" s="52">
        <f t="shared" si="10"/>
        <v>8022.6423163382669</v>
      </c>
      <c r="P9" s="6">
        <v>6</v>
      </c>
      <c r="Q9" s="52">
        <f t="shared" si="11"/>
        <v>-16519.173366211042</v>
      </c>
      <c r="R9" s="52">
        <f t="shared" si="12"/>
        <v>10365.849621436788</v>
      </c>
      <c r="T9" s="6">
        <v>6</v>
      </c>
      <c r="U9" s="52">
        <f t="shared" si="1"/>
        <v>-27.390523158633187</v>
      </c>
      <c r="V9" s="52">
        <f t="shared" si="2"/>
        <v>-14477.357683661732</v>
      </c>
      <c r="X9" s="6">
        <v>5</v>
      </c>
      <c r="Y9" s="55">
        <v>2.5</v>
      </c>
      <c r="Z9" s="52">
        <f t="shared" ref="Z9:Z69" si="20">Z8+AB8*$G$4+((1/2)*AD8)*$G$4^2</f>
        <v>310.82750076894808</v>
      </c>
      <c r="AA9" s="52">
        <f t="shared" si="13"/>
        <v>-2402.8919039074885</v>
      </c>
      <c r="AB9" s="52">
        <f t="shared" si="14"/>
        <v>189.04630397189115</v>
      </c>
      <c r="AC9" s="52">
        <f t="shared" si="15"/>
        <v>-1947.6512547735679</v>
      </c>
      <c r="AD9" s="52">
        <f t="shared" si="3"/>
        <v>-83.96420581372297</v>
      </c>
      <c r="AE9" s="52">
        <f t="shared" si="16"/>
        <v>-845.65329638356116</v>
      </c>
      <c r="AF9" s="52">
        <f t="shared" si="17"/>
        <v>727.24210333376709</v>
      </c>
      <c r="AG9" s="52">
        <f t="shared" si="4"/>
        <v>365.77463768809366</v>
      </c>
      <c r="AH9" s="52">
        <f t="shared" si="5"/>
        <v>-238.95985187350047</v>
      </c>
      <c r="AI9" s="52">
        <f t="shared" si="6"/>
        <v>145.92183464945313</v>
      </c>
      <c r="AJ9" s="52">
        <f t="shared" si="7"/>
        <v>-572.24645727398956</v>
      </c>
      <c r="AK9" s="52">
        <f t="shared" si="18"/>
        <v>-1357.3497687211079</v>
      </c>
      <c r="AM9" s="52">
        <f t="shared" si="8"/>
        <v>22039.300845647369</v>
      </c>
      <c r="AN9" s="57">
        <f t="shared" si="9"/>
        <v>23798.349550882853</v>
      </c>
      <c r="AO9" s="57">
        <f t="shared" si="19"/>
        <v>13670.845662487864</v>
      </c>
      <c r="AQ9" s="91"/>
      <c r="AR9" s="91"/>
      <c r="AS9" s="87"/>
      <c r="AT9" s="88"/>
      <c r="AU9" s="87"/>
      <c r="AV9" s="90"/>
      <c r="AW9" s="90"/>
      <c r="AX9" s="88"/>
      <c r="AY9" s="89"/>
    </row>
    <row r="10" spans="2:51" x14ac:dyDescent="0.25">
      <c r="B10" s="3" t="s">
        <v>5</v>
      </c>
      <c r="E10" s="15" t="s">
        <v>22</v>
      </c>
      <c r="F10" s="4"/>
      <c r="G10" s="69">
        <v>1</v>
      </c>
      <c r="H10" s="70"/>
      <c r="I10" s="22"/>
      <c r="J10" s="15" t="s">
        <v>27</v>
      </c>
      <c r="L10" s="6">
        <v>7</v>
      </c>
      <c r="M10" s="52">
        <f t="shared" si="0"/>
        <v>24962.73075820661</v>
      </c>
      <c r="N10" s="52">
        <f t="shared" si="10"/>
        <v>8109.3467170257372</v>
      </c>
      <c r="P10" s="6">
        <v>7</v>
      </c>
      <c r="Q10" s="52">
        <f t="shared" si="11"/>
        <v>-16526.088469255374</v>
      </c>
      <c r="R10" s="52">
        <f t="shared" si="12"/>
        <v>10426.542701918017</v>
      </c>
      <c r="T10" s="6">
        <v>7</v>
      </c>
      <c r="U10" s="52">
        <f t="shared" si="1"/>
        <v>-37.269241793390393</v>
      </c>
      <c r="V10" s="52">
        <f t="shared" si="2"/>
        <v>-14390.653282974263</v>
      </c>
      <c r="X10" s="6">
        <v>6</v>
      </c>
      <c r="Y10" s="55">
        <v>3</v>
      </c>
      <c r="Z10" s="52">
        <f t="shared" si="20"/>
        <v>394.85512702817829</v>
      </c>
      <c r="AA10" s="52">
        <f t="shared" ref="AA10:AA69" si="21">AA9+AC9*$G$4+((1/2)*AE9)*$G$4^2</f>
        <v>-3482.4241933422177</v>
      </c>
      <c r="AB10" s="52">
        <f t="shared" si="14"/>
        <v>147.06420106502966</v>
      </c>
      <c r="AC10" s="52">
        <f t="shared" si="15"/>
        <v>-2370.4779029653482</v>
      </c>
      <c r="AD10" s="52">
        <f t="shared" si="3"/>
        <v>-199.84481721265149</v>
      </c>
      <c r="AE10" s="52">
        <f t="shared" si="16"/>
        <v>-890.31902387599291</v>
      </c>
      <c r="AF10" s="52">
        <f t="shared" si="17"/>
        <v>689.86190376956449</v>
      </c>
      <c r="AG10" s="52">
        <f t="shared" si="4"/>
        <v>386.4473387528472</v>
      </c>
      <c r="AH10" s="52">
        <f t="shared" si="5"/>
        <v>-222.70655944156962</v>
      </c>
      <c r="AI10" s="52">
        <f t="shared" si="6"/>
        <v>147.22459592526414</v>
      </c>
      <c r="AJ10" s="52">
        <f t="shared" si="7"/>
        <v>-667.00016154064633</v>
      </c>
      <c r="AK10" s="52">
        <f t="shared" si="18"/>
        <v>-1423.9909585541043</v>
      </c>
      <c r="AM10" s="52">
        <f t="shared" si="8"/>
        <v>22471.656517771931</v>
      </c>
      <c r="AN10" s="57">
        <f t="shared" si="9"/>
        <v>24448.433033257716</v>
      </c>
      <c r="AO10" s="57">
        <f t="shared" si="19"/>
        <v>12718.451725887506</v>
      </c>
      <c r="AQ10" s="91"/>
      <c r="AR10" s="91"/>
      <c r="AS10" s="87"/>
      <c r="AT10" s="88"/>
      <c r="AU10" s="87"/>
      <c r="AV10" s="90"/>
      <c r="AW10" s="90"/>
      <c r="AX10" s="88"/>
      <c r="AY10" s="89"/>
    </row>
    <row r="11" spans="2:51" ht="18" x14ac:dyDescent="0.25">
      <c r="B11" s="74" t="s">
        <v>6</v>
      </c>
      <c r="C11" s="75"/>
      <c r="E11" s="7" t="s">
        <v>34</v>
      </c>
      <c r="F11" s="12"/>
      <c r="G11" s="10">
        <v>0</v>
      </c>
      <c r="H11" s="16">
        <v>0</v>
      </c>
      <c r="I11" s="18"/>
      <c r="J11" s="9" t="s">
        <v>24</v>
      </c>
      <c r="L11" s="6">
        <v>8</v>
      </c>
      <c r="M11" s="52">
        <f t="shared" si="0"/>
        <v>24951.340343707852</v>
      </c>
      <c r="N11" s="52">
        <f t="shared" si="10"/>
        <v>8195.8655048003275</v>
      </c>
      <c r="P11" s="6">
        <v>8</v>
      </c>
      <c r="Q11" s="52">
        <f t="shared" si="11"/>
        <v>-16534.061759404503</v>
      </c>
      <c r="R11" s="52">
        <f t="shared" si="12"/>
        <v>10487.10585336023</v>
      </c>
      <c r="T11" s="6">
        <v>8</v>
      </c>
      <c r="U11" s="52">
        <f t="shared" si="1"/>
        <v>-48.659656292148611</v>
      </c>
      <c r="V11" s="52">
        <f t="shared" si="2"/>
        <v>-14304.134495199673</v>
      </c>
      <c r="X11" s="6">
        <v>7</v>
      </c>
      <c r="Y11" s="55">
        <v>3.5</v>
      </c>
      <c r="Z11" s="52">
        <f t="shared" si="20"/>
        <v>443.40662540911171</v>
      </c>
      <c r="AA11" s="52">
        <f t="shared" si="21"/>
        <v>-4778.9530228093909</v>
      </c>
      <c r="AB11" s="52">
        <f t="shared" si="14"/>
        <v>47.141792458703918</v>
      </c>
      <c r="AC11" s="52">
        <f t="shared" si="15"/>
        <v>-2815.6374149033445</v>
      </c>
      <c r="AD11" s="52">
        <f t="shared" si="3"/>
        <v>-357.75553329731326</v>
      </c>
      <c r="AE11" s="52">
        <f t="shared" si="16"/>
        <v>-942.73052379080013</v>
      </c>
      <c r="AF11" s="52">
        <f t="shared" si="17"/>
        <v>642.60853053385199</v>
      </c>
      <c r="AG11" s="52">
        <f t="shared" si="4"/>
        <v>403.47313089475165</v>
      </c>
      <c r="AH11" s="52">
        <f t="shared" si="5"/>
        <v>-204.63366046169691</v>
      </c>
      <c r="AI11" s="52">
        <f t="shared" si="6"/>
        <v>147.93382092640462</v>
      </c>
      <c r="AJ11" s="52">
        <f t="shared" si="7"/>
        <v>-795.73040336946838</v>
      </c>
      <c r="AK11" s="52">
        <f t="shared" si="18"/>
        <v>-1494.1374756119565</v>
      </c>
      <c r="AM11" s="52">
        <f t="shared" si="8"/>
        <v>23091.839072612907</v>
      </c>
      <c r="AN11" s="57">
        <f t="shared" si="9"/>
        <v>25225.985152263685</v>
      </c>
      <c r="AO11" s="57">
        <f t="shared" si="19"/>
        <v>11580.176034909191</v>
      </c>
    </row>
    <row r="12" spans="2:51" ht="18" x14ac:dyDescent="0.25">
      <c r="B12" s="74" t="s">
        <v>7</v>
      </c>
      <c r="C12" s="75"/>
      <c r="E12" s="7" t="s">
        <v>35</v>
      </c>
      <c r="F12" s="12"/>
      <c r="G12" s="10">
        <v>0</v>
      </c>
      <c r="H12" s="11">
        <v>0</v>
      </c>
      <c r="I12" s="8"/>
      <c r="J12" s="9" t="s">
        <v>25</v>
      </c>
      <c r="L12" s="6">
        <v>9</v>
      </c>
      <c r="M12" s="52">
        <f t="shared" si="0"/>
        <v>24938.441702975688</v>
      </c>
      <c r="N12" s="52">
        <f t="shared" si="10"/>
        <v>8282.1723252011543</v>
      </c>
      <c r="P12" s="6">
        <v>9</v>
      </c>
      <c r="Q12" s="52">
        <f t="shared" si="11"/>
        <v>-16543.090807917019</v>
      </c>
      <c r="R12" s="52">
        <f t="shared" si="12"/>
        <v>10547.520627640808</v>
      </c>
      <c r="T12" s="6">
        <v>9</v>
      </c>
      <c r="U12" s="52">
        <f t="shared" si="1"/>
        <v>-61.558297024311287</v>
      </c>
      <c r="V12" s="52">
        <f t="shared" si="2"/>
        <v>-14217.827674798846</v>
      </c>
      <c r="X12" s="6">
        <v>8</v>
      </c>
      <c r="Y12" s="55">
        <v>4</v>
      </c>
      <c r="Z12" s="52">
        <f t="shared" si="20"/>
        <v>422.25807997629948</v>
      </c>
      <c r="AA12" s="52">
        <f t="shared" si="21"/>
        <v>-6304.6130457349136</v>
      </c>
      <c r="AB12" s="52">
        <f t="shared" si="14"/>
        <v>-131.73597418995271</v>
      </c>
      <c r="AC12" s="52">
        <f t="shared" si="15"/>
        <v>-3287.0026767987447</v>
      </c>
      <c r="AD12" s="52">
        <f t="shared" si="3"/>
        <v>-566.40680704753868</v>
      </c>
      <c r="AE12" s="52">
        <f t="shared" si="16"/>
        <v>-989.94508802537234</v>
      </c>
      <c r="AF12" s="52">
        <f t="shared" si="17"/>
        <v>586.01836897302167</v>
      </c>
      <c r="AG12" s="52">
        <f t="shared" si="4"/>
        <v>413.21194519840094</v>
      </c>
      <c r="AH12" s="52">
        <f t="shared" si="5"/>
        <v>-185.22979369488903</v>
      </c>
      <c r="AI12" s="52">
        <f t="shared" si="6"/>
        <v>147.88277079397184</v>
      </c>
      <c r="AJ12" s="52">
        <f t="shared" si="7"/>
        <v>-967.19538232567129</v>
      </c>
      <c r="AK12" s="52">
        <f t="shared" si="18"/>
        <v>-1551.0398040177452</v>
      </c>
      <c r="AM12" s="52">
        <f t="shared" si="8"/>
        <v>23955.277498487216</v>
      </c>
      <c r="AN12" s="57">
        <f t="shared" si="9"/>
        <v>26132.528229321906</v>
      </c>
      <c r="AO12" s="57">
        <f t="shared" si="19"/>
        <v>10247.469783818429</v>
      </c>
    </row>
    <row r="13" spans="2:51" ht="18" x14ac:dyDescent="0.25">
      <c r="B13" s="74" t="s">
        <v>8</v>
      </c>
      <c r="C13" s="75"/>
      <c r="E13" s="7" t="s">
        <v>33</v>
      </c>
      <c r="F13" s="12"/>
      <c r="G13" s="10">
        <v>0</v>
      </c>
      <c r="H13" s="11">
        <v>0</v>
      </c>
      <c r="I13" s="19"/>
      <c r="J13" s="9" t="s">
        <v>28</v>
      </c>
      <c r="L13" s="6">
        <v>10</v>
      </c>
      <c r="M13" s="52">
        <f t="shared" si="0"/>
        <v>24924.038765061039</v>
      </c>
      <c r="N13" s="52">
        <f t="shared" si="10"/>
        <v>8368.2408883346525</v>
      </c>
      <c r="P13" s="6">
        <v>10</v>
      </c>
      <c r="Q13" s="52">
        <f t="shared" si="11"/>
        <v>-16553.172864457272</v>
      </c>
      <c r="R13" s="52">
        <f t="shared" si="12"/>
        <v>10607.768621834257</v>
      </c>
      <c r="T13" s="6">
        <v>10</v>
      </c>
      <c r="U13" s="52">
        <f t="shared" si="1"/>
        <v>-75.961234938959933</v>
      </c>
      <c r="V13" s="52">
        <f t="shared" si="2"/>
        <v>-14131.759111665348</v>
      </c>
      <c r="X13" s="6">
        <v>9</v>
      </c>
      <c r="Y13" s="55">
        <v>4.5</v>
      </c>
      <c r="Z13" s="52">
        <f t="shared" si="20"/>
        <v>285.58924200038081</v>
      </c>
      <c r="AA13" s="52">
        <f t="shared" si="21"/>
        <v>-8071.857520137457</v>
      </c>
      <c r="AB13" s="52">
        <f t="shared" ref="AB13:AB69" si="22">AB12+AD12*$G$4</f>
        <v>-414.93937771372202</v>
      </c>
      <c r="AC13" s="52">
        <f t="shared" si="15"/>
        <v>-3781.975220811431</v>
      </c>
      <c r="AD13" s="52">
        <f t="shared" si="3"/>
        <v>-828.77600778486465</v>
      </c>
      <c r="AE13" s="52">
        <f t="shared" si="16"/>
        <v>-995.06934178179381</v>
      </c>
      <c r="AF13" s="52">
        <f t="shared" si="17"/>
        <v>522.13276740854087</v>
      </c>
      <c r="AG13" s="52">
        <f t="shared" si="4"/>
        <v>412.417959658352</v>
      </c>
      <c r="AH13" s="52">
        <f t="shared" si="5"/>
        <v>-164.98248751021697</v>
      </c>
      <c r="AI13" s="52">
        <f t="shared" si="6"/>
        <v>146.97823031087293</v>
      </c>
      <c r="AJ13" s="52">
        <f t="shared" si="7"/>
        <v>-1185.9262876831885</v>
      </c>
      <c r="AK13" s="52">
        <f t="shared" si="18"/>
        <v>-1554.4655317510187</v>
      </c>
      <c r="AM13" s="52">
        <f t="shared" si="8"/>
        <v>25122.514566869948</v>
      </c>
      <c r="AN13" s="57">
        <f t="shared" si="9"/>
        <v>27167.943704360667</v>
      </c>
      <c r="AO13" s="57">
        <f t="shared" si="19"/>
        <v>8714.161569332191</v>
      </c>
    </row>
    <row r="14" spans="2:51" x14ac:dyDescent="0.25">
      <c r="B14" s="4" t="s">
        <v>9</v>
      </c>
      <c r="C14" s="2"/>
      <c r="D14" s="2"/>
      <c r="E14" s="7" t="s">
        <v>36</v>
      </c>
      <c r="F14" s="12"/>
      <c r="G14" s="65">
        <v>2500</v>
      </c>
      <c r="H14" s="66"/>
      <c r="I14" s="13"/>
      <c r="J14" s="9" t="s">
        <v>24</v>
      </c>
      <c r="L14" s="6">
        <v>11</v>
      </c>
      <c r="M14" s="52">
        <f t="shared" si="0"/>
        <v>24908.13591723832</v>
      </c>
      <c r="N14" s="52">
        <f t="shared" si="10"/>
        <v>8454.0449768827239</v>
      </c>
      <c r="P14" s="6">
        <v>11</v>
      </c>
      <c r="Q14" s="52">
        <f t="shared" si="11"/>
        <v>-16564.304857933177</v>
      </c>
      <c r="R14" s="52">
        <f t="shared" si="12"/>
        <v>10667.831483817907</v>
      </c>
      <c r="T14" s="6">
        <v>11</v>
      </c>
      <c r="U14" s="52">
        <f t="shared" si="1"/>
        <v>-91.864082761680038</v>
      </c>
      <c r="V14" s="52">
        <f t="shared" si="2"/>
        <v>-14045.955023117276</v>
      </c>
      <c r="X14" s="6">
        <v>10</v>
      </c>
      <c r="Y14" s="55">
        <v>5</v>
      </c>
      <c r="Z14" s="52">
        <f t="shared" si="20"/>
        <v>-25.477447829588286</v>
      </c>
      <c r="AA14" s="52">
        <f t="shared" si="21"/>
        <v>-10087.228798265896</v>
      </c>
      <c r="AB14" s="52">
        <f>AB13+AD13*$G$4</f>
        <v>-829.3273816061544</v>
      </c>
      <c r="AC14" s="52">
        <f t="shared" si="15"/>
        <v>-4279.5098917023279</v>
      </c>
      <c r="AD14" s="52">
        <f t="shared" si="3"/>
        <v>-1123.6291357065463</v>
      </c>
      <c r="AE14" s="52">
        <f t="shared" si="16"/>
        <v>-871.60038634060834</v>
      </c>
      <c r="AF14" s="52">
        <f t="shared" si="17"/>
        <v>454.55698178624539</v>
      </c>
      <c r="AG14" s="52">
        <f t="shared" si="4"/>
        <v>399.21133772470102</v>
      </c>
      <c r="AH14" s="52">
        <f t="shared" si="5"/>
        <v>-144.38057391759932</v>
      </c>
      <c r="AI14" s="52">
        <f t="shared" si="6"/>
        <v>145.19524132468564</v>
      </c>
      <c r="AJ14" s="52">
        <f t="shared" si="7"/>
        <v>-1433.8055435751924</v>
      </c>
      <c r="AK14" s="52">
        <f t="shared" si="18"/>
        <v>-1416.006965389995</v>
      </c>
      <c r="AM14" s="52">
        <f t="shared" si="8"/>
        <v>26652.02363454011</v>
      </c>
      <c r="AN14" s="57">
        <f t="shared" si="9"/>
        <v>28328.0481498646</v>
      </c>
      <c r="AO14" s="57">
        <f t="shared" si="19"/>
        <v>6991.5088144577194</v>
      </c>
    </row>
    <row r="15" spans="2:51" x14ac:dyDescent="0.25">
      <c r="L15" s="6">
        <v>12</v>
      </c>
      <c r="M15" s="52">
        <f t="shared" si="0"/>
        <v>24890.73800366903</v>
      </c>
      <c r="N15" s="52">
        <f t="shared" si="10"/>
        <v>8539.5584540887976</v>
      </c>
      <c r="P15" s="6">
        <v>12</v>
      </c>
      <c r="Q15" s="52">
        <f t="shared" si="11"/>
        <v>-16576.483397431679</v>
      </c>
      <c r="R15" s="52">
        <f t="shared" si="12"/>
        <v>10727.690917862157</v>
      </c>
      <c r="T15" s="6">
        <v>12</v>
      </c>
      <c r="U15" s="52">
        <f t="shared" si="1"/>
        <v>-109.26199633097167</v>
      </c>
      <c r="V15" s="52">
        <f t="shared" si="2"/>
        <v>-13960.441545911202</v>
      </c>
      <c r="X15" s="6">
        <v>11</v>
      </c>
      <c r="Y15" s="55">
        <v>5.5</v>
      </c>
      <c r="Z15" s="52">
        <f t="shared" si="20"/>
        <v>-580.59478059598382</v>
      </c>
      <c r="AA15" s="52">
        <f t="shared" si="21"/>
        <v>-12335.933792409636</v>
      </c>
      <c r="AB15" s="52">
        <f t="shared" si="22"/>
        <v>-1391.1419494594275</v>
      </c>
      <c r="AC15" s="52">
        <f t="shared" ref="AC15:AC69" si="23">AC14+AE14*$G$4</f>
        <v>-4715.3100848726317</v>
      </c>
      <c r="AD15" s="52">
        <f t="shared" si="3"/>
        <v>-1359.8455053048283</v>
      </c>
      <c r="AE15" s="52">
        <f t="shared" si="16"/>
        <v>-462.32608673715288</v>
      </c>
      <c r="AF15" s="52">
        <f t="shared" si="17"/>
        <v>388.04730664497805</v>
      </c>
      <c r="AG15" s="52">
        <f t="shared" si="4"/>
        <v>374.006716763594</v>
      </c>
      <c r="AH15" s="52">
        <f t="shared" si="5"/>
        <v>-123.96839267233051</v>
      </c>
      <c r="AI15" s="52">
        <f t="shared" si="6"/>
        <v>142.58674659684524</v>
      </c>
      <c r="AJ15" s="52">
        <f t="shared" si="7"/>
        <v>-1623.9244192774759</v>
      </c>
      <c r="AK15" s="52">
        <f t="shared" si="18"/>
        <v>-978.91955009759215</v>
      </c>
      <c r="AM15" s="52">
        <f t="shared" si="8"/>
        <v>28583.651812530064</v>
      </c>
      <c r="AN15" s="57">
        <f t="shared" si="9"/>
        <v>29597.419439105204</v>
      </c>
      <c r="AO15" s="57">
        <f t="shared" si="19"/>
        <v>5160.2704630397393</v>
      </c>
    </row>
    <row r="16" spans="2:51" x14ac:dyDescent="0.25">
      <c r="E16" s="6"/>
      <c r="H16" s="6"/>
      <c r="I16" s="6"/>
      <c r="J16" s="5"/>
      <c r="L16" s="6">
        <v>13</v>
      </c>
      <c r="M16" s="52">
        <f t="shared" si="0"/>
        <v>24871.850323926177</v>
      </c>
      <c r="N16" s="52">
        <f t="shared" si="10"/>
        <v>8624.7552717193248</v>
      </c>
      <c r="P16" s="6">
        <v>13</v>
      </c>
      <c r="Q16" s="52">
        <f t="shared" si="11"/>
        <v>-16589.704773251677</v>
      </c>
      <c r="R16" s="52">
        <f t="shared" si="12"/>
        <v>10787.328690203527</v>
      </c>
      <c r="T16" s="6">
        <v>13</v>
      </c>
      <c r="U16" s="52">
        <f t="shared" si="1"/>
        <v>-128.14967607382368</v>
      </c>
      <c r="V16" s="52">
        <f t="shared" si="2"/>
        <v>-13875.244728280675</v>
      </c>
      <c r="X16" s="6">
        <v>12</v>
      </c>
      <c r="Y16" s="55">
        <v>6</v>
      </c>
      <c r="Z16" s="52">
        <f t="shared" si="20"/>
        <v>-1446.1464434888012</v>
      </c>
      <c r="AA16" s="52">
        <f t="shared" si="21"/>
        <v>-14751.379595688097</v>
      </c>
      <c r="AB16" s="52">
        <f t="shared" si="22"/>
        <v>-2071.0647021118416</v>
      </c>
      <c r="AC16" s="52">
        <f t="shared" si="23"/>
        <v>-4946.4731282412085</v>
      </c>
      <c r="AD16" s="52">
        <f t="shared" si="3"/>
        <v>-1332.2496091808098</v>
      </c>
      <c r="AE16" s="52">
        <f t="shared" si="16"/>
        <v>370.49150591336036</v>
      </c>
      <c r="AF16" s="52">
        <f t="shared" si="17"/>
        <v>327.66607473698099</v>
      </c>
      <c r="AG16" s="52">
        <f t="shared" si="4"/>
        <v>339.96887174177044</v>
      </c>
      <c r="AH16" s="52">
        <f t="shared" si="5"/>
        <v>-104.45037905727233</v>
      </c>
      <c r="AI16" s="52">
        <f t="shared" si="6"/>
        <v>139.33983973118018</v>
      </c>
      <c r="AJ16" s="52">
        <f t="shared" si="7"/>
        <v>-1555.4653048605185</v>
      </c>
      <c r="AK16" s="52">
        <f t="shared" si="18"/>
        <v>-108.81720555959023</v>
      </c>
      <c r="AM16" s="52">
        <f t="shared" si="8"/>
        <v>30904.062697111069</v>
      </c>
      <c r="AN16" s="57">
        <f t="shared" si="9"/>
        <v>30933.416780018149</v>
      </c>
      <c r="AO16" s="57">
        <f t="shared" si="19"/>
        <v>3562.5394322824709</v>
      </c>
    </row>
    <row r="17" spans="2:41" x14ac:dyDescent="0.25">
      <c r="B17" s="34" t="s">
        <v>10</v>
      </c>
      <c r="C17" s="36"/>
      <c r="D17" s="31"/>
      <c r="E17" s="32"/>
      <c r="F17" s="31"/>
      <c r="G17" s="31"/>
      <c r="H17" s="32"/>
      <c r="I17" s="32"/>
      <c r="J17" s="33"/>
      <c r="L17" s="6">
        <v>14</v>
      </c>
      <c r="M17" s="52">
        <f t="shared" si="0"/>
        <v>24851.478631379981</v>
      </c>
      <c r="N17" s="52">
        <f t="shared" si="10"/>
        <v>8709.6094779983396</v>
      </c>
      <c r="P17" s="6">
        <v>14</v>
      </c>
      <c r="Q17" s="52">
        <f t="shared" si="11"/>
        <v>-16603.964958034012</v>
      </c>
      <c r="R17" s="52">
        <f t="shared" si="12"/>
        <v>10846.726634598837</v>
      </c>
      <c r="T17" s="6">
        <v>14</v>
      </c>
      <c r="U17" s="52">
        <f t="shared" si="1"/>
        <v>-148.52136862001771</v>
      </c>
      <c r="V17" s="52">
        <f t="shared" si="2"/>
        <v>-13790.39052200166</v>
      </c>
      <c r="X17" s="6">
        <v>13</v>
      </c>
      <c r="Y17" s="55">
        <v>6.5</v>
      </c>
      <c r="Z17" s="52">
        <f t="shared" si="20"/>
        <v>-2648.2099956923234</v>
      </c>
      <c r="AA17" s="52">
        <f t="shared" si="21"/>
        <v>-17178.304721569533</v>
      </c>
      <c r="AB17" s="52">
        <f t="shared" si="22"/>
        <v>-2737.1895067022465</v>
      </c>
      <c r="AC17" s="52">
        <f t="shared" si="23"/>
        <v>-4761.2273752845285</v>
      </c>
      <c r="AD17" s="52">
        <f t="shared" si="3"/>
        <v>-872.47773551196622</v>
      </c>
      <c r="AE17" s="52">
        <f t="shared" si="16"/>
        <v>1423.2819869014561</v>
      </c>
      <c r="AF17" s="52">
        <f t="shared" si="17"/>
        <v>277.61756850883444</v>
      </c>
      <c r="AG17" s="52">
        <f t="shared" si="4"/>
        <v>302.50209411804741</v>
      </c>
      <c r="AH17" s="52">
        <f t="shared" si="5"/>
        <v>-86.745678154182173</v>
      </c>
      <c r="AI17" s="52">
        <f t="shared" si="6"/>
        <v>135.87073573206416</v>
      </c>
      <c r="AJ17" s="52">
        <f t="shared" si="7"/>
        <v>-1063.3496258666185</v>
      </c>
      <c r="AK17" s="52">
        <f t="shared" si="18"/>
        <v>984.90915705134466</v>
      </c>
      <c r="AM17" s="52">
        <f t="shared" si="8"/>
        <v>33495.673451053626</v>
      </c>
      <c r="AN17" s="57">
        <f t="shared" si="9"/>
        <v>32245.0750331284</v>
      </c>
      <c r="AO17" s="57">
        <f t="shared" si="19"/>
        <v>3205.6087852970495</v>
      </c>
    </row>
    <row r="18" spans="2:41" x14ac:dyDescent="0.25">
      <c r="B18" s="35" t="s">
        <v>11</v>
      </c>
      <c r="C18" s="37"/>
      <c r="D18" s="37"/>
      <c r="E18" s="38"/>
      <c r="F18" s="37"/>
      <c r="G18" s="37"/>
      <c r="H18" s="38"/>
      <c r="I18" s="38"/>
      <c r="J18" s="39"/>
      <c r="L18" s="6">
        <v>15</v>
      </c>
      <c r="M18" s="52">
        <f t="shared" si="0"/>
        <v>24829.629131445341</v>
      </c>
      <c r="N18" s="52">
        <f t="shared" si="10"/>
        <v>8794.0952255126031</v>
      </c>
      <c r="P18" s="6">
        <v>15</v>
      </c>
      <c r="Q18" s="52">
        <f t="shared" si="11"/>
        <v>-16619.259607988261</v>
      </c>
      <c r="R18" s="52">
        <f t="shared" si="12"/>
        <v>10905.866657858822</v>
      </c>
      <c r="T18" s="6">
        <v>15</v>
      </c>
      <c r="U18" s="52">
        <f t="shared" si="1"/>
        <v>-170.37086855465805</v>
      </c>
      <c r="V18" s="52">
        <f t="shared" si="2"/>
        <v>-13705.904774487397</v>
      </c>
      <c r="X18" s="6">
        <v>14</v>
      </c>
      <c r="Y18" s="55">
        <v>7</v>
      </c>
      <c r="Z18" s="52">
        <f t="shared" si="20"/>
        <v>-4125.8644659824422</v>
      </c>
      <c r="AA18" s="52">
        <f t="shared" si="21"/>
        <v>-19381.008160849116</v>
      </c>
      <c r="AB18" s="52">
        <f t="shared" si="22"/>
        <v>-3173.4283744582294</v>
      </c>
      <c r="AC18" s="52">
        <f t="shared" si="23"/>
        <v>-4049.5863818338003</v>
      </c>
      <c r="AD18" s="52">
        <f t="shared" si="3"/>
        <v>-180.17812858232014</v>
      </c>
      <c r="AE18" s="52">
        <f t="shared" si="16"/>
        <v>2146.14213028827</v>
      </c>
      <c r="AF18" s="52">
        <f t="shared" si="17"/>
        <v>239.95577445043651</v>
      </c>
      <c r="AG18" s="52">
        <f t="shared" si="4"/>
        <v>267.35842524274869</v>
      </c>
      <c r="AH18" s="52">
        <f t="shared" si="5"/>
        <v>-71.766807806764248</v>
      </c>
      <c r="AI18" s="52">
        <f t="shared" si="6"/>
        <v>132.83124371277012</v>
      </c>
      <c r="AJ18" s="52">
        <f t="shared" si="7"/>
        <v>-348.36709522599239</v>
      </c>
      <c r="AK18" s="52">
        <f t="shared" si="18"/>
        <v>1745.9524613327512</v>
      </c>
      <c r="AM18" s="52">
        <f t="shared" si="8"/>
        <v>36119.882834452706</v>
      </c>
      <c r="AN18" s="57">
        <f t="shared" si="9"/>
        <v>33395.086756890472</v>
      </c>
      <c r="AO18" s="57">
        <f t="shared" si="19"/>
        <v>4467.3644844873261</v>
      </c>
    </row>
    <row r="19" spans="2:41" ht="18" x14ac:dyDescent="0.25">
      <c r="B19" s="3" t="s">
        <v>12</v>
      </c>
      <c r="E19" s="7" t="s">
        <v>38</v>
      </c>
      <c r="F19" s="17"/>
      <c r="G19" s="7">
        <v>20000</v>
      </c>
      <c r="H19" s="11">
        <v>7500</v>
      </c>
      <c r="I19" s="8"/>
      <c r="J19" s="9" t="s">
        <v>24</v>
      </c>
      <c r="L19" s="6">
        <v>16</v>
      </c>
      <c r="M19" s="52">
        <f t="shared" si="0"/>
        <v>24806.308479691594</v>
      </c>
      <c r="N19" s="52">
        <f t="shared" si="10"/>
        <v>8878.1867790849956</v>
      </c>
      <c r="P19" s="6">
        <v>16</v>
      </c>
      <c r="Q19" s="52">
        <f t="shared" si="11"/>
        <v>-16635.584064215884</v>
      </c>
      <c r="R19" s="52">
        <f t="shared" si="12"/>
        <v>10964.730745359497</v>
      </c>
      <c r="T19" s="6">
        <v>16</v>
      </c>
      <c r="U19" s="52">
        <f t="shared" si="1"/>
        <v>-193.69152030840542</v>
      </c>
      <c r="V19" s="52">
        <f t="shared" si="2"/>
        <v>-13621.813220915004</v>
      </c>
      <c r="X19" s="6">
        <v>15</v>
      </c>
      <c r="Y19" s="55">
        <v>7.5</v>
      </c>
      <c r="Z19" s="52">
        <f t="shared" si="20"/>
        <v>-5735.1009192843476</v>
      </c>
      <c r="AA19" s="52">
        <f t="shared" si="21"/>
        <v>-21137.533585479981</v>
      </c>
      <c r="AB19" s="52">
        <f t="shared" si="22"/>
        <v>-3263.5174387493894</v>
      </c>
      <c r="AC19" s="52">
        <f t="shared" si="23"/>
        <v>-2976.5153166896653</v>
      </c>
      <c r="AD19" s="52">
        <f t="shared" si="3"/>
        <v>390.98118215131149</v>
      </c>
      <c r="AE19" s="52">
        <f t="shared" si="16"/>
        <v>2346.9237498752987</v>
      </c>
      <c r="AF19" s="52">
        <f t="shared" si="17"/>
        <v>214.06641854686353</v>
      </c>
      <c r="AG19" s="52">
        <f t="shared" si="4"/>
        <v>238.20906200781644</v>
      </c>
      <c r="AH19" s="52">
        <f t="shared" si="5"/>
        <v>-59.970388456142473</v>
      </c>
      <c r="AI19" s="52">
        <f t="shared" si="6"/>
        <v>130.90383423825355</v>
      </c>
      <c r="AJ19" s="52">
        <f t="shared" si="7"/>
        <v>236.88515206059043</v>
      </c>
      <c r="AK19" s="52">
        <f t="shared" si="18"/>
        <v>1977.8108536292286</v>
      </c>
      <c r="AM19" s="52">
        <f t="shared" si="8"/>
        <v>38501.996690889217</v>
      </c>
      <c r="AN19" s="57">
        <f t="shared" si="9"/>
        <v>34249.574356039753</v>
      </c>
      <c r="AO19" s="57">
        <f t="shared" si="19"/>
        <v>6181.3988606485709</v>
      </c>
    </row>
    <row r="20" spans="2:41" ht="18" x14ac:dyDescent="0.25">
      <c r="B20" s="3" t="s">
        <v>13</v>
      </c>
      <c r="E20" s="7" t="s">
        <v>39</v>
      </c>
      <c r="F20" s="17"/>
      <c r="G20" s="65">
        <v>5000</v>
      </c>
      <c r="H20" s="66"/>
      <c r="I20" s="13"/>
      <c r="J20" s="9" t="s">
        <v>24</v>
      </c>
      <c r="L20" s="6">
        <v>17</v>
      </c>
      <c r="M20" s="52">
        <f t="shared" si="0"/>
        <v>24781.523779815179</v>
      </c>
      <c r="N20" s="52">
        <f t="shared" si="10"/>
        <v>8961.8585236136842</v>
      </c>
      <c r="P20" s="6">
        <v>17</v>
      </c>
      <c r="Q20" s="52">
        <f t="shared" si="11"/>
        <v>-16652.933354129374</v>
      </c>
      <c r="R20" s="52">
        <f t="shared" si="12"/>
        <v>11023.300966529579</v>
      </c>
      <c r="T20" s="6">
        <v>17</v>
      </c>
      <c r="U20" s="52">
        <f t="shared" si="1"/>
        <v>-218.47622018482252</v>
      </c>
      <c r="V20" s="52">
        <f t="shared" si="2"/>
        <v>-13538.141476386316</v>
      </c>
      <c r="X20" s="6">
        <v>16</v>
      </c>
      <c r="Y20" s="55">
        <v>8</v>
      </c>
      <c r="Z20" s="52">
        <f t="shared" si="20"/>
        <v>-7317.9869908901283</v>
      </c>
      <c r="AA20" s="52">
        <f t="shared" si="21"/>
        <v>-22332.4257750904</v>
      </c>
      <c r="AB20" s="52">
        <f t="shared" si="22"/>
        <v>-3068.0268476737338</v>
      </c>
      <c r="AC20" s="52">
        <f t="shared" si="23"/>
        <v>-1803.0534417520159</v>
      </c>
      <c r="AD20" s="52">
        <f t="shared" si="3"/>
        <v>751.07099628410424</v>
      </c>
      <c r="AE20" s="52">
        <f t="shared" si="16"/>
        <v>2258.9192906209232</v>
      </c>
      <c r="AF20" s="52">
        <f t="shared" si="17"/>
        <v>197.71080916798957</v>
      </c>
      <c r="AG20" s="52">
        <f t="shared" si="4"/>
        <v>215.90877253891412</v>
      </c>
      <c r="AH20" s="52">
        <f t="shared" si="5"/>
        <v>-51.215518141821811</v>
      </c>
      <c r="AI20" s="52">
        <f t="shared" si="6"/>
        <v>130.5724838528198</v>
      </c>
      <c r="AJ20" s="52">
        <f t="shared" si="7"/>
        <v>604.57570525793653</v>
      </c>
      <c r="AK20" s="52">
        <f t="shared" si="18"/>
        <v>1912.4380342291893</v>
      </c>
      <c r="AM20" s="52">
        <f t="shared" si="8"/>
        <v>40450.538202361662</v>
      </c>
      <c r="AN20" s="57">
        <f t="shared" si="9"/>
        <v>34730.666714950377</v>
      </c>
      <c r="AO20" s="57">
        <f t="shared" si="19"/>
        <v>7690.0930707726757</v>
      </c>
    </row>
    <row r="21" spans="2:41" ht="18" x14ac:dyDescent="0.25">
      <c r="B21" s="74" t="s">
        <v>14</v>
      </c>
      <c r="C21" s="75"/>
      <c r="D21" s="76"/>
      <c r="E21" s="7" t="s">
        <v>40</v>
      </c>
      <c r="F21" s="17"/>
      <c r="G21" s="79">
        <v>1</v>
      </c>
      <c r="H21" s="80"/>
      <c r="I21" s="13"/>
      <c r="J21" s="9" t="s">
        <v>29</v>
      </c>
      <c r="L21" s="6">
        <v>18</v>
      </c>
      <c r="M21" s="52">
        <f t="shared" si="0"/>
        <v>24755.282581475767</v>
      </c>
      <c r="N21" s="52">
        <f t="shared" si="10"/>
        <v>9045.0849718747377</v>
      </c>
      <c r="P21" s="6">
        <v>18</v>
      </c>
      <c r="Q21" s="52">
        <f t="shared" si="11"/>
        <v>-16671.302192966963</v>
      </c>
      <c r="R21" s="52">
        <f t="shared" si="12"/>
        <v>11081.559480312317</v>
      </c>
      <c r="T21" s="6">
        <v>18</v>
      </c>
      <c r="U21" s="52">
        <f t="shared" si="1"/>
        <v>-244.71741852423202</v>
      </c>
      <c r="V21" s="52">
        <f t="shared" si="2"/>
        <v>-13454.915028125262</v>
      </c>
      <c r="X21" s="6">
        <v>17</v>
      </c>
      <c r="Y21" s="55">
        <v>8.5</v>
      </c>
      <c r="Z21" s="52">
        <f t="shared" si="20"/>
        <v>-8758.1165401914823</v>
      </c>
      <c r="AA21" s="52">
        <f t="shared" si="21"/>
        <v>-22951.587584638793</v>
      </c>
      <c r="AB21" s="52">
        <f t="shared" si="22"/>
        <v>-2692.4913495316814</v>
      </c>
      <c r="AC21" s="52">
        <f t="shared" si="23"/>
        <v>-673.59379644155433</v>
      </c>
      <c r="AD21" s="52">
        <f t="shared" si="3"/>
        <v>976.63452112088953</v>
      </c>
      <c r="AE21" s="52">
        <f t="shared" si="16"/>
        <v>2094.599790931808</v>
      </c>
      <c r="AF21" s="52">
        <f t="shared" si="17"/>
        <v>188.5728080296347</v>
      </c>
      <c r="AG21" s="52">
        <f t="shared" si="4"/>
        <v>199.67724144139876</v>
      </c>
      <c r="AH21" s="52">
        <f t="shared" si="5"/>
        <v>-45.077783953265154</v>
      </c>
      <c r="AI21" s="52">
        <f t="shared" si="6"/>
        <v>132.12950938051642</v>
      </c>
      <c r="AJ21" s="52">
        <f t="shared" si="7"/>
        <v>833.13949704452</v>
      </c>
      <c r="AK21" s="52">
        <f t="shared" si="18"/>
        <v>1762.7930401098927</v>
      </c>
      <c r="AM21" s="52">
        <f t="shared" si="8"/>
        <v>41884.704288847053</v>
      </c>
      <c r="AN21" s="57">
        <f t="shared" si="9"/>
        <v>34816.476962381443</v>
      </c>
      <c r="AO21" s="57">
        <f t="shared" si="19"/>
        <v>8794.9522480706273</v>
      </c>
    </row>
    <row r="22" spans="2:41" ht="18" x14ac:dyDescent="0.25">
      <c r="B22" s="3" t="s">
        <v>15</v>
      </c>
      <c r="E22" s="7" t="s">
        <v>41</v>
      </c>
      <c r="F22" s="17"/>
      <c r="G22" s="67">
        <f>(4/3)*PI()*G20^3</f>
        <v>523598775598.29883</v>
      </c>
      <c r="H22" s="68"/>
      <c r="I22" s="13"/>
      <c r="J22" s="9" t="s">
        <v>30</v>
      </c>
      <c r="L22" s="6">
        <v>19</v>
      </c>
      <c r="M22" s="52">
        <f t="shared" si="0"/>
        <v>24727.592877996583</v>
      </c>
      <c r="N22" s="52">
        <f t="shared" si="10"/>
        <v>9127.8407722857828</v>
      </c>
      <c r="P22" s="6">
        <v>19</v>
      </c>
      <c r="Q22" s="52">
        <f t="shared" si="11"/>
        <v>-16690.684985402389</v>
      </c>
      <c r="R22" s="52">
        <f t="shared" si="12"/>
        <v>11139.488540600049</v>
      </c>
      <c r="T22" s="6">
        <v>19</v>
      </c>
      <c r="U22" s="52">
        <f t="shared" si="1"/>
        <v>-272.40712200341568</v>
      </c>
      <c r="V22" s="52">
        <f t="shared" si="2"/>
        <v>-13372.159227714217</v>
      </c>
      <c r="X22" s="6">
        <v>18</v>
      </c>
      <c r="Y22" s="55">
        <v>9</v>
      </c>
      <c r="Z22" s="52">
        <f t="shared" si="20"/>
        <v>-9982.2828998172135</v>
      </c>
      <c r="AA22" s="52">
        <f t="shared" si="21"/>
        <v>-23026.559508993098</v>
      </c>
      <c r="AB22" s="52">
        <f t="shared" si="22"/>
        <v>-2204.1740889712364</v>
      </c>
      <c r="AC22" s="52">
        <f t="shared" si="23"/>
        <v>373.70609902434967</v>
      </c>
      <c r="AD22" s="52">
        <f t="shared" si="3"/>
        <v>1145.859813339905</v>
      </c>
      <c r="AE22" s="52">
        <f t="shared" si="16"/>
        <v>1938.4933166347439</v>
      </c>
      <c r="AF22" s="52">
        <f t="shared" si="17"/>
        <v>185.03532360529621</v>
      </c>
      <c r="AG22" s="52">
        <f t="shared" si="4"/>
        <v>188.39432061183393</v>
      </c>
      <c r="AH22" s="52">
        <f t="shared" si="5"/>
        <v>-41.197616442240943</v>
      </c>
      <c r="AI22" s="52">
        <f t="shared" si="6"/>
        <v>135.8209178250319</v>
      </c>
      <c r="AJ22" s="52">
        <f t="shared" si="7"/>
        <v>1002.0221061768497</v>
      </c>
      <c r="AK22" s="52">
        <f t="shared" si="18"/>
        <v>1614.2780781978781</v>
      </c>
      <c r="AM22" s="52">
        <f t="shared" si="8"/>
        <v>42787.943668056403</v>
      </c>
      <c r="AN22" s="57">
        <f t="shared" si="9"/>
        <v>34512.436727944281</v>
      </c>
      <c r="AO22" s="57">
        <f t="shared" si="19"/>
        <v>9447.1583264608489</v>
      </c>
    </row>
    <row r="23" spans="2:41" ht="18" x14ac:dyDescent="0.25">
      <c r="B23" s="74" t="s">
        <v>16</v>
      </c>
      <c r="C23" s="75"/>
      <c r="E23" s="7" t="s">
        <v>42</v>
      </c>
      <c r="F23" s="17"/>
      <c r="G23" s="67">
        <f>G21*G22</f>
        <v>523598775598.29883</v>
      </c>
      <c r="H23" s="68"/>
      <c r="I23" s="13"/>
      <c r="J23" s="9" t="s">
        <v>27</v>
      </c>
      <c r="L23" s="6">
        <v>20</v>
      </c>
      <c r="M23" s="52">
        <f t="shared" si="0"/>
        <v>24698.463103929542</v>
      </c>
      <c r="N23" s="52">
        <f t="shared" si="10"/>
        <v>9210.1007166283434</v>
      </c>
      <c r="P23" s="6">
        <v>20</v>
      </c>
      <c r="Q23" s="52">
        <f t="shared" si="11"/>
        <v>-16711.075827249319</v>
      </c>
      <c r="R23" s="52">
        <f t="shared" si="12"/>
        <v>11197.070501639841</v>
      </c>
      <c r="T23" s="6">
        <v>20</v>
      </c>
      <c r="U23" s="52">
        <f t="shared" si="1"/>
        <v>-301.53689607045817</v>
      </c>
      <c r="V23" s="52">
        <f t="shared" si="2"/>
        <v>-13289.899283371657</v>
      </c>
      <c r="X23" s="6">
        <v>19</v>
      </c>
      <c r="Y23" s="55">
        <v>9.5</v>
      </c>
      <c r="Z23" s="52">
        <f t="shared" si="20"/>
        <v>-10941.137467635343</v>
      </c>
      <c r="AA23" s="52">
        <f t="shared" si="21"/>
        <v>-22597.394794901582</v>
      </c>
      <c r="AB23" s="52">
        <f t="shared" si="22"/>
        <v>-1631.2441823012839</v>
      </c>
      <c r="AC23" s="52">
        <f t="shared" si="23"/>
        <v>1342.9527573417217</v>
      </c>
      <c r="AD23" s="52">
        <f t="shared" ref="AD23:AD68" si="24">AF23+AH23+AJ23</f>
        <v>1306.8356790349019</v>
      </c>
      <c r="AE23" s="52">
        <f t="shared" si="16"/>
        <v>1806.5581552856934</v>
      </c>
      <c r="AF23" s="52">
        <f t="shared" si="17"/>
        <v>186.24546355077959</v>
      </c>
      <c r="AG23" s="52">
        <f t="shared" si="4"/>
        <v>181.16668306427528</v>
      </c>
      <c r="AH23" s="52">
        <f t="shared" si="5"/>
        <v>-39.450198759995232</v>
      </c>
      <c r="AI23" s="52">
        <f t="shared" si="6"/>
        <v>141.95752492352042</v>
      </c>
      <c r="AJ23" s="52">
        <f t="shared" si="7"/>
        <v>1160.0404142441175</v>
      </c>
      <c r="AK23" s="52">
        <f t="shared" si="18"/>
        <v>1483.4339472978977</v>
      </c>
      <c r="AM23" s="52">
        <f t="shared" si="8"/>
        <v>43164.883426591994</v>
      </c>
      <c r="AN23" s="57">
        <f t="shared" si="9"/>
        <v>33832.722884730356</v>
      </c>
      <c r="AO23" s="57">
        <f t="shared" si="19"/>
        <v>9644.5591956780554</v>
      </c>
    </row>
    <row r="24" spans="2:41" ht="18" x14ac:dyDescent="0.25">
      <c r="B24" s="74" t="s">
        <v>17</v>
      </c>
      <c r="C24" s="75"/>
      <c r="E24" s="7" t="s">
        <v>43</v>
      </c>
      <c r="F24" s="17"/>
      <c r="G24" s="65">
        <f>G20*G6</f>
        <v>10000</v>
      </c>
      <c r="H24" s="66"/>
      <c r="I24" s="13"/>
      <c r="J24" s="9" t="s">
        <v>24</v>
      </c>
      <c r="L24" s="6">
        <v>21</v>
      </c>
      <c r="M24" s="52">
        <f t="shared" si="0"/>
        <v>24667.902132486008</v>
      </c>
      <c r="N24" s="52">
        <f t="shared" si="10"/>
        <v>9291.8397477265007</v>
      </c>
      <c r="P24" s="6">
        <v>21</v>
      </c>
      <c r="Q24" s="52">
        <f t="shared" si="11"/>
        <v>-16732.468507259793</v>
      </c>
      <c r="R24" s="52">
        <f t="shared" si="12"/>
        <v>11254.287823408551</v>
      </c>
      <c r="T24" s="6">
        <v>21</v>
      </c>
      <c r="U24" s="52">
        <f t="shared" si="1"/>
        <v>-332.09786751399133</v>
      </c>
      <c r="V24" s="52">
        <f t="shared" si="2"/>
        <v>-13208.160252273499</v>
      </c>
      <c r="X24" s="6">
        <v>20</v>
      </c>
      <c r="Y24" s="55">
        <v>10</v>
      </c>
      <c r="Z24" s="52">
        <f t="shared" si="20"/>
        <v>-11593.405098906622</v>
      </c>
      <c r="AA24" s="52">
        <f t="shared" si="21"/>
        <v>-21700.09864682001</v>
      </c>
      <c r="AB24" s="52">
        <f t="shared" si="22"/>
        <v>-977.82634278383296</v>
      </c>
      <c r="AC24" s="52">
        <f t="shared" si="23"/>
        <v>2246.2318349845682</v>
      </c>
      <c r="AD24" s="52">
        <f t="shared" si="24"/>
        <v>1487.3530527875905</v>
      </c>
      <c r="AE24" s="52">
        <f t="shared" si="16"/>
        <v>1685.4175391133942</v>
      </c>
      <c r="AF24" s="52">
        <f t="shared" si="17"/>
        <v>191.99044231157399</v>
      </c>
      <c r="AG24" s="52">
        <f t="shared" si="4"/>
        <v>177.44652205718029</v>
      </c>
      <c r="AH24" s="52">
        <f t="shared" si="5"/>
        <v>-40.034536640023397</v>
      </c>
      <c r="AI24" s="52">
        <f t="shared" si="6"/>
        <v>150.96466235138917</v>
      </c>
      <c r="AJ24" s="52">
        <f t="shared" si="7"/>
        <v>1335.3971471160398</v>
      </c>
      <c r="AK24" s="52">
        <f t="shared" si="18"/>
        <v>1357.0063547048248</v>
      </c>
      <c r="AM24" s="52">
        <f t="shared" si="8"/>
        <v>43020.797374382062</v>
      </c>
      <c r="AN24" s="57">
        <f t="shared" si="9"/>
        <v>32795.839553961858</v>
      </c>
      <c r="AO24" s="57">
        <f t="shared" si="19"/>
        <v>9400.2293948289989</v>
      </c>
    </row>
    <row r="25" spans="2:41" x14ac:dyDescent="0.25">
      <c r="B25" s="77" t="s">
        <v>18</v>
      </c>
      <c r="C25" s="78"/>
      <c r="D25" s="2"/>
      <c r="E25" s="7"/>
      <c r="F25" s="17"/>
      <c r="G25" s="65" t="s">
        <v>31</v>
      </c>
      <c r="H25" s="66"/>
      <c r="I25" s="13"/>
      <c r="J25" s="9" t="s">
        <v>26</v>
      </c>
      <c r="L25" s="6">
        <v>22</v>
      </c>
      <c r="M25" s="52">
        <f t="shared" si="0"/>
        <v>24635.919272833937</v>
      </c>
      <c r="N25" s="52">
        <f t="shared" si="10"/>
        <v>9373.03296707956</v>
      </c>
      <c r="P25" s="6">
        <v>22</v>
      </c>
      <c r="Q25" s="52">
        <f t="shared" si="11"/>
        <v>-16754.856509016245</v>
      </c>
      <c r="R25" s="52">
        <f t="shared" si="12"/>
        <v>11311.123076955691</v>
      </c>
      <c r="T25" s="6">
        <v>22</v>
      </c>
      <c r="U25" s="52">
        <f t="shared" si="1"/>
        <v>-364.0807271660633</v>
      </c>
      <c r="V25" s="52">
        <f t="shared" si="2"/>
        <v>-13126.96703292044</v>
      </c>
      <c r="X25" s="6">
        <v>21</v>
      </c>
      <c r="Y25" s="55">
        <v>10.5</v>
      </c>
      <c r="Z25" s="52">
        <f t="shared" si="20"/>
        <v>-11896.39913870009</v>
      </c>
      <c r="AA25" s="52">
        <f t="shared" si="21"/>
        <v>-20366.305536938551</v>
      </c>
      <c r="AB25" s="52">
        <f t="shared" si="22"/>
        <v>-234.1498163900377</v>
      </c>
      <c r="AC25" s="52">
        <f t="shared" si="23"/>
        <v>3088.9406045412652</v>
      </c>
      <c r="AD25" s="52">
        <f t="shared" si="24"/>
        <v>1700.8398880258594</v>
      </c>
      <c r="AE25" s="52">
        <f t="shared" si="16"/>
        <v>1540.118143149296</v>
      </c>
      <c r="AF25" s="52">
        <f t="shared" si="17"/>
        <v>202.62864471486998</v>
      </c>
      <c r="AG25" s="52">
        <f t="shared" si="4"/>
        <v>177.02661982648036</v>
      </c>
      <c r="AH25" s="52">
        <f t="shared" si="5"/>
        <v>-43.59536602562509</v>
      </c>
      <c r="AI25" s="52">
        <f t="shared" si="6"/>
        <v>163.36320450467554</v>
      </c>
      <c r="AJ25" s="52">
        <f t="shared" si="7"/>
        <v>1541.8066093366144</v>
      </c>
      <c r="AK25" s="52">
        <f t="shared" si="18"/>
        <v>1199.72831881814</v>
      </c>
      <c r="AM25" s="52">
        <f t="shared" si="8"/>
        <v>42354.589624895198</v>
      </c>
      <c r="AN25" s="57">
        <f t="shared" si="9"/>
        <v>31428.981193827545</v>
      </c>
      <c r="AO25" s="57">
        <f t="shared" si="19"/>
        <v>8738.2810778802886</v>
      </c>
    </row>
    <row r="26" spans="2:41" x14ac:dyDescent="0.25">
      <c r="L26" s="6">
        <v>23</v>
      </c>
      <c r="M26" s="52">
        <f t="shared" si="0"/>
        <v>24602.524267262201</v>
      </c>
      <c r="N26" s="52">
        <f t="shared" si="10"/>
        <v>9453.6556424463688</v>
      </c>
      <c r="P26" s="6">
        <v>23</v>
      </c>
      <c r="Q26" s="52">
        <f t="shared" si="11"/>
        <v>-16778.233012916458</v>
      </c>
      <c r="R26" s="52">
        <f t="shared" si="12"/>
        <v>11367.558949712458</v>
      </c>
      <c r="T26" s="6">
        <v>23</v>
      </c>
      <c r="U26" s="52">
        <f t="shared" si="1"/>
        <v>-397.47573273779835</v>
      </c>
      <c r="V26" s="52">
        <f t="shared" si="2"/>
        <v>-13046.344357553631</v>
      </c>
      <c r="X26" s="6">
        <v>22</v>
      </c>
      <c r="Y26" s="55">
        <v>11</v>
      </c>
      <c r="Z26" s="52">
        <f t="shared" si="20"/>
        <v>-11800.869060891875</v>
      </c>
      <c r="AA26" s="52">
        <f t="shared" si="21"/>
        <v>-18629.320466774254</v>
      </c>
      <c r="AB26" s="52">
        <f t="shared" si="22"/>
        <v>616.27012762289201</v>
      </c>
      <c r="AC26" s="52">
        <f t="shared" si="23"/>
        <v>3858.9996761159132</v>
      </c>
      <c r="AD26" s="52">
        <f t="shared" si="24"/>
        <v>1936.7138635855022</v>
      </c>
      <c r="AE26" s="52">
        <f t="shared" si="16"/>
        <v>1303.6839737957985</v>
      </c>
      <c r="AF26" s="52">
        <f t="shared" si="17"/>
        <v>219.12434986171945</v>
      </c>
      <c r="AG26" s="52">
        <f t="shared" si="4"/>
        <v>180.0444619499921</v>
      </c>
      <c r="AH26" s="52">
        <f t="shared" si="5"/>
        <v>-51.432973639756554</v>
      </c>
      <c r="AI26" s="52">
        <f t="shared" si="6"/>
        <v>179.59111713514309</v>
      </c>
      <c r="AJ26" s="52">
        <f t="shared" si="7"/>
        <v>1769.0224873635393</v>
      </c>
      <c r="AK26" s="52">
        <f t="shared" si="18"/>
        <v>944.04839471066339</v>
      </c>
      <c r="AM26" s="52">
        <f t="shared" si="8"/>
        <v>41158.67661967982</v>
      </c>
      <c r="AN26" s="57">
        <f t="shared" si="9"/>
        <v>29780.257529878738</v>
      </c>
      <c r="AO26" s="57">
        <f t="shared" si="19"/>
        <v>7708.6825744703501</v>
      </c>
    </row>
    <row r="27" spans="2:41" x14ac:dyDescent="0.25">
      <c r="E27" s="6"/>
      <c r="H27" s="6"/>
      <c r="I27" s="6"/>
      <c r="J27" s="5"/>
      <c r="L27" s="6">
        <v>24</v>
      </c>
      <c r="M27" s="52">
        <f t="shared" si="0"/>
        <v>24567.727288213006</v>
      </c>
      <c r="N27" s="52">
        <f t="shared" si="10"/>
        <v>9533.6832153790001</v>
      </c>
      <c r="P27" s="6">
        <v>24</v>
      </c>
      <c r="Q27" s="52">
        <f t="shared" si="11"/>
        <v>-16802.590898250895</v>
      </c>
      <c r="R27" s="52">
        <f t="shared" si="12"/>
        <v>11423.5782507653</v>
      </c>
      <c r="T27" s="6">
        <v>24</v>
      </c>
      <c r="U27" s="52">
        <f t="shared" si="1"/>
        <v>-432.27271178699539</v>
      </c>
      <c r="V27" s="52">
        <f t="shared" si="2"/>
        <v>-12966.316784621</v>
      </c>
      <c r="X27" s="6">
        <v>23</v>
      </c>
      <c r="Y27" s="55">
        <v>11.5</v>
      </c>
      <c r="Z27" s="52">
        <f t="shared" si="20"/>
        <v>-11250.644764132241</v>
      </c>
      <c r="AA27" s="52">
        <f t="shared" si="21"/>
        <v>-16536.860131991823</v>
      </c>
      <c r="AB27" s="52">
        <f t="shared" si="22"/>
        <v>1584.6270594156431</v>
      </c>
      <c r="AC27" s="52">
        <f t="shared" si="23"/>
        <v>4510.8416630138126</v>
      </c>
      <c r="AD27" s="52">
        <f t="shared" si="24"/>
        <v>2123.2328115318428</v>
      </c>
      <c r="AE27" s="52">
        <f t="shared" si="16"/>
        <v>864.85220399511627</v>
      </c>
      <c r="AF27" s="52">
        <f t="shared" si="17"/>
        <v>243.16847967313578</v>
      </c>
      <c r="AG27" s="52">
        <f t="shared" si="4"/>
        <v>187.03635648250167</v>
      </c>
      <c r="AH27" s="52">
        <f t="shared" si="5"/>
        <v>-65.742022733859301</v>
      </c>
      <c r="AI27" s="52">
        <f t="shared" si="6"/>
        <v>199.39604862890485</v>
      </c>
      <c r="AJ27" s="52">
        <f t="shared" si="7"/>
        <v>1945.8063545925663</v>
      </c>
      <c r="AK27" s="52">
        <f t="shared" si="18"/>
        <v>478.41979888370975</v>
      </c>
      <c r="AM27" s="52">
        <f t="shared" si="8"/>
        <v>39425.543029601045</v>
      </c>
      <c r="AN27" s="57">
        <f t="shared" si="9"/>
        <v>27942.014292250009</v>
      </c>
      <c r="AO27" s="57">
        <f t="shared" si="19"/>
        <v>6436.8081401172531</v>
      </c>
    </row>
    <row r="28" spans="2:41" x14ac:dyDescent="0.25">
      <c r="B28" s="41" t="s">
        <v>19</v>
      </c>
      <c r="C28" s="42"/>
      <c r="D28" s="42"/>
      <c r="E28" s="43"/>
      <c r="F28" s="44"/>
      <c r="G28" s="42"/>
      <c r="H28" s="43"/>
      <c r="I28" s="43"/>
      <c r="J28" s="45"/>
      <c r="L28" s="6">
        <v>25</v>
      </c>
      <c r="M28" s="52">
        <f t="shared" si="0"/>
        <v>24531.538935183249</v>
      </c>
      <c r="N28" s="52">
        <f t="shared" si="10"/>
        <v>9613.0913087034969</v>
      </c>
      <c r="P28" s="6">
        <v>25</v>
      </c>
      <c r="Q28" s="52">
        <f t="shared" si="11"/>
        <v>-16827.922745371725</v>
      </c>
      <c r="R28" s="52">
        <f t="shared" si="12"/>
        <v>11479.163916092448</v>
      </c>
      <c r="T28" s="6">
        <v>25</v>
      </c>
      <c r="U28" s="52">
        <f t="shared" si="1"/>
        <v>-468.46106481674997</v>
      </c>
      <c r="V28" s="52">
        <f t="shared" si="2"/>
        <v>-12886.908691296503</v>
      </c>
      <c r="X28" s="6">
        <v>24</v>
      </c>
      <c r="Y28" s="55">
        <v>12</v>
      </c>
      <c r="Z28" s="52">
        <f t="shared" si="20"/>
        <v>-10192.927132982939</v>
      </c>
      <c r="AA28" s="52">
        <f t="shared" si="21"/>
        <v>-14173.332774985527</v>
      </c>
      <c r="AB28" s="52">
        <f t="shared" si="22"/>
        <v>2646.2434651815647</v>
      </c>
      <c r="AC28" s="52">
        <f t="shared" si="23"/>
        <v>4943.267765011371</v>
      </c>
      <c r="AD28" s="52">
        <f t="shared" si="24"/>
        <v>2073.1936642192481</v>
      </c>
      <c r="AE28" s="52">
        <f t="shared" si="16"/>
        <v>119.24291736553175</v>
      </c>
      <c r="AF28" s="52">
        <f t="shared" si="17"/>
        <v>277.28028291677629</v>
      </c>
      <c r="AG28" s="52">
        <f t="shared" si="4"/>
        <v>199.03959020364468</v>
      </c>
      <c r="AH28" s="52">
        <f t="shared" si="5"/>
        <v>-89.385809070763187</v>
      </c>
      <c r="AI28" s="52">
        <f t="shared" si="6"/>
        <v>220.32597670359689</v>
      </c>
      <c r="AJ28" s="52">
        <f t="shared" si="7"/>
        <v>1885.299190373235</v>
      </c>
      <c r="AK28" s="52">
        <f t="shared" si="18"/>
        <v>-300.12264954170985</v>
      </c>
      <c r="AM28" s="52">
        <f t="shared" si="8"/>
        <v>37166.466100947495</v>
      </c>
      <c r="AN28" s="57">
        <f t="shared" si="9"/>
        <v>26086.944927859447</v>
      </c>
      <c r="AO28" s="57">
        <f t="shared" si="19"/>
        <v>5258.3144551637015</v>
      </c>
    </row>
    <row r="29" spans="2:41" ht="18" x14ac:dyDescent="0.25">
      <c r="B29" s="3" t="s">
        <v>12</v>
      </c>
      <c r="E29" s="15" t="s">
        <v>44</v>
      </c>
      <c r="F29" s="4"/>
      <c r="G29" s="20">
        <v>-20000</v>
      </c>
      <c r="H29" s="15">
        <v>10000</v>
      </c>
      <c r="I29" s="19"/>
      <c r="J29" s="40" t="s">
        <v>24</v>
      </c>
      <c r="L29" s="6">
        <v>26</v>
      </c>
      <c r="M29" s="52">
        <f t="shared" si="0"/>
        <v>24493.970231495834</v>
      </c>
      <c r="N29" s="52">
        <f t="shared" si="10"/>
        <v>9691.8557339453873</v>
      </c>
      <c r="P29" s="6">
        <v>26</v>
      </c>
      <c r="Q29" s="52">
        <f t="shared" si="11"/>
        <v>-16854.220837952915</v>
      </c>
      <c r="R29" s="52">
        <f t="shared" si="12"/>
        <v>11534.299013761771</v>
      </c>
      <c r="T29" s="6">
        <v>26</v>
      </c>
      <c r="U29" s="52">
        <f t="shared" si="1"/>
        <v>-506.02976850416508</v>
      </c>
      <c r="V29" s="52">
        <f t="shared" si="2"/>
        <v>-12808.144266054613</v>
      </c>
      <c r="X29" s="6">
        <v>25</v>
      </c>
      <c r="Y29" s="55">
        <v>12.5</v>
      </c>
      <c r="Z29" s="52">
        <f t="shared" si="20"/>
        <v>-8610.6561923647514</v>
      </c>
      <c r="AA29" s="52">
        <f t="shared" si="21"/>
        <v>-11686.793527809152</v>
      </c>
      <c r="AB29" s="52">
        <f t="shared" si="22"/>
        <v>3682.840297291189</v>
      </c>
      <c r="AC29" s="52">
        <f t="shared" si="23"/>
        <v>5002.8892236941365</v>
      </c>
      <c r="AD29" s="52">
        <f t="shared" si="24"/>
        <v>1569.7837907732405</v>
      </c>
      <c r="AE29" s="52">
        <f t="shared" si="16"/>
        <v>-802.93150514279182</v>
      </c>
      <c r="AF29" s="52">
        <f t="shared" si="17"/>
        <v>324.57056064158638</v>
      </c>
      <c r="AG29" s="52">
        <f t="shared" si="4"/>
        <v>217.66254819060339</v>
      </c>
      <c r="AH29" s="52">
        <f t="shared" si="5"/>
        <v>-123.70581268623707</v>
      </c>
      <c r="AI29" s="52">
        <f t="shared" si="6"/>
        <v>235.55197412846206</v>
      </c>
      <c r="AJ29" s="52">
        <f t="shared" si="7"/>
        <v>1368.9190428178913</v>
      </c>
      <c r="AK29" s="52">
        <f t="shared" si="18"/>
        <v>-1256.1460274618573</v>
      </c>
      <c r="AM29" s="52">
        <f t="shared" si="8"/>
        <v>34448.55140113266</v>
      </c>
      <c r="AN29" s="57">
        <f t="shared" si="9"/>
        <v>24495.594826138524</v>
      </c>
      <c r="AO29" s="57">
        <f t="shared" si="19"/>
        <v>4900.4260291151477</v>
      </c>
    </row>
    <row r="30" spans="2:41" ht="18" x14ac:dyDescent="0.25">
      <c r="B30" s="3" t="s">
        <v>13</v>
      </c>
      <c r="E30" s="7" t="s">
        <v>45</v>
      </c>
      <c r="F30" s="17"/>
      <c r="G30" s="65">
        <v>3500</v>
      </c>
      <c r="H30" s="66"/>
      <c r="I30" s="13"/>
      <c r="J30" s="9" t="s">
        <v>24</v>
      </c>
      <c r="L30" s="6">
        <v>27</v>
      </c>
      <c r="M30" s="52">
        <f t="shared" si="0"/>
        <v>24455.032620941842</v>
      </c>
      <c r="N30" s="52">
        <f t="shared" si="10"/>
        <v>9769.952498697734</v>
      </c>
      <c r="P30" s="6">
        <v>27</v>
      </c>
      <c r="Q30" s="52">
        <f t="shared" si="11"/>
        <v>-16881.477165340712</v>
      </c>
      <c r="R30" s="52">
        <f t="shared" si="12"/>
        <v>11588.966749088413</v>
      </c>
      <c r="T30" s="6">
        <v>27</v>
      </c>
      <c r="U30" s="52">
        <f t="shared" si="1"/>
        <v>-544.96737905816008</v>
      </c>
      <c r="V30" s="52">
        <f t="shared" si="2"/>
        <v>-12730.047501302266</v>
      </c>
      <c r="X30" s="6">
        <v>26</v>
      </c>
      <c r="Y30" s="55">
        <v>13</v>
      </c>
      <c r="Z30" s="52">
        <f t="shared" si="20"/>
        <v>-6573.0130698725015</v>
      </c>
      <c r="AA30" s="52">
        <f t="shared" si="21"/>
        <v>-9285.7153541049338</v>
      </c>
      <c r="AB30" s="52">
        <f t="shared" si="22"/>
        <v>4467.7321926778095</v>
      </c>
      <c r="AC30" s="52">
        <f t="shared" si="23"/>
        <v>4601.4234711227409</v>
      </c>
      <c r="AD30" s="52">
        <f t="shared" si="24"/>
        <v>748.52943409548936</v>
      </c>
      <c r="AE30" s="52">
        <f t="shared" si="16"/>
        <v>-1424.8896959374372</v>
      </c>
      <c r="AF30" s="52">
        <f t="shared" si="17"/>
        <v>387.76158564583545</v>
      </c>
      <c r="AG30" s="52">
        <f t="shared" si="4"/>
        <v>244.94232493668076</v>
      </c>
      <c r="AH30" s="52">
        <f t="shared" si="5"/>
        <v>-163.57546044041376</v>
      </c>
      <c r="AI30" s="52">
        <f t="shared" si="6"/>
        <v>234.94993965414662</v>
      </c>
      <c r="AJ30" s="52">
        <f t="shared" si="7"/>
        <v>524.34330889006765</v>
      </c>
      <c r="AK30" s="52">
        <f t="shared" si="18"/>
        <v>-1904.7819605282646</v>
      </c>
      <c r="AM30" s="52">
        <f t="shared" si="8"/>
        <v>31430.642111809437</v>
      </c>
      <c r="AN30" s="57">
        <f t="shared" si="9"/>
        <v>23499.421157581171</v>
      </c>
      <c r="AO30" s="57">
        <f t="shared" si="19"/>
        <v>5926.8388819253232</v>
      </c>
    </row>
    <row r="31" spans="2:41" ht="18" x14ac:dyDescent="0.25">
      <c r="B31" s="74" t="s">
        <v>14</v>
      </c>
      <c r="C31" s="75"/>
      <c r="D31" s="76"/>
      <c r="E31" s="7" t="s">
        <v>46</v>
      </c>
      <c r="F31" s="17"/>
      <c r="G31" s="65">
        <v>1</v>
      </c>
      <c r="H31" s="66"/>
      <c r="I31" s="13"/>
      <c r="J31" s="9" t="s">
        <v>29</v>
      </c>
      <c r="L31" s="6">
        <v>28</v>
      </c>
      <c r="M31" s="52">
        <f t="shared" si="0"/>
        <v>24414.737964294636</v>
      </c>
      <c r="N31" s="52">
        <f t="shared" si="10"/>
        <v>9847.357813929455</v>
      </c>
      <c r="P31" s="6">
        <v>28</v>
      </c>
      <c r="Q31" s="52">
        <f t="shared" si="11"/>
        <v>-16909.683424993756</v>
      </c>
      <c r="R31" s="52">
        <f t="shared" si="12"/>
        <v>11643.150469750617</v>
      </c>
      <c r="T31" s="6">
        <v>28</v>
      </c>
      <c r="U31" s="52">
        <f t="shared" si="1"/>
        <v>-585.26203570536472</v>
      </c>
      <c r="V31" s="52">
        <f t="shared" si="2"/>
        <v>-12652.642186070545</v>
      </c>
      <c r="X31" s="6">
        <v>27</v>
      </c>
      <c r="Y31" s="55">
        <v>13.5</v>
      </c>
      <c r="Z31" s="52">
        <f t="shared" si="20"/>
        <v>-4245.580794271661</v>
      </c>
      <c r="AA31" s="52">
        <f t="shared" si="21"/>
        <v>-7163.1148305357437</v>
      </c>
      <c r="AB31" s="52">
        <f t="shared" si="22"/>
        <v>4841.9969097255544</v>
      </c>
      <c r="AC31" s="52">
        <f t="shared" si="23"/>
        <v>3888.9786231540224</v>
      </c>
      <c r="AD31" s="52">
        <f t="shared" si="24"/>
        <v>79.810464152280161</v>
      </c>
      <c r="AE31" s="52">
        <f t="shared" si="16"/>
        <v>-1493.2089989348342</v>
      </c>
      <c r="AF31" s="52">
        <f t="shared" si="17"/>
        <v>467.9550227629137</v>
      </c>
      <c r="AG31" s="52">
        <f t="shared" si="4"/>
        <v>283.00737740709155</v>
      </c>
      <c r="AH31" s="52">
        <f t="shared" si="5"/>
        <v>-196.54457476120498</v>
      </c>
      <c r="AI31" s="52">
        <f t="shared" si="6"/>
        <v>214.11878545918299</v>
      </c>
      <c r="AJ31" s="52">
        <f t="shared" si="7"/>
        <v>-191.59998384942853</v>
      </c>
      <c r="AK31" s="52">
        <f t="shared" si="18"/>
        <v>-1990.3351618011086</v>
      </c>
      <c r="AM31" s="52">
        <f t="shared" si="8"/>
        <v>28334.698244114621</v>
      </c>
      <c r="AN31" s="57">
        <f t="shared" si="9"/>
        <v>23297.515644290874</v>
      </c>
      <c r="AO31" s="57">
        <f t="shared" si="19"/>
        <v>7873.1135834141614</v>
      </c>
    </row>
    <row r="32" spans="2:41" ht="18" x14ac:dyDescent="0.25">
      <c r="B32" s="3" t="s">
        <v>15</v>
      </c>
      <c r="E32" s="7" t="s">
        <v>47</v>
      </c>
      <c r="F32" s="17"/>
      <c r="G32" s="67">
        <f>(4/3)*PI()*G30^3</f>
        <v>179594380030.21649</v>
      </c>
      <c r="H32" s="68"/>
      <c r="I32" s="13"/>
      <c r="J32" s="9" t="s">
        <v>30</v>
      </c>
      <c r="L32" s="6">
        <v>29</v>
      </c>
      <c r="M32" s="52">
        <f t="shared" si="0"/>
        <v>24373.09853569698</v>
      </c>
      <c r="N32" s="52">
        <f t="shared" si="10"/>
        <v>9924.048101231685</v>
      </c>
      <c r="P32" s="6">
        <v>29</v>
      </c>
      <c r="Q32" s="52">
        <f t="shared" si="11"/>
        <v>-16938.831025012114</v>
      </c>
      <c r="R32" s="52">
        <f t="shared" si="12"/>
        <v>11696.833670862179</v>
      </c>
      <c r="T32" s="6">
        <v>29</v>
      </c>
      <c r="U32" s="52">
        <f t="shared" si="1"/>
        <v>-626.90146430302138</v>
      </c>
      <c r="V32" s="52">
        <f t="shared" si="2"/>
        <v>-12575.951898768315</v>
      </c>
      <c r="X32" s="6">
        <v>28</v>
      </c>
      <c r="Y32" s="55">
        <v>14</v>
      </c>
      <c r="Z32" s="52">
        <f t="shared" si="20"/>
        <v>-1814.6060313898488</v>
      </c>
      <c r="AA32" s="52">
        <f t="shared" si="21"/>
        <v>-5405.2766438255867</v>
      </c>
      <c r="AB32" s="52">
        <f t="shared" si="22"/>
        <v>4881.9021418016946</v>
      </c>
      <c r="AC32" s="52">
        <f t="shared" si="23"/>
        <v>3142.3741236866053</v>
      </c>
      <c r="AD32" s="52">
        <f t="shared" si="24"/>
        <v>-228.50923531088239</v>
      </c>
      <c r="AE32" s="52">
        <f t="shared" si="16"/>
        <v>-1232.6540634206754</v>
      </c>
      <c r="AF32" s="52">
        <f t="shared" si="17"/>
        <v>564.63616719073707</v>
      </c>
      <c r="AG32" s="52">
        <f t="shared" si="4"/>
        <v>334.03243360070724</v>
      </c>
      <c r="AH32" s="52">
        <f t="shared" si="5"/>
        <v>-213.08597829159879</v>
      </c>
      <c r="AI32" s="52">
        <f t="shared" si="6"/>
        <v>180.51016382534684</v>
      </c>
      <c r="AJ32" s="52">
        <f t="shared" si="7"/>
        <v>-580.05942421002067</v>
      </c>
      <c r="AK32" s="52">
        <f t="shared" si="18"/>
        <v>-1747.1966608467294</v>
      </c>
      <c r="AM32" s="52">
        <f t="shared" si="8"/>
        <v>25346.068759443162</v>
      </c>
      <c r="AN32" s="57">
        <f t="shared" si="9"/>
        <v>23833.403077747007</v>
      </c>
      <c r="AO32" s="57">
        <f t="shared" si="19"/>
        <v>10109.671162643062</v>
      </c>
    </row>
    <row r="33" spans="2:41" ht="18" x14ac:dyDescent="0.25">
      <c r="B33" s="74" t="s">
        <v>16</v>
      </c>
      <c r="C33" s="75"/>
      <c r="E33" s="7" t="s">
        <v>48</v>
      </c>
      <c r="F33" s="17"/>
      <c r="G33" s="67">
        <f>G31*G32</f>
        <v>179594380030.21649</v>
      </c>
      <c r="H33" s="68"/>
      <c r="I33" s="13"/>
      <c r="J33" s="9" t="s">
        <v>27</v>
      </c>
      <c r="L33" s="6">
        <v>30</v>
      </c>
      <c r="M33" s="52">
        <f t="shared" si="0"/>
        <v>24330.127018922194</v>
      </c>
      <c r="N33" s="52">
        <f t="shared" si="10"/>
        <v>10000</v>
      </c>
      <c r="P33" s="6">
        <v>30</v>
      </c>
      <c r="Q33" s="52">
        <f t="shared" si="11"/>
        <v>-16968.911086754466</v>
      </c>
      <c r="R33" s="52">
        <f t="shared" si="12"/>
        <v>11750</v>
      </c>
      <c r="T33" s="6">
        <v>30</v>
      </c>
      <c r="U33" s="52">
        <f t="shared" si="1"/>
        <v>-669.8729810778068</v>
      </c>
      <c r="V33" s="52">
        <f t="shared" si="2"/>
        <v>-12500</v>
      </c>
      <c r="X33" s="6">
        <v>29</v>
      </c>
      <c r="Y33" s="55">
        <v>14.5</v>
      </c>
      <c r="Z33" s="52">
        <f t="shared" si="20"/>
        <v>597.78138509713824</v>
      </c>
      <c r="AA33" s="52">
        <f t="shared" si="21"/>
        <v>-3988.1713399098685</v>
      </c>
      <c r="AB33" s="52">
        <f t="shared" si="22"/>
        <v>4767.6475241462531</v>
      </c>
      <c r="AC33" s="52">
        <f t="shared" si="23"/>
        <v>2526.0470919762674</v>
      </c>
      <c r="AD33" s="52">
        <f t="shared" si="24"/>
        <v>-266.97815697482537</v>
      </c>
      <c r="AE33" s="52">
        <f t="shared" si="16"/>
        <v>-890.20130821415216</v>
      </c>
      <c r="AF33" s="52">
        <f t="shared" si="17"/>
        <v>676.92465261180564</v>
      </c>
      <c r="AG33" s="52">
        <f t="shared" si="4"/>
        <v>400.81119318180225</v>
      </c>
      <c r="AH33" s="52">
        <f t="shared" si="5"/>
        <v>-213.81335989715018</v>
      </c>
      <c r="AI33" s="52">
        <f t="shared" si="6"/>
        <v>145.20291564833721</v>
      </c>
      <c r="AJ33" s="52">
        <f t="shared" si="7"/>
        <v>-730.08944968948083</v>
      </c>
      <c r="AK33" s="52">
        <f t="shared" si="18"/>
        <v>-1436.2154170442916</v>
      </c>
      <c r="AM33" s="52">
        <f t="shared" si="8"/>
        <v>22548.263079794186</v>
      </c>
      <c r="AN33" s="57">
        <f t="shared" si="9"/>
        <v>24898.544845491073</v>
      </c>
      <c r="AO33" s="57">
        <f t="shared" si="19"/>
        <v>12352.956199813972</v>
      </c>
    </row>
    <row r="34" spans="2:41" ht="18" x14ac:dyDescent="0.25">
      <c r="B34" s="74" t="s">
        <v>17</v>
      </c>
      <c r="C34" s="75"/>
      <c r="E34" s="7" t="s">
        <v>49</v>
      </c>
      <c r="F34" s="17"/>
      <c r="G34" s="65">
        <f>G30*G6</f>
        <v>7000</v>
      </c>
      <c r="H34" s="66"/>
      <c r="I34" s="13"/>
      <c r="J34" s="9" t="s">
        <v>24</v>
      </c>
      <c r="L34" s="6">
        <v>31</v>
      </c>
      <c r="M34" s="52">
        <f t="shared" si="0"/>
        <v>24285.83650351056</v>
      </c>
      <c r="N34" s="52">
        <f t="shared" si="10"/>
        <v>10075.190374550271</v>
      </c>
      <c r="P34" s="6">
        <v>31</v>
      </c>
      <c r="Q34" s="52">
        <f t="shared" si="11"/>
        <v>-16999.914447542607</v>
      </c>
      <c r="R34" s="52">
        <f t="shared" si="12"/>
        <v>11802.633262185189</v>
      </c>
      <c r="T34" s="6">
        <v>31</v>
      </c>
      <c r="U34" s="52">
        <f t="shared" si="1"/>
        <v>-714.16349648943833</v>
      </c>
      <c r="V34" s="52">
        <f t="shared" si="2"/>
        <v>-12424.809625449729</v>
      </c>
      <c r="X34" s="6">
        <v>30</v>
      </c>
      <c r="Y34" s="55">
        <v>15</v>
      </c>
      <c r="Z34" s="52">
        <f t="shared" si="20"/>
        <v>2948.2328775484116</v>
      </c>
      <c r="AA34" s="52">
        <f t="shared" si="21"/>
        <v>-2836.4229574485039</v>
      </c>
      <c r="AB34" s="52">
        <f t="shared" si="22"/>
        <v>4634.1584456588407</v>
      </c>
      <c r="AC34" s="52">
        <f t="shared" si="23"/>
        <v>2080.9464378691914</v>
      </c>
      <c r="AD34" s="52">
        <f t="shared" si="24"/>
        <v>-158.56612339967808</v>
      </c>
      <c r="AE34" s="52">
        <f t="shared" si="16"/>
        <v>-558.5152526964232</v>
      </c>
      <c r="AF34" s="52">
        <f t="shared" si="17"/>
        <v>804.34375684142549</v>
      </c>
      <c r="AG34" s="52">
        <f t="shared" si="4"/>
        <v>487.5762854483994</v>
      </c>
      <c r="AH34" s="52">
        <f t="shared" si="5"/>
        <v>-204.57221429083296</v>
      </c>
      <c r="AI34" s="52">
        <f t="shared" si="6"/>
        <v>114.43040002213273</v>
      </c>
      <c r="AJ34" s="52">
        <f t="shared" si="7"/>
        <v>-758.33766595027066</v>
      </c>
      <c r="AK34" s="52">
        <f t="shared" si="18"/>
        <v>-1160.5219381669554</v>
      </c>
      <c r="AM34" s="52">
        <f t="shared" si="8"/>
        <v>19940.020099127014</v>
      </c>
      <c r="AN34" s="57">
        <f t="shared" si="9"/>
        <v>26294.393823488401</v>
      </c>
      <c r="AO34" s="57">
        <f t="shared" si="19"/>
        <v>14530.210333846764</v>
      </c>
    </row>
    <row r="35" spans="2:41" x14ac:dyDescent="0.25">
      <c r="B35" s="77" t="s">
        <v>18</v>
      </c>
      <c r="C35" s="78"/>
      <c r="D35" s="2"/>
      <c r="E35" s="7"/>
      <c r="F35" s="17"/>
      <c r="G35" s="65" t="s">
        <v>31</v>
      </c>
      <c r="H35" s="66"/>
      <c r="I35" s="13"/>
      <c r="J35" s="9" t="s">
        <v>26</v>
      </c>
      <c r="L35" s="6">
        <v>32</v>
      </c>
      <c r="M35" s="52">
        <f t="shared" si="0"/>
        <v>24240.240480782129</v>
      </c>
      <c r="N35" s="52">
        <f t="shared" si="10"/>
        <v>10149.596321166024</v>
      </c>
      <c r="P35" s="6">
        <v>32</v>
      </c>
      <c r="Q35" s="52">
        <f t="shared" si="11"/>
        <v>-17031.831663452511</v>
      </c>
      <c r="R35" s="52">
        <f t="shared" si="12"/>
        <v>11854.717424816217</v>
      </c>
      <c r="T35" s="6">
        <v>32</v>
      </c>
      <c r="U35" s="52">
        <f t="shared" si="1"/>
        <v>-759.75951921787055</v>
      </c>
      <c r="V35" s="52">
        <f t="shared" si="2"/>
        <v>-12350.403678833976</v>
      </c>
      <c r="X35" s="6">
        <v>31</v>
      </c>
      <c r="Y35" s="55">
        <v>15.5</v>
      </c>
      <c r="Z35" s="52">
        <f t="shared" si="20"/>
        <v>5245.4913349528724</v>
      </c>
      <c r="AA35" s="52">
        <f t="shared" si="21"/>
        <v>-1865.7641451009611</v>
      </c>
      <c r="AB35" s="52">
        <f t="shared" si="22"/>
        <v>4554.8753839590017</v>
      </c>
      <c r="AC35" s="52">
        <f t="shared" si="23"/>
        <v>1801.6888115209799</v>
      </c>
      <c r="AD35" s="52">
        <f t="shared" si="24"/>
        <v>24.342955029082759</v>
      </c>
      <c r="AE35" s="52">
        <f t="shared" si="16"/>
        <v>-247.3682486286433</v>
      </c>
      <c r="AF35" s="52">
        <f t="shared" si="17"/>
        <v>946.40443165068473</v>
      </c>
      <c r="AG35" s="52">
        <f t="shared" si="4"/>
        <v>600.75200699272648</v>
      </c>
      <c r="AH35" s="52">
        <f t="shared" si="5"/>
        <v>-190.59652225736636</v>
      </c>
      <c r="AI35" s="52">
        <f t="shared" si="6"/>
        <v>89.583258649088066</v>
      </c>
      <c r="AJ35" s="52">
        <f t="shared" si="7"/>
        <v>-731.46495436423561</v>
      </c>
      <c r="AK35" s="52">
        <f t="shared" si="18"/>
        <v>-937.70351427045784</v>
      </c>
      <c r="AM35" s="52">
        <f t="shared" si="8"/>
        <v>17476.071182294076</v>
      </c>
      <c r="AN35" s="57">
        <f t="shared" si="9"/>
        <v>27895.002984232571</v>
      </c>
      <c r="AO35" s="57">
        <f t="shared" si="19"/>
        <v>16657.678235177609</v>
      </c>
    </row>
    <row r="36" spans="2:41" x14ac:dyDescent="0.25">
      <c r="L36" s="6">
        <v>33</v>
      </c>
      <c r="M36" s="52">
        <f t="shared" si="0"/>
        <v>24193.352839727122</v>
      </c>
      <c r="N36" s="52">
        <f t="shared" si="10"/>
        <v>10223.195175075136</v>
      </c>
      <c r="P36" s="6">
        <v>33</v>
      </c>
      <c r="Q36" s="52">
        <f t="shared" si="11"/>
        <v>-17064.653012191015</v>
      </c>
      <c r="R36" s="52">
        <f t="shared" si="12"/>
        <v>11906.236622552595</v>
      </c>
      <c r="T36" s="6">
        <v>33</v>
      </c>
      <c r="U36" s="52">
        <f t="shared" si="1"/>
        <v>-806.64716027287977</v>
      </c>
      <c r="V36" s="52">
        <f t="shared" si="2"/>
        <v>-12276.804824924864</v>
      </c>
      <c r="X36" s="6">
        <v>32</v>
      </c>
      <c r="Y36" s="55">
        <v>16</v>
      </c>
      <c r="Z36" s="52">
        <f t="shared" si="20"/>
        <v>7525.971896311009</v>
      </c>
      <c r="AA36" s="52">
        <f t="shared" si="21"/>
        <v>-995.84077041905152</v>
      </c>
      <c r="AB36" s="52">
        <f t="shared" si="22"/>
        <v>4567.0468614735428</v>
      </c>
      <c r="AC36" s="52">
        <f t="shared" si="23"/>
        <v>1678.0046872066582</v>
      </c>
      <c r="AD36" s="52">
        <f t="shared" si="24"/>
        <v>245.41226128463438</v>
      </c>
      <c r="AE36" s="52">
        <f t="shared" si="16"/>
        <v>59.027905486399504</v>
      </c>
      <c r="AF36" s="52">
        <f t="shared" si="17"/>
        <v>1100.6020001216391</v>
      </c>
      <c r="AG36" s="52">
        <f t="shared" si="4"/>
        <v>749.60063156126023</v>
      </c>
      <c r="AH36" s="52">
        <f t="shared" si="5"/>
        <v>-174.98586661727813</v>
      </c>
      <c r="AI36" s="52">
        <f t="shared" si="6"/>
        <v>69.901863361825363</v>
      </c>
      <c r="AJ36" s="52">
        <f t="shared" si="7"/>
        <v>-680.20387221972658</v>
      </c>
      <c r="AK36" s="52">
        <f t="shared" si="18"/>
        <v>-760.47458943668607</v>
      </c>
      <c r="AM36" s="52">
        <f t="shared" si="8"/>
        <v>15092.404961699687</v>
      </c>
      <c r="AN36" s="57">
        <f t="shared" si="9"/>
        <v>29640.979118188949</v>
      </c>
      <c r="AO36" s="57">
        <f t="shared" si="19"/>
        <v>18788.731933651896</v>
      </c>
    </row>
    <row r="37" spans="2:41" x14ac:dyDescent="0.25">
      <c r="E37" s="6"/>
      <c r="G37" s="6"/>
      <c r="H37" s="6"/>
      <c r="I37" s="5"/>
      <c r="L37" s="6">
        <v>34</v>
      </c>
      <c r="M37" s="52">
        <f t="shared" si="0"/>
        <v>24145.187862775208</v>
      </c>
      <c r="N37" s="52">
        <f t="shared" si="10"/>
        <v>10295.964517353736</v>
      </c>
      <c r="P37" s="6">
        <v>34</v>
      </c>
      <c r="Q37" s="52">
        <f t="shared" si="11"/>
        <v>-17098.368496057356</v>
      </c>
      <c r="R37" s="52">
        <f t="shared" si="12"/>
        <v>11957.175162147614</v>
      </c>
      <c r="T37" s="6">
        <v>34</v>
      </c>
      <c r="U37" s="52">
        <f t="shared" si="1"/>
        <v>-854.81213722479151</v>
      </c>
      <c r="V37" s="52">
        <f t="shared" si="2"/>
        <v>-12204.035482646264</v>
      </c>
      <c r="X37" s="6">
        <v>33</v>
      </c>
      <c r="Y37" s="55">
        <v>16.5</v>
      </c>
      <c r="Z37" s="52">
        <f t="shared" si="20"/>
        <v>9840.17185970836</v>
      </c>
      <c r="AA37" s="52">
        <f t="shared" si="21"/>
        <v>-149.45993862992248</v>
      </c>
      <c r="AB37" s="52">
        <f t="shared" si="22"/>
        <v>4689.7529921158603</v>
      </c>
      <c r="AC37" s="52">
        <f t="shared" si="23"/>
        <v>1707.518639949858</v>
      </c>
      <c r="AD37" s="52">
        <f t="shared" si="24"/>
        <v>479.15964287297436</v>
      </c>
      <c r="AE37" s="52">
        <f t="shared" si="16"/>
        <v>381.69743479747001</v>
      </c>
      <c r="AF37" s="52">
        <f t="shared" si="17"/>
        <v>1256.2871954979134</v>
      </c>
      <c r="AG37" s="52">
        <f t="shared" si="4"/>
        <v>945.87412706955206</v>
      </c>
      <c r="AH37" s="52">
        <f t="shared" si="5"/>
        <v>-159.22558040428999</v>
      </c>
      <c r="AI37" s="52">
        <f t="shared" si="6"/>
        <v>54.1569819743737</v>
      </c>
      <c r="AJ37" s="52">
        <f t="shared" si="7"/>
        <v>-617.9019722206491</v>
      </c>
      <c r="AK37" s="52">
        <f t="shared" si="18"/>
        <v>-618.33367424645576</v>
      </c>
      <c r="AM37" s="52">
        <f t="shared" si="8"/>
        <v>12717.56050478888</v>
      </c>
      <c r="AN37" s="57">
        <f t="shared" si="9"/>
        <v>31519.000518144359</v>
      </c>
      <c r="AO37" s="57">
        <f t="shared" si="19"/>
        <v>20994.505017743035</v>
      </c>
    </row>
    <row r="38" spans="2:41" x14ac:dyDescent="0.25">
      <c r="B38" s="46" t="s">
        <v>20</v>
      </c>
      <c r="C38" s="47"/>
      <c r="D38" s="47"/>
      <c r="E38" s="48"/>
      <c r="F38" s="47"/>
      <c r="G38" s="48"/>
      <c r="H38" s="48"/>
      <c r="I38" s="49"/>
      <c r="J38" s="50"/>
      <c r="L38" s="6">
        <v>35</v>
      </c>
      <c r="M38" s="52">
        <f t="shared" si="0"/>
        <v>24095.760221444958</v>
      </c>
      <c r="N38" s="52">
        <f t="shared" si="10"/>
        <v>10367.882181755231</v>
      </c>
      <c r="P38" s="6">
        <v>35</v>
      </c>
      <c r="Q38" s="52">
        <f t="shared" si="11"/>
        <v>-17132.967844988529</v>
      </c>
      <c r="R38" s="52">
        <f t="shared" si="12"/>
        <v>12007.517527228661</v>
      </c>
      <c r="T38" s="6">
        <v>35</v>
      </c>
      <c r="U38" s="52">
        <f t="shared" si="1"/>
        <v>-904.23977855504108</v>
      </c>
      <c r="V38" s="52">
        <f t="shared" si="2"/>
        <v>-12132.117818244769</v>
      </c>
      <c r="X38" s="6">
        <v>34</v>
      </c>
      <c r="Y38" s="55">
        <v>17</v>
      </c>
      <c r="Z38" s="52">
        <f t="shared" si="20"/>
        <v>12244.943311125411</v>
      </c>
      <c r="AA38" s="52">
        <f t="shared" si="21"/>
        <v>752.01156069469027</v>
      </c>
      <c r="AB38" s="52">
        <f t="shared" si="22"/>
        <v>4929.332813552347</v>
      </c>
      <c r="AC38" s="52">
        <f t="shared" si="23"/>
        <v>1898.367357348593</v>
      </c>
      <c r="AD38" s="52">
        <f t="shared" si="24"/>
        <v>682.12685643872169</v>
      </c>
      <c r="AE38" s="52">
        <f t="shared" si="16"/>
        <v>736.21606923396484</v>
      </c>
      <c r="AF38" s="52">
        <f t="shared" si="17"/>
        <v>1376.598759817462</v>
      </c>
      <c r="AG38" s="52">
        <f t="shared" si="4"/>
        <v>1197.8342505396072</v>
      </c>
      <c r="AH38" s="52">
        <f t="shared" si="5"/>
        <v>-143.91532361151013</v>
      </c>
      <c r="AI38" s="52">
        <f t="shared" si="6"/>
        <v>41.275533845919981</v>
      </c>
      <c r="AJ38" s="52">
        <f t="shared" si="7"/>
        <v>-550.55657976723023</v>
      </c>
      <c r="AK38" s="52">
        <f t="shared" si="18"/>
        <v>-502.89371515156216</v>
      </c>
      <c r="AM38" s="52">
        <f t="shared" si="8"/>
        <v>10279.895535687929</v>
      </c>
      <c r="AN38" s="57">
        <f t="shared" si="9"/>
        <v>33544.920022429869</v>
      </c>
      <c r="AO38" s="57">
        <f t="shared" si="19"/>
        <v>23356.239808928753</v>
      </c>
    </row>
    <row r="39" spans="2:41" ht="18" x14ac:dyDescent="0.25">
      <c r="B39" s="3" t="s">
        <v>12</v>
      </c>
      <c r="E39" s="15" t="s">
        <v>50</v>
      </c>
      <c r="F39" s="4"/>
      <c r="G39" s="15">
        <v>-5000</v>
      </c>
      <c r="H39" s="21">
        <v>-15000</v>
      </c>
      <c r="I39" s="19"/>
      <c r="J39" s="40" t="s">
        <v>24</v>
      </c>
      <c r="L39" s="6">
        <v>36</v>
      </c>
      <c r="M39" s="52">
        <f t="shared" si="0"/>
        <v>24045.084971874738</v>
      </c>
      <c r="N39" s="52">
        <f t="shared" si="10"/>
        <v>10438.926261462366</v>
      </c>
      <c r="P39" s="6">
        <v>36</v>
      </c>
      <c r="Q39" s="52">
        <f t="shared" si="11"/>
        <v>-17168.440519687683</v>
      </c>
      <c r="R39" s="52">
        <f t="shared" si="12"/>
        <v>12057.248383023656</v>
      </c>
      <c r="T39" s="6">
        <v>36</v>
      </c>
      <c r="U39" s="52">
        <f t="shared" si="1"/>
        <v>-954.91502812526278</v>
      </c>
      <c r="V39" s="52">
        <f t="shared" si="2"/>
        <v>-12061.073738537634</v>
      </c>
      <c r="X39" s="6">
        <v>35</v>
      </c>
      <c r="Y39" s="55">
        <v>17.5</v>
      </c>
      <c r="Z39" s="52">
        <f t="shared" si="20"/>
        <v>14794.875574956426</v>
      </c>
      <c r="AA39" s="52">
        <f t="shared" si="21"/>
        <v>1793.2222480232322</v>
      </c>
      <c r="AB39" s="52">
        <f t="shared" si="22"/>
        <v>5270.3962417717075</v>
      </c>
      <c r="AC39" s="52">
        <f t="shared" si="23"/>
        <v>2266.4753919655755</v>
      </c>
      <c r="AD39" s="52">
        <f t="shared" si="24"/>
        <v>740.19706682644949</v>
      </c>
      <c r="AE39" s="52">
        <f t="shared" si="16"/>
        <v>1103.1591436843391</v>
      </c>
      <c r="AF39" s="52">
        <f t="shared" si="17"/>
        <v>1350.9303831870282</v>
      </c>
      <c r="AG39" s="52">
        <f t="shared" si="4"/>
        <v>1481.1287542231316</v>
      </c>
      <c r="AH39" s="52">
        <f t="shared" si="5"/>
        <v>-129.26610902667704</v>
      </c>
      <c r="AI39" s="52">
        <f t="shared" si="6"/>
        <v>30.488921432105585</v>
      </c>
      <c r="AJ39" s="52">
        <f t="shared" si="7"/>
        <v>-481.46720733390168</v>
      </c>
      <c r="AK39" s="52">
        <f t="shared" si="18"/>
        <v>-408.45853197089821</v>
      </c>
      <c r="AM39" s="52">
        <f t="shared" si="8"/>
        <v>7724.0295565619253</v>
      </c>
      <c r="AN39" s="57">
        <f t="shared" si="9"/>
        <v>35749.609331390471</v>
      </c>
      <c r="AO39" s="57">
        <f t="shared" si="19"/>
        <v>25958.609602586748</v>
      </c>
    </row>
    <row r="40" spans="2:41" ht="18" x14ac:dyDescent="0.25">
      <c r="B40" s="3" t="s">
        <v>13</v>
      </c>
      <c r="E40" s="7" t="s">
        <v>51</v>
      </c>
      <c r="F40" s="17"/>
      <c r="G40" s="65">
        <v>5000</v>
      </c>
      <c r="H40" s="66"/>
      <c r="I40" s="13"/>
      <c r="J40" s="9" t="s">
        <v>24</v>
      </c>
      <c r="L40" s="6">
        <v>37</v>
      </c>
      <c r="M40" s="52">
        <f t="shared" si="0"/>
        <v>23993.177550236465</v>
      </c>
      <c r="N40" s="52">
        <f t="shared" si="10"/>
        <v>10509.075115760241</v>
      </c>
      <c r="P40" s="6">
        <v>37</v>
      </c>
      <c r="Q40" s="52">
        <f t="shared" si="11"/>
        <v>-17204.775714834475</v>
      </c>
      <c r="R40" s="52">
        <f t="shared" si="12"/>
        <v>12106.35258103217</v>
      </c>
      <c r="T40" s="6">
        <v>37</v>
      </c>
      <c r="U40" s="52">
        <f t="shared" si="1"/>
        <v>-1006.822449763536</v>
      </c>
      <c r="V40" s="52">
        <f t="shared" si="2"/>
        <v>-11990.924884239759</v>
      </c>
      <c r="X40" s="6">
        <v>36</v>
      </c>
      <c r="Y40" s="55">
        <v>18</v>
      </c>
      <c r="Z40" s="52">
        <f t="shared" si="20"/>
        <v>17522.598329195585</v>
      </c>
      <c r="AA40" s="52">
        <f t="shared" si="21"/>
        <v>3064.3548369665623</v>
      </c>
      <c r="AB40" s="52">
        <f t="shared" si="22"/>
        <v>5640.4947751849322</v>
      </c>
      <c r="AC40" s="52">
        <f t="shared" si="23"/>
        <v>2818.054963807745</v>
      </c>
      <c r="AD40" s="52">
        <f t="shared" si="24"/>
        <v>390.37174960737912</v>
      </c>
      <c r="AE40" s="52">
        <f t="shared" si="16"/>
        <v>1335.5262674229416</v>
      </c>
      <c r="AF40" s="52">
        <f t="shared" si="17"/>
        <v>919.19897357015896</v>
      </c>
      <c r="AG40" s="52">
        <f t="shared" si="4"/>
        <v>1645.7728793158894</v>
      </c>
      <c r="AH40" s="52">
        <f t="shared" si="5"/>
        <v>-115.4143681263963</v>
      </c>
      <c r="AI40" s="52">
        <f t="shared" si="6"/>
        <v>21.333093647130742</v>
      </c>
      <c r="AJ40" s="52">
        <f t="shared" si="7"/>
        <v>-413.41285583638353</v>
      </c>
      <c r="AK40" s="52">
        <f t="shared" si="18"/>
        <v>-331.57970554007841</v>
      </c>
      <c r="AM40" s="52">
        <f t="shared" si="8"/>
        <v>5080.597115580651</v>
      </c>
      <c r="AN40" s="57">
        <f t="shared" si="9"/>
        <v>38158.204349807398</v>
      </c>
      <c r="AO40" s="57">
        <f t="shared" si="19"/>
        <v>28871.9301601767</v>
      </c>
    </row>
    <row r="41" spans="2:41" ht="18" x14ac:dyDescent="0.25">
      <c r="B41" s="74" t="s">
        <v>14</v>
      </c>
      <c r="C41" s="75"/>
      <c r="D41" s="76"/>
      <c r="E41" s="7" t="s">
        <v>52</v>
      </c>
      <c r="F41" s="17"/>
      <c r="G41" s="65">
        <v>1</v>
      </c>
      <c r="H41" s="66"/>
      <c r="I41" s="13"/>
      <c r="J41" s="9" t="s">
        <v>29</v>
      </c>
      <c r="L41" s="6">
        <v>38</v>
      </c>
      <c r="M41" s="52">
        <f t="shared" si="0"/>
        <v>23940.053768033609</v>
      </c>
      <c r="N41" s="52">
        <f t="shared" si="10"/>
        <v>10578.307376628291</v>
      </c>
      <c r="P41" s="6">
        <v>38</v>
      </c>
      <c r="Q41" s="52">
        <f t="shared" si="11"/>
        <v>-17241.962362376471</v>
      </c>
      <c r="R41" s="52">
        <f t="shared" si="12"/>
        <v>12154.815163639803</v>
      </c>
      <c r="T41" s="6">
        <v>38</v>
      </c>
      <c r="U41" s="52">
        <f t="shared" si="1"/>
        <v>-1059.9462319663899</v>
      </c>
      <c r="V41" s="52">
        <f t="shared" si="2"/>
        <v>-11921.692623371709</v>
      </c>
      <c r="X41" s="6">
        <v>37</v>
      </c>
      <c r="Y41" s="55">
        <v>18.5</v>
      </c>
      <c r="Z41" s="52">
        <f t="shared" si="20"/>
        <v>20391.642185488974</v>
      </c>
      <c r="AA41" s="52">
        <f t="shared" si="21"/>
        <v>4640.3231022983018</v>
      </c>
      <c r="AB41" s="52">
        <f t="shared" si="22"/>
        <v>5835.6806499886216</v>
      </c>
      <c r="AC41" s="52">
        <f t="shared" si="23"/>
        <v>3485.8180975192158</v>
      </c>
      <c r="AD41" s="52">
        <f t="shared" si="24"/>
        <v>-634.30741702951673</v>
      </c>
      <c r="AE41" s="52">
        <f t="shared" si="16"/>
        <v>1071.0297485877873</v>
      </c>
      <c r="AF41" s="52">
        <f t="shared" si="17"/>
        <v>-181.86877616466538</v>
      </c>
      <c r="AG41" s="52">
        <f t="shared" si="4"/>
        <v>1327.9619940891605</v>
      </c>
      <c r="AH41" s="52">
        <f t="shared" si="5"/>
        <v>-102.65752136464458</v>
      </c>
      <c r="AI41" s="52">
        <f t="shared" si="6"/>
        <v>13.621905816720467</v>
      </c>
      <c r="AJ41" s="52">
        <f t="shared" si="7"/>
        <v>-349.78111950020684</v>
      </c>
      <c r="AK41" s="52">
        <f t="shared" si="18"/>
        <v>-270.55415131809372</v>
      </c>
      <c r="AM41" s="52">
        <f t="shared" si="8"/>
        <v>2886.3706554604851</v>
      </c>
      <c r="AN41" s="57">
        <f t="shared" si="9"/>
        <v>40745.68559845729</v>
      </c>
      <c r="AO41" s="57">
        <f t="shared" si="19"/>
        <v>32101.055815012933</v>
      </c>
    </row>
    <row r="42" spans="2:41" ht="18" x14ac:dyDescent="0.25">
      <c r="B42" s="3" t="s">
        <v>15</v>
      </c>
      <c r="E42" s="7" t="s">
        <v>53</v>
      </c>
      <c r="F42" s="17"/>
      <c r="G42" s="67">
        <f>(4/3)*PI()*G40^3</f>
        <v>523598775598.29883</v>
      </c>
      <c r="H42" s="68"/>
      <c r="I42" s="13"/>
      <c r="J42" s="9" t="s">
        <v>30</v>
      </c>
      <c r="L42" s="6">
        <v>39</v>
      </c>
      <c r="M42" s="52">
        <f t="shared" si="0"/>
        <v>23885.729807284853</v>
      </c>
      <c r="N42" s="52">
        <f t="shared" si="10"/>
        <v>10646.601955249187</v>
      </c>
      <c r="P42" s="6">
        <v>39</v>
      </c>
      <c r="Q42" s="52">
        <f t="shared" si="11"/>
        <v>-17279.989134900603</v>
      </c>
      <c r="R42" s="52">
        <f t="shared" si="12"/>
        <v>12202.62136867443</v>
      </c>
      <c r="T42" s="6">
        <v>39</v>
      </c>
      <c r="U42" s="52">
        <f t="shared" si="1"/>
        <v>-1114.2701927151456</v>
      </c>
      <c r="V42" s="52">
        <f t="shared" si="2"/>
        <v>-11853.398044750813</v>
      </c>
      <c r="X42" s="6">
        <v>38</v>
      </c>
      <c r="Y42" s="55">
        <v>19</v>
      </c>
      <c r="Z42" s="52">
        <f t="shared" si="20"/>
        <v>23230.194083354596</v>
      </c>
      <c r="AA42" s="52">
        <f t="shared" si="21"/>
        <v>6517.1108696313831</v>
      </c>
      <c r="AB42" s="52">
        <f t="shared" si="22"/>
        <v>5518.5269414738632</v>
      </c>
      <c r="AC42" s="52">
        <f t="shared" si="23"/>
        <v>4021.3329718131095</v>
      </c>
      <c r="AD42" s="52">
        <f t="shared" si="24"/>
        <v>-1824.769673795548</v>
      </c>
      <c r="AE42" s="52">
        <f t="shared" si="16"/>
        <v>220.42417767982229</v>
      </c>
      <c r="AF42" s="52">
        <f t="shared" si="17"/>
        <v>-1438.4611549708404</v>
      </c>
      <c r="AG42" s="52">
        <f t="shared" si="4"/>
        <v>437.69748726987547</v>
      </c>
      <c r="AH42" s="52">
        <f t="shared" si="5"/>
        <v>-91.569458996503002</v>
      </c>
      <c r="AI42" s="52">
        <f t="shared" si="6"/>
        <v>7.3773962892166329</v>
      </c>
      <c r="AJ42" s="52">
        <f t="shared" si="7"/>
        <v>-294.73905982820463</v>
      </c>
      <c r="AK42" s="52">
        <f t="shared" si="18"/>
        <v>-224.65070587926979</v>
      </c>
      <c r="AM42" s="52">
        <f t="shared" si="8"/>
        <v>3376.4219017675819</v>
      </c>
      <c r="AN42" s="57">
        <f t="shared" si="9"/>
        <v>43370.268585506208</v>
      </c>
      <c r="AO42" s="57">
        <f t="shared" si="19"/>
        <v>35495.491518781339</v>
      </c>
    </row>
    <row r="43" spans="2:41" ht="18" x14ac:dyDescent="0.25">
      <c r="B43" s="74" t="s">
        <v>16</v>
      </c>
      <c r="C43" s="75"/>
      <c r="E43" s="7" t="s">
        <v>54</v>
      </c>
      <c r="F43" s="17"/>
      <c r="G43" s="67">
        <f>G41*G42</f>
        <v>523598775598.29883</v>
      </c>
      <c r="H43" s="68"/>
      <c r="I43" s="13"/>
      <c r="J43" s="9" t="s">
        <v>27</v>
      </c>
      <c r="L43" s="6">
        <v>40</v>
      </c>
      <c r="M43" s="52">
        <f t="shared" si="0"/>
        <v>23830.222215594891</v>
      </c>
      <c r="N43" s="52">
        <f t="shared" si="10"/>
        <v>10713.938048432696</v>
      </c>
      <c r="P43" s="6">
        <v>40</v>
      </c>
      <c r="Q43" s="52">
        <f t="shared" si="11"/>
        <v>-17318.844449083575</v>
      </c>
      <c r="R43" s="52">
        <f t="shared" si="12"/>
        <v>12249.756633902887</v>
      </c>
      <c r="T43" s="6">
        <v>40</v>
      </c>
      <c r="U43" s="52">
        <f t="shared" si="1"/>
        <v>-1169.7777844051097</v>
      </c>
      <c r="V43" s="52">
        <f t="shared" si="2"/>
        <v>-11786.061951567304</v>
      </c>
      <c r="X43" s="6">
        <v>39</v>
      </c>
      <c r="Y43" s="55">
        <v>19.5</v>
      </c>
      <c r="Z43" s="52">
        <f t="shared" si="20"/>
        <v>25761.361344867084</v>
      </c>
      <c r="AA43" s="52">
        <f t="shared" si="21"/>
        <v>8555.3303777479141</v>
      </c>
      <c r="AB43" s="52">
        <f t="shared" si="22"/>
        <v>4606.142104576089</v>
      </c>
      <c r="AC43" s="52">
        <f t="shared" si="23"/>
        <v>4131.5450606530203</v>
      </c>
      <c r="AD43" s="52">
        <f t="shared" si="24"/>
        <v>-2272.2176742244583</v>
      </c>
      <c r="AE43" s="52">
        <f t="shared" si="16"/>
        <v>-544.90775074932037</v>
      </c>
      <c r="AF43" s="52">
        <f t="shared" si="17"/>
        <v>-1938.097990996471</v>
      </c>
      <c r="AG43" s="52">
        <f t="shared" si="4"/>
        <v>-355.008749238235</v>
      </c>
      <c r="AH43" s="52">
        <f t="shared" si="5"/>
        <v>-82.716710765593078</v>
      </c>
      <c r="AI43" s="52">
        <f t="shared" si="6"/>
        <v>2.6113366338711028</v>
      </c>
      <c r="AJ43" s="52">
        <f t="shared" si="7"/>
        <v>-251.40297246239408</v>
      </c>
      <c r="AK43" s="52">
        <f t="shared" si="18"/>
        <v>-192.51033814495645</v>
      </c>
      <c r="AM43" s="52">
        <f t="shared" si="8"/>
        <v>5857.2183459664711</v>
      </c>
      <c r="AN43" s="57">
        <f t="shared" si="9"/>
        <v>45784.159514541192</v>
      </c>
      <c r="AO43" s="57">
        <f t="shared" si="19"/>
        <v>38744.224614700142</v>
      </c>
    </row>
    <row r="44" spans="2:41" ht="18" x14ac:dyDescent="0.25">
      <c r="B44" s="74" t="s">
        <v>17</v>
      </c>
      <c r="C44" s="75"/>
      <c r="E44" s="7" t="s">
        <v>55</v>
      </c>
      <c r="F44" s="17"/>
      <c r="G44" s="65">
        <f>G40*G6</f>
        <v>10000</v>
      </c>
      <c r="H44" s="66"/>
      <c r="I44" s="13"/>
      <c r="J44" s="9" t="s">
        <v>24</v>
      </c>
      <c r="L44" s="6">
        <v>41</v>
      </c>
      <c r="M44" s="52">
        <f t="shared" si="0"/>
        <v>23773.54790111386</v>
      </c>
      <c r="N44" s="52">
        <f t="shared" si="10"/>
        <v>10780.295144952535</v>
      </c>
      <c r="P44" s="6">
        <v>41</v>
      </c>
      <c r="Q44" s="52">
        <f t="shared" si="11"/>
        <v>-17358.516469220296</v>
      </c>
      <c r="R44" s="52">
        <f t="shared" si="12"/>
        <v>12296.206601466776</v>
      </c>
      <c r="T44" s="6">
        <v>41</v>
      </c>
      <c r="U44" s="52">
        <f t="shared" si="1"/>
        <v>-1226.4520988861395</v>
      </c>
      <c r="V44" s="52">
        <f t="shared" si="2"/>
        <v>-11719.704855047465</v>
      </c>
      <c r="X44" s="6">
        <v>40</v>
      </c>
      <c r="Y44" s="55">
        <v>20</v>
      </c>
      <c r="Z44" s="52">
        <f t="shared" si="20"/>
        <v>27780.40518787707</v>
      </c>
      <c r="AA44" s="52">
        <f t="shared" si="21"/>
        <v>10552.98943923076</v>
      </c>
      <c r="AB44" s="52">
        <f t="shared" si="22"/>
        <v>3470.0332674638598</v>
      </c>
      <c r="AC44" s="52">
        <f t="shared" si="23"/>
        <v>3859.0911852783602</v>
      </c>
      <c r="AD44" s="52">
        <f t="shared" si="24"/>
        <v>-2136.1525173752793</v>
      </c>
      <c r="AE44" s="52">
        <f t="shared" si="16"/>
        <v>-894.25186347612021</v>
      </c>
      <c r="AF44" s="52">
        <f t="shared" si="17"/>
        <v>-1840.2702697486188</v>
      </c>
      <c r="AG44" s="52">
        <f t="shared" si="4"/>
        <v>-722.11222464698778</v>
      </c>
      <c r="AH44" s="52">
        <f t="shared" si="5"/>
        <v>-76.185709586549123</v>
      </c>
      <c r="AI44" s="52">
        <f t="shared" si="6"/>
        <v>-0.88173996549431899</v>
      </c>
      <c r="AJ44" s="52">
        <f t="shared" si="7"/>
        <v>-219.69653804011142</v>
      </c>
      <c r="AK44" s="52">
        <f t="shared" si="18"/>
        <v>-171.25789886363802</v>
      </c>
      <c r="AM44" s="52">
        <f t="shared" si="8"/>
        <v>8357.9572506443801</v>
      </c>
      <c r="AN44" s="57">
        <f t="shared" si="9"/>
        <v>47783.605109259079</v>
      </c>
      <c r="AO44" s="57">
        <f t="shared" si="19"/>
        <v>41563.327989500991</v>
      </c>
    </row>
    <row r="45" spans="2:41" x14ac:dyDescent="0.25">
      <c r="B45" s="77" t="s">
        <v>18</v>
      </c>
      <c r="C45" s="78"/>
      <c r="D45" s="2"/>
      <c r="E45" s="7"/>
      <c r="F45" s="17"/>
      <c r="G45" s="65" t="s">
        <v>31</v>
      </c>
      <c r="H45" s="66"/>
      <c r="I45" s="13"/>
      <c r="J45" s="9" t="s">
        <v>26</v>
      </c>
      <c r="L45" s="6">
        <v>42</v>
      </c>
      <c r="M45" s="52">
        <f t="shared" si="0"/>
        <v>23715.724127386973</v>
      </c>
      <c r="N45" s="52">
        <f t="shared" si="10"/>
        <v>10845.653031794291</v>
      </c>
      <c r="P45" s="6">
        <v>42</v>
      </c>
      <c r="Q45" s="52">
        <f t="shared" si="11"/>
        <v>-17398.99311082912</v>
      </c>
      <c r="R45" s="52">
        <f t="shared" si="12"/>
        <v>12341.957122256004</v>
      </c>
      <c r="T45" s="6">
        <v>42</v>
      </c>
      <c r="U45" s="52">
        <f t="shared" si="1"/>
        <v>-1284.2758726130287</v>
      </c>
      <c r="V45" s="52">
        <f t="shared" si="2"/>
        <v>-11654.346968205709</v>
      </c>
      <c r="X45" s="6">
        <v>41</v>
      </c>
      <c r="Y45" s="55">
        <v>20.5</v>
      </c>
      <c r="Z45" s="52">
        <f t="shared" si="20"/>
        <v>29248.402756937092</v>
      </c>
      <c r="AA45" s="52">
        <f t="shared" si="21"/>
        <v>12370.753548935425</v>
      </c>
      <c r="AB45" s="52">
        <f t="shared" si="22"/>
        <v>2401.9570087762204</v>
      </c>
      <c r="AC45" s="52">
        <f t="shared" si="23"/>
        <v>3411.9652535403002</v>
      </c>
      <c r="AD45" s="52">
        <f t="shared" si="24"/>
        <v>-1868.5484558918324</v>
      </c>
      <c r="AE45" s="52">
        <f t="shared" si="16"/>
        <v>-1003.5635532241417</v>
      </c>
      <c r="AF45" s="52">
        <f t="shared" si="17"/>
        <v>-1599.7228995425196</v>
      </c>
      <c r="AG45" s="52">
        <f t="shared" si="4"/>
        <v>-842.50828981419943</v>
      </c>
      <c r="AH45" s="52">
        <f t="shared" si="5"/>
        <v>-71.614445604985335</v>
      </c>
      <c r="AI45" s="52">
        <f t="shared" si="6"/>
        <v>-3.4474255319711227</v>
      </c>
      <c r="AJ45" s="52">
        <f t="shared" si="7"/>
        <v>-197.21111074432756</v>
      </c>
      <c r="AK45" s="52">
        <f t="shared" si="18"/>
        <v>-157.60783787797112</v>
      </c>
      <c r="AM45" s="52">
        <f t="shared" si="8"/>
        <v>10452.616595330981</v>
      </c>
      <c r="AN45" s="57">
        <f t="shared" si="9"/>
        <v>49305.432220996496</v>
      </c>
      <c r="AO45" s="57">
        <f t="shared" si="19"/>
        <v>43841.889115752499</v>
      </c>
    </row>
    <row r="46" spans="2:41" x14ac:dyDescent="0.25">
      <c r="L46" s="6">
        <v>43</v>
      </c>
      <c r="M46" s="52">
        <f t="shared" si="0"/>
        <v>23656.768508095854</v>
      </c>
      <c r="N46" s="52">
        <f t="shared" si="10"/>
        <v>10909.991800312491</v>
      </c>
      <c r="P46" s="6">
        <v>43</v>
      </c>
      <c r="Q46" s="52">
        <f t="shared" si="11"/>
        <v>-17440.262044332903</v>
      </c>
      <c r="R46" s="52">
        <f t="shared" si="12"/>
        <v>12386.994260218744</v>
      </c>
      <c r="T46" s="6">
        <v>43</v>
      </c>
      <c r="U46" s="52">
        <f t="shared" si="1"/>
        <v>-1343.2314919041473</v>
      </c>
      <c r="V46" s="52">
        <f t="shared" si="2"/>
        <v>-11590.008199687509</v>
      </c>
      <c r="X46" s="6">
        <v>42</v>
      </c>
      <c r="Y46" s="55">
        <v>21</v>
      </c>
      <c r="Z46" s="52">
        <f t="shared" si="20"/>
        <v>30215.812704338721</v>
      </c>
      <c r="AA46" s="52">
        <f t="shared" si="21"/>
        <v>13951.290731552557</v>
      </c>
      <c r="AB46" s="52">
        <f t="shared" si="22"/>
        <v>1467.6827808303042</v>
      </c>
      <c r="AC46" s="52">
        <f t="shared" si="23"/>
        <v>2910.1834769282295</v>
      </c>
      <c r="AD46" s="52">
        <f t="shared" si="24"/>
        <v>-1636.4226811863662</v>
      </c>
      <c r="AE46" s="52">
        <f t="shared" si="16"/>
        <v>-1030.0653862048139</v>
      </c>
      <c r="AF46" s="52">
        <f t="shared" si="17"/>
        <v>-1386.4895523431719</v>
      </c>
      <c r="AG46" s="52">
        <f t="shared" si="4"/>
        <v>-875.56883209371188</v>
      </c>
      <c r="AH46" s="52">
        <f t="shared" si="5"/>
        <v>-68.569323456643247</v>
      </c>
      <c r="AI46" s="52">
        <f t="shared" si="6"/>
        <v>-5.3954584751678114</v>
      </c>
      <c r="AJ46" s="52">
        <f t="shared" si="7"/>
        <v>-181.36380538655084</v>
      </c>
      <c r="AK46" s="52">
        <f t="shared" si="18"/>
        <v>-149.10109563593414</v>
      </c>
      <c r="AM46" s="52">
        <f t="shared" si="8"/>
        <v>12082.300332020568</v>
      </c>
      <c r="AN46" s="57">
        <f t="shared" si="9"/>
        <v>50371.028816200283</v>
      </c>
      <c r="AO46" s="57">
        <f t="shared" si="19"/>
        <v>45588.712412722794</v>
      </c>
    </row>
    <row r="47" spans="2:41" x14ac:dyDescent="0.25">
      <c r="L47" s="6">
        <v>44</v>
      </c>
      <c r="M47" s="52">
        <f t="shared" si="0"/>
        <v>23596.699001693254</v>
      </c>
      <c r="N47" s="52">
        <f t="shared" si="10"/>
        <v>10973.291852294986</v>
      </c>
      <c r="P47" s="6">
        <v>44</v>
      </c>
      <c r="Q47" s="52">
        <f t="shared" si="11"/>
        <v>-17482.310698814719</v>
      </c>
      <c r="R47" s="52">
        <f t="shared" si="12"/>
        <v>12431.30429660649</v>
      </c>
      <c r="T47" s="6">
        <v>44</v>
      </c>
      <c r="U47" s="52">
        <f t="shared" si="1"/>
        <v>-1403.3009983067441</v>
      </c>
      <c r="V47" s="52">
        <f t="shared" si="2"/>
        <v>-11526.708147705014</v>
      </c>
      <c r="X47" s="6">
        <v>43</v>
      </c>
      <c r="Y47" s="55">
        <v>21.5</v>
      </c>
      <c r="Z47" s="52">
        <f t="shared" si="20"/>
        <v>30745.101259605577</v>
      </c>
      <c r="AA47" s="52">
        <f t="shared" si="21"/>
        <v>15277.624296741069</v>
      </c>
      <c r="AB47" s="52">
        <f t="shared" si="22"/>
        <v>649.4714402371211</v>
      </c>
      <c r="AC47" s="52">
        <f t="shared" si="23"/>
        <v>2395.1507838258226</v>
      </c>
      <c r="AD47" s="52">
        <f t="shared" si="24"/>
        <v>-1464.3726975207801</v>
      </c>
      <c r="AE47" s="52">
        <f t="shared" si="16"/>
        <v>-1039.5754306294725</v>
      </c>
      <c r="AF47" s="52">
        <f t="shared" si="17"/>
        <v>-1227.3452495501833</v>
      </c>
      <c r="AG47" s="52">
        <f t="shared" si="4"/>
        <v>-888.38904378474308</v>
      </c>
      <c r="AH47" s="52">
        <f t="shared" si="5"/>
        <v>-66.733910848600303</v>
      </c>
      <c r="AI47" s="52">
        <f t="shared" si="6"/>
        <v>-6.9405026410201085</v>
      </c>
      <c r="AJ47" s="52">
        <f t="shared" si="7"/>
        <v>-170.29353712199637</v>
      </c>
      <c r="AK47" s="52">
        <f t="shared" si="18"/>
        <v>-144.24588420370941</v>
      </c>
      <c r="AM47" s="52">
        <f t="shared" si="8"/>
        <v>13264.5633467685</v>
      </c>
      <c r="AN47" s="57">
        <f t="shared" si="9"/>
        <v>51018.806533132229</v>
      </c>
      <c r="AO47" s="57">
        <f t="shared" si="19"/>
        <v>46844.922853112497</v>
      </c>
    </row>
    <row r="48" spans="2:41" x14ac:dyDescent="0.25">
      <c r="L48" s="6">
        <v>45</v>
      </c>
      <c r="M48" s="52">
        <f t="shared" si="0"/>
        <v>23535.533905932738</v>
      </c>
      <c r="N48" s="52">
        <f t="shared" si="10"/>
        <v>11035.533905932738</v>
      </c>
      <c r="P48" s="6">
        <v>45</v>
      </c>
      <c r="Q48" s="52">
        <f t="shared" si="11"/>
        <v>-17525.126265847084</v>
      </c>
      <c r="R48" s="52">
        <f t="shared" si="12"/>
        <v>12474.873734152916</v>
      </c>
      <c r="T48" s="6">
        <v>45</v>
      </c>
      <c r="U48" s="52">
        <f t="shared" si="1"/>
        <v>-1464.466094067262</v>
      </c>
      <c r="V48" s="52">
        <f t="shared" si="2"/>
        <v>-11464.466094067262</v>
      </c>
      <c r="X48" s="6">
        <v>44</v>
      </c>
      <c r="Y48" s="55">
        <v>22</v>
      </c>
      <c r="Z48" s="52">
        <f t="shared" si="20"/>
        <v>30886.790392534043</v>
      </c>
      <c r="AA48" s="52">
        <f t="shared" si="21"/>
        <v>16345.252759825298</v>
      </c>
      <c r="AB48" s="52">
        <f t="shared" si="22"/>
        <v>-82.714908523268946</v>
      </c>
      <c r="AC48" s="52">
        <f t="shared" si="23"/>
        <v>1875.3630685110863</v>
      </c>
      <c r="AD48" s="52">
        <f t="shared" si="24"/>
        <v>-1343.7729390806751</v>
      </c>
      <c r="AE48" s="52">
        <f t="shared" si="16"/>
        <v>-1056.3730161911672</v>
      </c>
      <c r="AF48" s="52">
        <f t="shared" si="17"/>
        <v>-1115.0360284066765</v>
      </c>
      <c r="AG48" s="52">
        <f t="shared" si="4"/>
        <v>-905.93968947289568</v>
      </c>
      <c r="AH48" s="52">
        <f t="shared" si="5"/>
        <v>-65.918141783745838</v>
      </c>
      <c r="AI48" s="52">
        <f t="shared" si="6"/>
        <v>-8.2195647996151777</v>
      </c>
      <c r="AJ48" s="52">
        <f t="shared" si="7"/>
        <v>-162.81876889025287</v>
      </c>
      <c r="AK48" s="52">
        <f t="shared" si="18"/>
        <v>-142.21376191865622</v>
      </c>
      <c r="AM48" s="52">
        <f t="shared" si="8"/>
        <v>14027.141598920594</v>
      </c>
      <c r="AN48" s="57">
        <f t="shared" si="9"/>
        <v>51280.870400567161</v>
      </c>
      <c r="AO48" s="57">
        <f t="shared" si="19"/>
        <v>47648.57390578452</v>
      </c>
    </row>
    <row r="49" spans="12:41" x14ac:dyDescent="0.25">
      <c r="L49" s="6">
        <v>46</v>
      </c>
      <c r="M49" s="52">
        <f t="shared" si="0"/>
        <v>23473.291852294988</v>
      </c>
      <c r="N49" s="52">
        <f t="shared" si="10"/>
        <v>11096.699001693256</v>
      </c>
      <c r="P49" s="6">
        <v>46</v>
      </c>
      <c r="Q49" s="52">
        <f t="shared" si="11"/>
        <v>-17568.69570339351</v>
      </c>
      <c r="R49" s="52">
        <f t="shared" si="12"/>
        <v>12517.689301185279</v>
      </c>
      <c r="T49" s="6">
        <v>46</v>
      </c>
      <c r="U49" s="52">
        <f t="shared" si="1"/>
        <v>-1526.7081477050133</v>
      </c>
      <c r="V49" s="52">
        <f t="shared" si="2"/>
        <v>-11403.300998306744</v>
      </c>
      <c r="X49" s="6">
        <v>45</v>
      </c>
      <c r="Y49" s="55">
        <v>22.5</v>
      </c>
      <c r="Z49" s="52">
        <f t="shared" si="20"/>
        <v>30677.461320887327</v>
      </c>
      <c r="AA49" s="52">
        <f t="shared" si="21"/>
        <v>17150.887667056944</v>
      </c>
      <c r="AB49" s="52">
        <f t="shared" si="22"/>
        <v>-754.60137806360649</v>
      </c>
      <c r="AC49" s="52">
        <f t="shared" si="23"/>
        <v>1347.1765604155028</v>
      </c>
      <c r="AD49" s="52">
        <f t="shared" si="24"/>
        <v>-1262.8570001649853</v>
      </c>
      <c r="AE49" s="52">
        <f t="shared" si="16"/>
        <v>-1090.6484423916409</v>
      </c>
      <c r="AF49" s="52">
        <f t="shared" si="17"/>
        <v>-1038.5932318641496</v>
      </c>
      <c r="AG49" s="52">
        <f t="shared" si="4"/>
        <v>-938.73874240862779</v>
      </c>
      <c r="AH49" s="52">
        <f t="shared" si="5"/>
        <v>-66.03068077516437</v>
      </c>
      <c r="AI49" s="52">
        <f t="shared" si="6"/>
        <v>-9.3173171760260054</v>
      </c>
      <c r="AJ49" s="52">
        <f t="shared" si="7"/>
        <v>-158.23308752567112</v>
      </c>
      <c r="AK49" s="52">
        <f t="shared" si="18"/>
        <v>-142.5923828069871</v>
      </c>
      <c r="AM49" s="52">
        <f t="shared" si="8"/>
        <v>14392.630510827295</v>
      </c>
      <c r="AN49" s="57">
        <f t="shared" si="9"/>
        <v>51179.490817679092</v>
      </c>
      <c r="AO49" s="57">
        <f t="shared" si="19"/>
        <v>48026.667842805058</v>
      </c>
    </row>
    <row r="50" spans="12:41" x14ac:dyDescent="0.25">
      <c r="L50" s="6">
        <v>47</v>
      </c>
      <c r="M50" s="52">
        <f t="shared" si="0"/>
        <v>23409.991800312491</v>
      </c>
      <c r="N50" s="52">
        <f t="shared" si="10"/>
        <v>11156.768508095853</v>
      </c>
      <c r="P50" s="6">
        <v>47</v>
      </c>
      <c r="Q50" s="52">
        <f t="shared" si="11"/>
        <v>-17613.005739781256</v>
      </c>
      <c r="R50" s="52">
        <f t="shared" si="12"/>
        <v>12559.737955667097</v>
      </c>
      <c r="T50" s="6">
        <v>47</v>
      </c>
      <c r="U50" s="52">
        <f t="shared" si="1"/>
        <v>-1590.0081996875078</v>
      </c>
      <c r="V50" s="52">
        <f t="shared" si="2"/>
        <v>-11343.231491904147</v>
      </c>
      <c r="X50" s="6">
        <v>46</v>
      </c>
      <c r="Y50" s="55">
        <v>23</v>
      </c>
      <c r="Z50" s="52">
        <f t="shared" si="20"/>
        <v>30142.303506834902</v>
      </c>
      <c r="AA50" s="52">
        <f t="shared" si="21"/>
        <v>17688.144891965741</v>
      </c>
      <c r="AB50" s="52">
        <f t="shared" si="22"/>
        <v>-1386.0298781460992</v>
      </c>
      <c r="AC50" s="52">
        <f t="shared" si="23"/>
        <v>801.85233921968234</v>
      </c>
      <c r="AD50" s="52">
        <f t="shared" si="24"/>
        <v>-1212.0882718131134</v>
      </c>
      <c r="AE50" s="52">
        <f t="shared" si="16"/>
        <v>-1148.8752004014325</v>
      </c>
      <c r="AF50" s="52">
        <f t="shared" si="17"/>
        <v>-988.87118153957476</v>
      </c>
      <c r="AG50" s="52">
        <f t="shared" si="4"/>
        <v>-993.34070117554256</v>
      </c>
      <c r="AH50" s="52">
        <f t="shared" si="5"/>
        <v>-67.059299095091134</v>
      </c>
      <c r="AI50" s="52">
        <f t="shared" si="6"/>
        <v>-10.281968951156214</v>
      </c>
      <c r="AJ50" s="52">
        <f t="shared" si="7"/>
        <v>-156.15779117844738</v>
      </c>
      <c r="AK50" s="52">
        <f t="shared" si="18"/>
        <v>-145.25253027473372</v>
      </c>
      <c r="AM50" s="52">
        <f t="shared" si="8"/>
        <v>14375.834471933904</v>
      </c>
      <c r="AN50" s="57">
        <f t="shared" si="9"/>
        <v>50728.277842357376</v>
      </c>
      <c r="AO50" s="57">
        <f t="shared" si="19"/>
        <v>47994.752965763313</v>
      </c>
    </row>
    <row r="51" spans="12:41" x14ac:dyDescent="0.25">
      <c r="L51" s="6">
        <v>48</v>
      </c>
      <c r="M51" s="52">
        <f t="shared" si="0"/>
        <v>23345.653031794292</v>
      </c>
      <c r="N51" s="52">
        <f t="shared" si="10"/>
        <v>11215.724127386971</v>
      </c>
      <c r="P51" s="6">
        <v>48</v>
      </c>
      <c r="Q51" s="52">
        <f t="shared" si="11"/>
        <v>-17658.042877743996</v>
      </c>
      <c r="R51" s="52">
        <f t="shared" si="12"/>
        <v>12601.00688917088</v>
      </c>
      <c r="T51" s="6">
        <v>48</v>
      </c>
      <c r="U51" s="52">
        <f t="shared" si="1"/>
        <v>-1654.3469682057089</v>
      </c>
      <c r="V51" s="52">
        <f t="shared" si="2"/>
        <v>-11284.275872613029</v>
      </c>
      <c r="X51" s="6">
        <v>47</v>
      </c>
      <c r="Y51" s="55">
        <v>23.5</v>
      </c>
      <c r="Z51" s="52">
        <f t="shared" si="20"/>
        <v>29297.777533785211</v>
      </c>
      <c r="AA51" s="52">
        <f t="shared" si="21"/>
        <v>17945.461661525402</v>
      </c>
      <c r="AB51" s="52">
        <f t="shared" si="22"/>
        <v>-1992.0740140526559</v>
      </c>
      <c r="AC51" s="52">
        <f t="shared" si="23"/>
        <v>227.41473901896609</v>
      </c>
      <c r="AD51" s="52">
        <f t="shared" si="24"/>
        <v>-1183.643377664931</v>
      </c>
      <c r="AE51" s="52">
        <f t="shared" si="16"/>
        <v>-1237.8073123258675</v>
      </c>
      <c r="AF51" s="52">
        <f t="shared" si="17"/>
        <v>-958.11438610474841</v>
      </c>
      <c r="AG51" s="52">
        <f t="shared" si="4"/>
        <v>-1076.3805706307073</v>
      </c>
      <c r="AH51" s="52">
        <f t="shared" si="5"/>
        <v>-69.064353027683524</v>
      </c>
      <c r="AI51" s="52">
        <f t="shared" si="6"/>
        <v>-11.131296310131669</v>
      </c>
      <c r="AJ51" s="52">
        <f t="shared" si="7"/>
        <v>-156.46463853249898</v>
      </c>
      <c r="AK51" s="52">
        <f t="shared" si="18"/>
        <v>-150.29544538502861</v>
      </c>
      <c r="AM51" s="52">
        <f t="shared" si="8"/>
        <v>13984.14589419597</v>
      </c>
      <c r="AN51" s="57">
        <f t="shared" si="9"/>
        <v>49933.96870653631</v>
      </c>
      <c r="AO51" s="57">
        <f t="shared" si="19"/>
        <v>47557.764748230773</v>
      </c>
    </row>
    <row r="52" spans="12:41" x14ac:dyDescent="0.25">
      <c r="L52" s="6">
        <v>49</v>
      </c>
      <c r="M52" s="52">
        <f t="shared" si="0"/>
        <v>23280.295144952535</v>
      </c>
      <c r="N52" s="52">
        <f t="shared" si="10"/>
        <v>11273.54790111386</v>
      </c>
      <c r="P52" s="6">
        <v>49</v>
      </c>
      <c r="Q52" s="52">
        <f t="shared" si="11"/>
        <v>-17703.793398533224</v>
      </c>
      <c r="R52" s="52">
        <f t="shared" si="12"/>
        <v>12641.483530779702</v>
      </c>
      <c r="T52" s="6">
        <v>49</v>
      </c>
      <c r="U52" s="52">
        <f t="shared" si="1"/>
        <v>-1719.7048550474638</v>
      </c>
      <c r="V52" s="52">
        <f t="shared" si="2"/>
        <v>-11226.45209888614</v>
      </c>
      <c r="X52" s="6">
        <v>48</v>
      </c>
      <c r="Y52" s="55">
        <v>24</v>
      </c>
      <c r="Z52" s="52">
        <f t="shared" si="20"/>
        <v>28153.785104550767</v>
      </c>
      <c r="AA52" s="52">
        <f t="shared" si="21"/>
        <v>17904.443116994153</v>
      </c>
      <c r="AB52" s="52">
        <f t="shared" si="22"/>
        <v>-2583.8957028851214</v>
      </c>
      <c r="AC52" s="52">
        <f t="shared" si="23"/>
        <v>-391.48891714396768</v>
      </c>
      <c r="AD52" s="52">
        <f t="shared" si="24"/>
        <v>-1168.96472086638</v>
      </c>
      <c r="AE52" s="52">
        <f t="shared" si="16"/>
        <v>-1366.2133449431822</v>
      </c>
      <c r="AF52" s="52">
        <f t="shared" si="17"/>
        <v>-937.52528735267606</v>
      </c>
      <c r="AG52" s="52">
        <f t="shared" si="4"/>
        <v>-1196.3067946885678</v>
      </c>
      <c r="AH52" s="52">
        <f t="shared" si="5"/>
        <v>-72.184195978184036</v>
      </c>
      <c r="AI52" s="52">
        <f t="shared" si="6"/>
        <v>-11.849034708625458</v>
      </c>
      <c r="AJ52" s="52">
        <f t="shared" si="7"/>
        <v>-159.25523753551994</v>
      </c>
      <c r="AK52" s="52">
        <f t="shared" si="18"/>
        <v>-158.05751554598888</v>
      </c>
      <c r="AM52" s="52">
        <f t="shared" si="8"/>
        <v>13218.799041742066</v>
      </c>
      <c r="AN52" s="57">
        <f t="shared" si="9"/>
        <v>48798.229894997748</v>
      </c>
      <c r="AO52" s="57">
        <f t="shared" si="19"/>
        <v>46710.553878093073</v>
      </c>
    </row>
    <row r="53" spans="12:41" x14ac:dyDescent="0.25">
      <c r="L53" s="6">
        <v>50</v>
      </c>
      <c r="M53" s="52">
        <f t="shared" si="0"/>
        <v>23213.938048432698</v>
      </c>
      <c r="N53" s="52">
        <f t="shared" si="10"/>
        <v>11330.222215594891</v>
      </c>
      <c r="P53" s="6">
        <v>50</v>
      </c>
      <c r="Q53" s="52">
        <f t="shared" si="11"/>
        <v>-17750.243366097111</v>
      </c>
      <c r="R53" s="52">
        <f t="shared" si="12"/>
        <v>12681.155550916423</v>
      </c>
      <c r="T53" s="6">
        <v>50</v>
      </c>
      <c r="U53" s="52">
        <f t="shared" si="1"/>
        <v>-1786.0619515673034</v>
      </c>
      <c r="V53" s="52">
        <f t="shared" si="2"/>
        <v>-11169.777784405109</v>
      </c>
      <c r="X53" s="6">
        <v>49</v>
      </c>
      <c r="Y53" s="55">
        <v>24.5</v>
      </c>
      <c r="Z53" s="52">
        <f t="shared" si="20"/>
        <v>26715.716662999908</v>
      </c>
      <c r="AA53" s="52">
        <f t="shared" si="21"/>
        <v>17537.921990304272</v>
      </c>
      <c r="AB53" s="52">
        <f t="shared" si="22"/>
        <v>-3168.3780633183114</v>
      </c>
      <c r="AC53" s="52">
        <f t="shared" si="23"/>
        <v>-1074.5955896155588</v>
      </c>
      <c r="AD53" s="52">
        <f t="shared" si="24"/>
        <v>-1153.6769420010337</v>
      </c>
      <c r="AE53" s="52">
        <f t="shared" si="16"/>
        <v>-1544.8915632891155</v>
      </c>
      <c r="AF53" s="52">
        <f t="shared" si="17"/>
        <v>-912.13105421293562</v>
      </c>
      <c r="AG53" s="52">
        <f t="shared" si="4"/>
        <v>-1363.3541774577352</v>
      </c>
      <c r="AH53" s="52">
        <f t="shared" si="5"/>
        <v>-76.651546422651307</v>
      </c>
      <c r="AI53" s="52">
        <f t="shared" si="6"/>
        <v>-12.36828670612603</v>
      </c>
      <c r="AJ53" s="52">
        <f t="shared" si="7"/>
        <v>-164.89434136544673</v>
      </c>
      <c r="AK53" s="52">
        <f t="shared" si="18"/>
        <v>-169.16909912525423</v>
      </c>
      <c r="AM53" s="52">
        <f t="shared" si="8"/>
        <v>12077.281489686688</v>
      </c>
      <c r="AN53" s="57">
        <f t="shared" si="9"/>
        <v>47319.958276287609</v>
      </c>
      <c r="AO53" s="57">
        <f t="shared" si="19"/>
        <v>45437.903240519547</v>
      </c>
    </row>
    <row r="54" spans="12:41" x14ac:dyDescent="0.25">
      <c r="L54" s="6">
        <v>51</v>
      </c>
      <c r="M54" s="52">
        <f t="shared" si="0"/>
        <v>23146.601955249189</v>
      </c>
      <c r="N54" s="52">
        <f t="shared" si="10"/>
        <v>11385.729807284853</v>
      </c>
      <c r="P54" s="6">
        <v>51</v>
      </c>
      <c r="Q54" s="52">
        <f t="shared" si="11"/>
        <v>-17797.37863132557</v>
      </c>
      <c r="R54" s="52">
        <f t="shared" si="12"/>
        <v>12720.010865099397</v>
      </c>
      <c r="T54" s="6">
        <v>51</v>
      </c>
      <c r="U54" s="52">
        <f t="shared" si="1"/>
        <v>-1853.3980447508125</v>
      </c>
      <c r="V54" s="52">
        <f t="shared" si="2"/>
        <v>-11114.270192715147</v>
      </c>
      <c r="X54" s="6">
        <v>50</v>
      </c>
      <c r="Y54" s="55">
        <v>25</v>
      </c>
      <c r="Z54" s="52">
        <f t="shared" si="20"/>
        <v>24987.318013590622</v>
      </c>
      <c r="AA54" s="52">
        <f t="shared" si="21"/>
        <v>16807.512750085352</v>
      </c>
      <c r="AB54" s="52">
        <f t="shared" si="22"/>
        <v>-3745.2165343188281</v>
      </c>
      <c r="AC54" s="52">
        <f t="shared" si="23"/>
        <v>-1847.0413712601166</v>
      </c>
      <c r="AD54" s="52">
        <f t="shared" si="24"/>
        <v>-1105.8976526476877</v>
      </c>
      <c r="AE54" s="52">
        <f t="shared" si="16"/>
        <v>-1781.5854870516664</v>
      </c>
      <c r="AF54" s="52">
        <f t="shared" si="17"/>
        <v>-848.96634021372506</v>
      </c>
      <c r="AG54" s="52">
        <f t="shared" si="4"/>
        <v>-1584.3716030138742</v>
      </c>
      <c r="AH54" s="52">
        <f t="shared" si="5"/>
        <v>-82.817976699817692</v>
      </c>
      <c r="AI54" s="52">
        <f t="shared" si="6"/>
        <v>-12.532074753821998</v>
      </c>
      <c r="AJ54" s="52">
        <f t="shared" si="7"/>
        <v>-174.11333573414498</v>
      </c>
      <c r="AK54" s="52">
        <f t="shared" si="18"/>
        <v>-184.68180928397021</v>
      </c>
      <c r="AM54" s="52">
        <f t="shared" si="8"/>
        <v>10559.504465725979</v>
      </c>
      <c r="AN54" s="57">
        <f t="shared" si="9"/>
        <v>45499.46166602974</v>
      </c>
      <c r="AO54" s="57">
        <f t="shared" si="19"/>
        <v>43714.495410504955</v>
      </c>
    </row>
    <row r="55" spans="12:41" x14ac:dyDescent="0.25">
      <c r="L55" s="6">
        <v>52</v>
      </c>
      <c r="M55" s="52">
        <f t="shared" si="0"/>
        <v>23078.307376628291</v>
      </c>
      <c r="N55" s="52">
        <f t="shared" si="10"/>
        <v>11440.053768033609</v>
      </c>
      <c r="P55" s="6">
        <v>52</v>
      </c>
      <c r="Q55" s="52">
        <f t="shared" si="11"/>
        <v>-17845.184836360197</v>
      </c>
      <c r="R55" s="52">
        <f t="shared" si="12"/>
        <v>12758.037637623527</v>
      </c>
      <c r="T55" s="6">
        <v>52</v>
      </c>
      <c r="U55" s="52">
        <f t="shared" si="1"/>
        <v>-1921.6926233717086</v>
      </c>
      <c r="V55" s="52">
        <f t="shared" si="2"/>
        <v>-11059.946231966391</v>
      </c>
      <c r="X55" s="6">
        <v>51</v>
      </c>
      <c r="Y55" s="55">
        <v>25.5</v>
      </c>
      <c r="Z55" s="52">
        <f t="shared" si="20"/>
        <v>22976.472539850249</v>
      </c>
      <c r="AA55" s="52">
        <f t="shared" si="21"/>
        <v>15661.293878573837</v>
      </c>
      <c r="AB55" s="52">
        <f t="shared" si="22"/>
        <v>-4298.1653606426717</v>
      </c>
      <c r="AC55" s="52">
        <f t="shared" si="23"/>
        <v>-2737.8341147859501</v>
      </c>
      <c r="AD55" s="52">
        <f t="shared" si="24"/>
        <v>-949.91648176382614</v>
      </c>
      <c r="AE55" s="52">
        <f t="shared" si="16"/>
        <v>-2056.818911347179</v>
      </c>
      <c r="AF55" s="52">
        <f t="shared" si="17"/>
        <v>-670.51831226300908</v>
      </c>
      <c r="AG55" s="52">
        <f t="shared" si="4"/>
        <v>-1838.5175485674317</v>
      </c>
      <c r="AH55" s="52">
        <f t="shared" si="5"/>
        <v>-91.170364814428837</v>
      </c>
      <c r="AI55" s="52">
        <f t="shared" si="6"/>
        <v>-12.00987884132819</v>
      </c>
      <c r="AJ55" s="52">
        <f t="shared" si="7"/>
        <v>-188.22780468638823</v>
      </c>
      <c r="AK55" s="52">
        <f t="shared" si="18"/>
        <v>-206.29148393841933</v>
      </c>
      <c r="AM55" s="52">
        <f t="shared" si="8"/>
        <v>8687.1230308387694</v>
      </c>
      <c r="AN55" s="57">
        <f t="shared" si="9"/>
        <v>43347.750118640302</v>
      </c>
      <c r="AO55" s="57">
        <f t="shared" si="19"/>
        <v>41506.60137955485</v>
      </c>
    </row>
    <row r="56" spans="12:41" x14ac:dyDescent="0.25">
      <c r="L56" s="6">
        <v>53</v>
      </c>
      <c r="M56" s="52">
        <f t="shared" si="0"/>
        <v>23009.075115760243</v>
      </c>
      <c r="N56" s="52">
        <f t="shared" si="10"/>
        <v>11493.177550236464</v>
      </c>
      <c r="P56" s="6">
        <v>53</v>
      </c>
      <c r="Q56" s="52">
        <f t="shared" si="11"/>
        <v>-17893.64741896783</v>
      </c>
      <c r="R56" s="52">
        <f t="shared" si="12"/>
        <v>12795.224285165525</v>
      </c>
      <c r="T56" s="6">
        <v>53</v>
      </c>
      <c r="U56" s="52">
        <f t="shared" si="1"/>
        <v>-1990.9248842397583</v>
      </c>
      <c r="V56" s="52">
        <f t="shared" si="2"/>
        <v>-11006.822449763536</v>
      </c>
      <c r="X56" s="6">
        <v>52</v>
      </c>
      <c r="Y56" s="55">
        <v>26</v>
      </c>
      <c r="Z56" s="52">
        <f t="shared" si="20"/>
        <v>20708.650299308436</v>
      </c>
      <c r="AA56" s="52">
        <f t="shared" si="21"/>
        <v>14035.274457262465</v>
      </c>
      <c r="AB56" s="52">
        <f t="shared" si="22"/>
        <v>-4773.123601524585</v>
      </c>
      <c r="AC56" s="52">
        <f t="shared" si="23"/>
        <v>-3766.2435704595396</v>
      </c>
      <c r="AD56" s="52">
        <f t="shared" si="24"/>
        <v>-528.31766259607718</v>
      </c>
      <c r="AE56" s="52">
        <f t="shared" si="16"/>
        <v>-2243.4083858149434</v>
      </c>
      <c r="AF56" s="52">
        <f t="shared" si="17"/>
        <v>-216.50179126371546</v>
      </c>
      <c r="AG56" s="52">
        <f t="shared" si="4"/>
        <v>-1996.6104971353479</v>
      </c>
      <c r="AH56" s="52">
        <f t="shared" si="5"/>
        <v>-102.27018770854069</v>
      </c>
      <c r="AI56" s="52">
        <f t="shared" si="6"/>
        <v>-10.137606458711868</v>
      </c>
      <c r="AJ56" s="52">
        <f t="shared" si="7"/>
        <v>-209.54568362382105</v>
      </c>
      <c r="AK56" s="52">
        <f t="shared" si="18"/>
        <v>-236.66028222088343</v>
      </c>
      <c r="AM56" s="52">
        <f t="shared" si="8"/>
        <v>6573.5833058125263</v>
      </c>
      <c r="AN56" s="57">
        <f t="shared" si="9"/>
        <v>40908.161155652298</v>
      </c>
      <c r="AO56" s="57">
        <f t="shared" si="19"/>
        <v>38781.205022803122</v>
      </c>
    </row>
    <row r="57" spans="12:41" x14ac:dyDescent="0.25">
      <c r="L57" s="6">
        <v>54</v>
      </c>
      <c r="M57" s="52">
        <f t="shared" si="0"/>
        <v>22938.926261462366</v>
      </c>
      <c r="N57" s="52">
        <f t="shared" si="10"/>
        <v>11545.084971874738</v>
      </c>
      <c r="P57" s="6">
        <v>54</v>
      </c>
      <c r="Q57" s="52">
        <f t="shared" si="11"/>
        <v>-17942.751616976344</v>
      </c>
      <c r="R57" s="52">
        <f t="shared" si="12"/>
        <v>12831.559480312317</v>
      </c>
      <c r="T57" s="6">
        <v>54</v>
      </c>
      <c r="U57" s="52">
        <f t="shared" si="1"/>
        <v>-2061.0737385376342</v>
      </c>
      <c r="V57" s="52">
        <f t="shared" si="2"/>
        <v>-10954.915028125262</v>
      </c>
      <c r="X57" s="6">
        <v>53</v>
      </c>
      <c r="Y57" s="55">
        <v>26.5</v>
      </c>
      <c r="Z57" s="52">
        <f t="shared" si="20"/>
        <v>18256.048790721634</v>
      </c>
      <c r="AA57" s="52">
        <f t="shared" si="21"/>
        <v>11871.726623805827</v>
      </c>
      <c r="AB57" s="52">
        <f t="shared" si="22"/>
        <v>-5037.2824328226234</v>
      </c>
      <c r="AC57" s="52">
        <f t="shared" si="23"/>
        <v>-4887.9477633670112</v>
      </c>
      <c r="AD57" s="52">
        <f t="shared" si="24"/>
        <v>317.95687831415279</v>
      </c>
      <c r="AE57" s="52">
        <f t="shared" si="16"/>
        <v>-1980.8069518318109</v>
      </c>
      <c r="AF57" s="52">
        <f t="shared" si="17"/>
        <v>676.355193914148</v>
      </c>
      <c r="AG57" s="52">
        <f t="shared" si="4"/>
        <v>-1695.48321802383</v>
      </c>
      <c r="AH57" s="52">
        <f t="shared" si="5"/>
        <v>-116.39431016403557</v>
      </c>
      <c r="AI57" s="52">
        <f t="shared" si="6"/>
        <v>-5.6947420363593979</v>
      </c>
      <c r="AJ57" s="52">
        <f t="shared" si="7"/>
        <v>-242.00400543595964</v>
      </c>
      <c r="AK57" s="52">
        <f t="shared" si="18"/>
        <v>-279.62899177162149</v>
      </c>
      <c r="AM57" s="52">
        <f t="shared" si="8"/>
        <v>4706.7355453260989</v>
      </c>
      <c r="AN57" s="57">
        <f t="shared" si="9"/>
        <v>38301.809743566133</v>
      </c>
      <c r="AO57" s="57">
        <f t="shared" si="19"/>
        <v>35537.775635244536</v>
      </c>
    </row>
    <row r="58" spans="12:41" x14ac:dyDescent="0.25">
      <c r="L58" s="6">
        <v>55</v>
      </c>
      <c r="M58" s="52">
        <f t="shared" si="0"/>
        <v>22867.882181755231</v>
      </c>
      <c r="N58" s="52">
        <f t="shared" si="10"/>
        <v>11595.760221444958</v>
      </c>
      <c r="P58" s="6">
        <v>55</v>
      </c>
      <c r="Q58" s="52">
        <f t="shared" si="11"/>
        <v>-17992.482472771339</v>
      </c>
      <c r="R58" s="52">
        <f t="shared" si="12"/>
        <v>12867.032155011471</v>
      </c>
      <c r="T58" s="6">
        <v>55</v>
      </c>
      <c r="U58" s="52">
        <f t="shared" si="1"/>
        <v>-2132.1178182447693</v>
      </c>
      <c r="V58" s="52">
        <f t="shared" si="2"/>
        <v>-10904.239778555042</v>
      </c>
      <c r="X58" s="6">
        <v>54</v>
      </c>
      <c r="Y58" s="55">
        <v>27</v>
      </c>
      <c r="Z58" s="52">
        <f t="shared" si="20"/>
        <v>15777.152184099592</v>
      </c>
      <c r="AA58" s="52">
        <f t="shared" si="21"/>
        <v>9180.1518731433462</v>
      </c>
      <c r="AB58" s="52">
        <f t="shared" si="22"/>
        <v>-4878.3039936655468</v>
      </c>
      <c r="AC58" s="52">
        <f t="shared" si="23"/>
        <v>-5878.351239282917</v>
      </c>
      <c r="AD58" s="52">
        <f t="shared" si="24"/>
        <v>1244.1619772247263</v>
      </c>
      <c r="AE58" s="52">
        <f t="shared" si="16"/>
        <v>-1000.1743367203323</v>
      </c>
      <c r="AF58" s="52">
        <f t="shared" si="17"/>
        <v>1668.3384365333341</v>
      </c>
      <c r="AG58" s="52">
        <f t="shared" si="4"/>
        <v>-663.78474228317543</v>
      </c>
      <c r="AH58" s="52">
        <f t="shared" si="5"/>
        <v>-132.51937797599194</v>
      </c>
      <c r="AI58" s="52">
        <f t="shared" si="6"/>
        <v>3.0367359382536665</v>
      </c>
      <c r="AJ58" s="52">
        <f t="shared" si="7"/>
        <v>-291.65708133261575</v>
      </c>
      <c r="AK58" s="52">
        <f t="shared" si="18"/>
        <v>-339.42633037541049</v>
      </c>
      <c r="AM58" s="52">
        <f t="shared" si="8"/>
        <v>4544.8161671383305</v>
      </c>
      <c r="AN58" s="57">
        <f t="shared" si="9"/>
        <v>35786.544529408435</v>
      </c>
      <c r="AO58" s="57">
        <f t="shared" si="19"/>
        <v>31880.555162818484</v>
      </c>
    </row>
    <row r="59" spans="12:41" x14ac:dyDescent="0.25">
      <c r="L59" s="6">
        <v>56</v>
      </c>
      <c r="M59" s="52">
        <f t="shared" si="0"/>
        <v>22795.964517353736</v>
      </c>
      <c r="N59" s="52">
        <f t="shared" si="10"/>
        <v>11645.187862775208</v>
      </c>
      <c r="P59" s="6">
        <v>56</v>
      </c>
      <c r="Q59" s="52">
        <f t="shared" si="11"/>
        <v>-18042.824837852386</v>
      </c>
      <c r="R59" s="52">
        <f t="shared" si="12"/>
        <v>12901.631503942646</v>
      </c>
      <c r="T59" s="6">
        <v>56</v>
      </c>
      <c r="U59" s="52">
        <f t="shared" si="1"/>
        <v>-2204.0354826462662</v>
      </c>
      <c r="V59" s="52">
        <f t="shared" si="2"/>
        <v>-10854.812137224792</v>
      </c>
      <c r="X59" s="6">
        <v>55</v>
      </c>
      <c r="Y59" s="55">
        <v>27.5</v>
      </c>
      <c r="Z59" s="52">
        <f t="shared" si="20"/>
        <v>13493.520434419908</v>
      </c>
      <c r="AA59" s="52">
        <f t="shared" si="21"/>
        <v>6115.9544614118458</v>
      </c>
      <c r="AB59" s="52">
        <f t="shared" si="22"/>
        <v>-4256.2230050531834</v>
      </c>
      <c r="AC59" s="52">
        <f t="shared" si="23"/>
        <v>-6378.4384076430833</v>
      </c>
      <c r="AD59" s="52">
        <f t="shared" si="24"/>
        <v>1453.1100753541846</v>
      </c>
      <c r="AE59" s="52">
        <f t="shared" si="16"/>
        <v>17.473536062940468</v>
      </c>
      <c r="AF59" s="52">
        <f t="shared" si="17"/>
        <v>1966.3987943048066</v>
      </c>
      <c r="AG59" s="52">
        <f t="shared" si="4"/>
        <v>418.2884847191628</v>
      </c>
      <c r="AH59" s="52">
        <f t="shared" si="5"/>
        <v>-147.29245172831369</v>
      </c>
      <c r="AI59" s="52">
        <f t="shared" si="6"/>
        <v>17.080634778993073</v>
      </c>
      <c r="AJ59" s="52">
        <f t="shared" si="7"/>
        <v>-365.99626722230846</v>
      </c>
      <c r="AK59" s="52">
        <f t="shared" si="18"/>
        <v>-417.89558343521543</v>
      </c>
      <c r="AM59" s="52">
        <f t="shared" si="8"/>
        <v>6652.0567037719293</v>
      </c>
      <c r="AN59" s="57">
        <f t="shared" si="9"/>
        <v>33717.973261107058</v>
      </c>
      <c r="AO59" s="57">
        <f t="shared" si="19"/>
        <v>28069.446572291476</v>
      </c>
    </row>
    <row r="60" spans="12:41" x14ac:dyDescent="0.25">
      <c r="L60" s="6">
        <v>57</v>
      </c>
      <c r="M60" s="52">
        <f t="shared" si="0"/>
        <v>22723.195175075136</v>
      </c>
      <c r="N60" s="52">
        <f t="shared" si="10"/>
        <v>11693.352839727118</v>
      </c>
      <c r="P60" s="6">
        <v>57</v>
      </c>
      <c r="Q60" s="52">
        <f t="shared" si="11"/>
        <v>-18093.763377447405</v>
      </c>
      <c r="R60" s="52">
        <f t="shared" si="12"/>
        <v>12935.346987808984</v>
      </c>
      <c r="T60" s="6">
        <v>57</v>
      </c>
      <c r="U60" s="52">
        <f t="shared" si="1"/>
        <v>-2276.8048249248641</v>
      </c>
      <c r="V60" s="52">
        <f t="shared" si="2"/>
        <v>-10806.647160272882</v>
      </c>
      <c r="X60" s="6">
        <v>56</v>
      </c>
      <c r="Y60" s="55">
        <v>28</v>
      </c>
      <c r="Z60" s="52">
        <f t="shared" si="20"/>
        <v>11547.047691312589</v>
      </c>
      <c r="AA60" s="52">
        <f t="shared" si="21"/>
        <v>2928.9194495981719</v>
      </c>
      <c r="AB60" s="52">
        <f t="shared" si="22"/>
        <v>-3529.6679673760909</v>
      </c>
      <c r="AC60" s="52">
        <f t="shared" si="23"/>
        <v>-6369.7016396116132</v>
      </c>
      <c r="AD60" s="52">
        <f t="shared" si="24"/>
        <v>1029.9780802799694</v>
      </c>
      <c r="AE60" s="52">
        <f t="shared" si="16"/>
        <v>420.20113474219079</v>
      </c>
      <c r="AF60" s="52">
        <f t="shared" si="17"/>
        <v>1659.1219358202225</v>
      </c>
      <c r="AG60" s="52">
        <f t="shared" si="4"/>
        <v>897.19895896946139</v>
      </c>
      <c r="AH60" s="52">
        <f t="shared" si="5"/>
        <v>-156.52965797514733</v>
      </c>
      <c r="AI60" s="52">
        <f t="shared" si="6"/>
        <v>35.085179155256228</v>
      </c>
      <c r="AJ60" s="52">
        <f t="shared" si="7"/>
        <v>-472.61419756510577</v>
      </c>
      <c r="AK60" s="52">
        <f t="shared" si="18"/>
        <v>-512.08300338252684</v>
      </c>
      <c r="AM60" s="52">
        <f t="shared" si="8"/>
        <v>9609.7440200665951</v>
      </c>
      <c r="AN60" s="57">
        <f t="shared" si="9"/>
        <v>32329.806652502921</v>
      </c>
      <c r="AO60" s="57">
        <f t="shared" si="19"/>
        <v>24397.765060118782</v>
      </c>
    </row>
    <row r="61" spans="12:41" x14ac:dyDescent="0.25">
      <c r="L61" s="6">
        <v>58</v>
      </c>
      <c r="M61" s="52">
        <f t="shared" si="0"/>
        <v>22649.596321166024</v>
      </c>
      <c r="N61" s="52">
        <f t="shared" si="10"/>
        <v>11740.240480782129</v>
      </c>
      <c r="P61" s="6">
        <v>58</v>
      </c>
      <c r="Q61" s="52">
        <f t="shared" si="11"/>
        <v>-18145.282575183785</v>
      </c>
      <c r="R61" s="52">
        <f t="shared" si="12"/>
        <v>12968.168336547491</v>
      </c>
      <c r="T61" s="6">
        <v>58</v>
      </c>
      <c r="U61" s="52">
        <f t="shared" si="1"/>
        <v>-2350.4036788339754</v>
      </c>
      <c r="V61" s="52">
        <f t="shared" si="2"/>
        <v>-10759.759519217871</v>
      </c>
      <c r="X61" s="6">
        <v>57</v>
      </c>
      <c r="Y61" s="55">
        <v>28.5</v>
      </c>
      <c r="Z61" s="52">
        <f t="shared" si="20"/>
        <v>9910.9609676595392</v>
      </c>
      <c r="AA61" s="52">
        <f t="shared" si="21"/>
        <v>-203.40622836486085</v>
      </c>
      <c r="AB61" s="52">
        <f t="shared" si="22"/>
        <v>-3014.6789272361061</v>
      </c>
      <c r="AC61" s="52">
        <f t="shared" si="23"/>
        <v>-6159.6010722405181</v>
      </c>
      <c r="AD61" s="52">
        <f t="shared" si="24"/>
        <v>473.50780885044298</v>
      </c>
      <c r="AE61" s="52">
        <f t="shared" si="16"/>
        <v>394.6654055017832</v>
      </c>
      <c r="AF61" s="52">
        <f t="shared" si="17"/>
        <v>1251.873186117431</v>
      </c>
      <c r="AG61" s="52">
        <f t="shared" si="4"/>
        <v>955.85790362660873</v>
      </c>
      <c r="AH61" s="52">
        <f t="shared" si="5"/>
        <v>-158.38753792368809</v>
      </c>
      <c r="AI61" s="52">
        <f t="shared" si="6"/>
        <v>54.030105976644911</v>
      </c>
      <c r="AJ61" s="52">
        <f t="shared" si="7"/>
        <v>-619.97783934329993</v>
      </c>
      <c r="AK61" s="52">
        <f t="shared" si="18"/>
        <v>-615.22260410147044</v>
      </c>
      <c r="AM61" s="52">
        <f t="shared" si="8"/>
        <v>12693.745551069624</v>
      </c>
      <c r="AN61" s="57">
        <f t="shared" si="9"/>
        <v>31603.40305520732</v>
      </c>
      <c r="AO61" s="57">
        <f t="shared" si="19"/>
        <v>21006.569073074694</v>
      </c>
    </row>
    <row r="62" spans="12:41" x14ac:dyDescent="0.25">
      <c r="L62" s="6">
        <v>59</v>
      </c>
      <c r="M62" s="52">
        <f t="shared" si="0"/>
        <v>22575.190374550271</v>
      </c>
      <c r="N62" s="52">
        <f t="shared" si="10"/>
        <v>11785.83650351056</v>
      </c>
      <c r="P62" s="6">
        <v>59</v>
      </c>
      <c r="Q62" s="52">
        <f t="shared" si="11"/>
        <v>-18197.366737814809</v>
      </c>
      <c r="R62" s="52">
        <f t="shared" si="12"/>
        <v>13000.085552457393</v>
      </c>
      <c r="T62" s="6">
        <v>59</v>
      </c>
      <c r="U62" s="52">
        <f t="shared" si="1"/>
        <v>-2424.8096254497282</v>
      </c>
      <c r="V62" s="52">
        <f t="shared" si="2"/>
        <v>-10714.16349648944</v>
      </c>
      <c r="X62" s="6">
        <v>58</v>
      </c>
      <c r="Y62" s="55">
        <v>29</v>
      </c>
      <c r="Z62" s="52">
        <f t="shared" si="20"/>
        <v>8462.8099801477911</v>
      </c>
      <c r="AA62" s="52">
        <f t="shared" si="21"/>
        <v>-3233.8735887973971</v>
      </c>
      <c r="AB62" s="52">
        <f t="shared" si="22"/>
        <v>-2777.9250228108845</v>
      </c>
      <c r="AC62" s="52">
        <f t="shared" si="23"/>
        <v>-5962.2683694896268</v>
      </c>
      <c r="AD62" s="52">
        <f t="shared" si="24"/>
        <v>-44.312123668632012</v>
      </c>
      <c r="AE62" s="52">
        <f t="shared" si="16"/>
        <v>219.44847950684084</v>
      </c>
      <c r="AF62" s="52">
        <f t="shared" si="17"/>
        <v>929.23556126693938</v>
      </c>
      <c r="AG62" s="52">
        <f t="shared" si="4"/>
        <v>864.53434776506322</v>
      </c>
      <c r="AH62" s="52">
        <f t="shared" si="5"/>
        <v>-153.68148117982471</v>
      </c>
      <c r="AI62" s="52">
        <f t="shared" si="6"/>
        <v>71.454691096609224</v>
      </c>
      <c r="AJ62" s="52">
        <f t="shared" si="7"/>
        <v>-819.86620375574671</v>
      </c>
      <c r="AK62" s="52">
        <f t="shared" si="18"/>
        <v>-716.54055935483166</v>
      </c>
      <c r="AM62" s="52">
        <f t="shared" si="8"/>
        <v>15758.261191338965</v>
      </c>
      <c r="AN62" s="57">
        <f t="shared" si="9"/>
        <v>31388.962425194466</v>
      </c>
      <c r="AO62" s="57">
        <f t="shared" si="19"/>
        <v>17879.848525252288</v>
      </c>
    </row>
    <row r="63" spans="12:41" x14ac:dyDescent="0.25">
      <c r="L63" s="6">
        <v>60</v>
      </c>
      <c r="M63" s="52">
        <f t="shared" si="0"/>
        <v>22500</v>
      </c>
      <c r="N63" s="52">
        <f t="shared" si="10"/>
        <v>11830.127018922194</v>
      </c>
      <c r="P63" s="6">
        <v>60</v>
      </c>
      <c r="Q63" s="52">
        <f t="shared" si="11"/>
        <v>-18250</v>
      </c>
      <c r="R63" s="52">
        <f t="shared" si="12"/>
        <v>13031.088913245534</v>
      </c>
      <c r="T63" s="6">
        <v>60</v>
      </c>
      <c r="U63" s="52">
        <f t="shared" si="1"/>
        <v>-2499.9999999999995</v>
      </c>
      <c r="V63" s="52">
        <f t="shared" si="2"/>
        <v>-10669.872981077806</v>
      </c>
      <c r="X63" s="6">
        <v>59</v>
      </c>
      <c r="Y63" s="55">
        <v>29.5</v>
      </c>
      <c r="Z63" s="52">
        <f t="shared" si="20"/>
        <v>7068.3084532837693</v>
      </c>
      <c r="AA63" s="52">
        <f t="shared" si="21"/>
        <v>-6187.5767136038558</v>
      </c>
      <c r="AB63" s="52">
        <f t="shared" si="22"/>
        <v>-2800.0810846452005</v>
      </c>
      <c r="AC63" s="52">
        <f t="shared" si="23"/>
        <v>-5852.5441297362067</v>
      </c>
      <c r="AD63" s="52">
        <f t="shared" si="24"/>
        <v>-532.55195242445438</v>
      </c>
      <c r="AE63" s="52">
        <f t="shared" si="16"/>
        <v>31.929694395019055</v>
      </c>
      <c r="AF63" s="52">
        <f t="shared" si="17"/>
        <v>698.61959422328891</v>
      </c>
      <c r="AG63" s="52">
        <f t="shared" si="4"/>
        <v>739.45541115124001</v>
      </c>
      <c r="AH63" s="52">
        <f t="shared" si="5"/>
        <v>-144.16870870408181</v>
      </c>
      <c r="AI63" s="52">
        <f t="shared" si="6"/>
        <v>86.216766587991813</v>
      </c>
      <c r="AJ63" s="52">
        <f t="shared" si="7"/>
        <v>-1087.0028379436615</v>
      </c>
      <c r="AK63" s="52">
        <f t="shared" si="18"/>
        <v>-793.74248334421281</v>
      </c>
      <c r="AM63" s="52">
        <f t="shared" si="8"/>
        <v>18830.252323062548</v>
      </c>
      <c r="AN63" s="57">
        <f t="shared" si="9"/>
        <v>31539.355769909493</v>
      </c>
      <c r="AO63" s="57">
        <f t="shared" si="19"/>
        <v>14943.322023640443</v>
      </c>
    </row>
    <row r="64" spans="12:41" x14ac:dyDescent="0.25">
      <c r="L64" s="6">
        <v>61</v>
      </c>
      <c r="M64" s="52">
        <f t="shared" si="0"/>
        <v>22424.048101231685</v>
      </c>
      <c r="N64" s="52">
        <f t="shared" si="10"/>
        <v>11873.09853569698</v>
      </c>
      <c r="P64" s="6">
        <v>61</v>
      </c>
      <c r="Q64" s="52">
        <f t="shared" si="11"/>
        <v>-18303.166329137821</v>
      </c>
      <c r="R64" s="52">
        <f t="shared" si="12"/>
        <v>13061.168974987886</v>
      </c>
      <c r="T64" s="6">
        <v>61</v>
      </c>
      <c r="U64" s="52">
        <f t="shared" si="1"/>
        <v>-2575.9518987683145</v>
      </c>
      <c r="V64" s="52">
        <f t="shared" si="2"/>
        <v>-10626.90146430302</v>
      </c>
      <c r="X64" s="6">
        <v>60</v>
      </c>
      <c r="Y64" s="55">
        <v>30</v>
      </c>
      <c r="Z64" s="52">
        <f t="shared" si="20"/>
        <v>5601.6989169081126</v>
      </c>
      <c r="AA64" s="52">
        <f t="shared" si="21"/>
        <v>-9109.857566672581</v>
      </c>
      <c r="AB64" s="52">
        <f t="shared" si="22"/>
        <v>-3066.3570608574278</v>
      </c>
      <c r="AC64" s="52">
        <f t="shared" si="23"/>
        <v>-5836.579282538697</v>
      </c>
      <c r="AD64" s="52">
        <f t="shared" si="24"/>
        <v>-1025.3452898656715</v>
      </c>
      <c r="AE64" s="52">
        <f t="shared" si="16"/>
        <v>-78.428889021304485</v>
      </c>
      <c r="AF64" s="52">
        <f t="shared" si="17"/>
        <v>535.28532839769252</v>
      </c>
      <c r="AG64" s="52">
        <f t="shared" si="4"/>
        <v>617.5043160235108</v>
      </c>
      <c r="AH64" s="52">
        <f t="shared" si="5"/>
        <v>-131.43436958483588</v>
      </c>
      <c r="AI64" s="52">
        <f t="shared" si="6"/>
        <v>98.106461226790728</v>
      </c>
      <c r="AJ64" s="52">
        <f t="shared" si="7"/>
        <v>-1429.1962486785283</v>
      </c>
      <c r="AK64" s="52">
        <f t="shared" si="18"/>
        <v>-794.03966627160605</v>
      </c>
      <c r="AM64" s="52">
        <f t="shared" si="8"/>
        <v>21981.775234600944</v>
      </c>
      <c r="AN64" s="57">
        <f t="shared" si="9"/>
        <v>31947.357381331676</v>
      </c>
      <c r="AO64" s="57">
        <f t="shared" si="19"/>
        <v>12128.058286867479</v>
      </c>
    </row>
    <row r="65" spans="12:41" x14ac:dyDescent="0.25">
      <c r="L65" s="6">
        <v>62</v>
      </c>
      <c r="M65" s="52">
        <f t="shared" si="0"/>
        <v>22347.357813929455</v>
      </c>
      <c r="N65" s="52">
        <f t="shared" si="10"/>
        <v>11914.737964294634</v>
      </c>
      <c r="P65" s="6">
        <v>62</v>
      </c>
      <c r="Q65" s="52">
        <f t="shared" si="11"/>
        <v>-18356.849530249383</v>
      </c>
      <c r="R65" s="52">
        <f t="shared" si="12"/>
        <v>13090.316575006244</v>
      </c>
      <c r="T65" s="6">
        <v>62</v>
      </c>
      <c r="U65" s="52">
        <f t="shared" si="1"/>
        <v>-2652.6421860705459</v>
      </c>
      <c r="V65" s="52">
        <f t="shared" si="2"/>
        <v>-10585.262035705366</v>
      </c>
      <c r="X65" s="6">
        <v>61</v>
      </c>
      <c r="Y65" s="55">
        <v>30.5</v>
      </c>
      <c r="Z65" s="52">
        <f t="shared" si="20"/>
        <v>3940.3522252461894</v>
      </c>
      <c r="AA65" s="52">
        <f t="shared" si="21"/>
        <v>-12037.950819069592</v>
      </c>
      <c r="AB65" s="52">
        <f t="shared" si="22"/>
        <v>-3579.0297057902635</v>
      </c>
      <c r="AC65" s="52">
        <f t="shared" si="23"/>
        <v>-5875.7937270493494</v>
      </c>
      <c r="AD65" s="52">
        <f t="shared" si="24"/>
        <v>-1504.438347484059</v>
      </c>
      <c r="AE65" s="52">
        <f t="shared" si="16"/>
        <v>17.600541706169224</v>
      </c>
      <c r="AF65" s="52">
        <f t="shared" si="17"/>
        <v>418.02350149935631</v>
      </c>
      <c r="AG65" s="52">
        <f t="shared" si="4"/>
        <v>508.56175229128831</v>
      </c>
      <c r="AH65" s="52">
        <f t="shared" si="5"/>
        <v>-116.60692224682224</v>
      </c>
      <c r="AI65" s="52">
        <f t="shared" si="6"/>
        <v>107.34084417223374</v>
      </c>
      <c r="AJ65" s="52">
        <f t="shared" si="7"/>
        <v>-1805.8549267365931</v>
      </c>
      <c r="AK65" s="52">
        <f t="shared" si="18"/>
        <v>-598.30205475735283</v>
      </c>
      <c r="AM65" s="52">
        <f t="shared" si="8"/>
        <v>25291.180455991711</v>
      </c>
      <c r="AN65" s="57">
        <f t="shared" si="9"/>
        <v>32539.387532229</v>
      </c>
      <c r="AO65" s="57">
        <f t="shared" si="19"/>
        <v>9418.2606282537654</v>
      </c>
    </row>
    <row r="66" spans="12:41" x14ac:dyDescent="0.25">
      <c r="L66" s="6">
        <v>63</v>
      </c>
      <c r="M66" s="52">
        <f t="shared" si="0"/>
        <v>22269.952498697734</v>
      </c>
      <c r="N66" s="52">
        <f t="shared" si="10"/>
        <v>11955.032620941838</v>
      </c>
      <c r="P66" s="6">
        <v>63</v>
      </c>
      <c r="Q66" s="52">
        <f t="shared" si="11"/>
        <v>-18411.033250911587</v>
      </c>
      <c r="R66" s="52">
        <f t="shared" si="12"/>
        <v>13118.522834659287</v>
      </c>
      <c r="T66" s="6">
        <v>63</v>
      </c>
      <c r="U66" s="52">
        <f t="shared" si="1"/>
        <v>-2730.047501302266</v>
      </c>
      <c r="V66" s="52">
        <f t="shared" si="2"/>
        <v>-10544.967379058162</v>
      </c>
      <c r="X66" s="6">
        <v>62</v>
      </c>
      <c r="Y66" s="55">
        <v>31</v>
      </c>
      <c r="Z66" s="52">
        <f t="shared" si="20"/>
        <v>1962.7825789155502</v>
      </c>
      <c r="AA66" s="52">
        <f t="shared" si="21"/>
        <v>-14973.647614880996</v>
      </c>
      <c r="AB66" s="52">
        <f t="shared" si="22"/>
        <v>-4331.2488795322934</v>
      </c>
      <c r="AC66" s="52">
        <f t="shared" si="23"/>
        <v>-5866.9934561962646</v>
      </c>
      <c r="AD66" s="52">
        <f t="shared" si="24"/>
        <v>-1782.6982363465831</v>
      </c>
      <c r="AE66" s="52">
        <f t="shared" si="16"/>
        <v>521.2613115361346</v>
      </c>
      <c r="AF66" s="52">
        <f t="shared" si="17"/>
        <v>332.78165281799249</v>
      </c>
      <c r="AG66" s="52">
        <f t="shared" si="4"/>
        <v>414.63255797908903</v>
      </c>
      <c r="AH66" s="52">
        <f t="shared" si="5"/>
        <v>-100.48024373159431</v>
      </c>
      <c r="AI66" s="52">
        <f t="shared" si="6"/>
        <v>114.25502165737396</v>
      </c>
      <c r="AJ66" s="52">
        <f t="shared" si="7"/>
        <v>-2014.9996454329814</v>
      </c>
      <c r="AK66" s="52">
        <f t="shared" si="18"/>
        <v>-7.6262681003284323</v>
      </c>
      <c r="AM66" s="52">
        <f t="shared" si="8"/>
        <v>28816.766810544839</v>
      </c>
      <c r="AN66" s="57">
        <f t="shared" si="9"/>
        <v>33257.283319612376</v>
      </c>
      <c r="AO66" s="57">
        <f t="shared" si="19"/>
        <v>6962.8324473199373</v>
      </c>
    </row>
    <row r="67" spans="12:41" x14ac:dyDescent="0.25">
      <c r="L67" s="6">
        <v>64</v>
      </c>
      <c r="M67" s="52">
        <f t="shared" si="0"/>
        <v>22191.855733945387</v>
      </c>
      <c r="N67" s="52">
        <f t="shared" si="10"/>
        <v>11993.970231495834</v>
      </c>
      <c r="P67" s="6">
        <v>64</v>
      </c>
      <c r="Q67" s="52">
        <f t="shared" si="11"/>
        <v>-18465.700986238229</v>
      </c>
      <c r="R67" s="52">
        <f t="shared" si="12"/>
        <v>13145.779162047085</v>
      </c>
      <c r="T67" s="6">
        <v>64</v>
      </c>
      <c r="U67" s="52">
        <f t="shared" si="1"/>
        <v>-2808.1442660546127</v>
      </c>
      <c r="V67" s="52">
        <f t="shared" si="2"/>
        <v>-10506.029768504166</v>
      </c>
      <c r="X67" s="6">
        <v>63</v>
      </c>
      <c r="Y67" s="55">
        <v>31.5</v>
      </c>
      <c r="Z67" s="52">
        <f t="shared" si="20"/>
        <v>-425.6791403939194</v>
      </c>
      <c r="AA67" s="52">
        <f t="shared" si="21"/>
        <v>-17841.986679037112</v>
      </c>
      <c r="AB67" s="52">
        <f t="shared" si="22"/>
        <v>-5222.5979977055849</v>
      </c>
      <c r="AC67" s="52">
        <f t="shared" si="23"/>
        <v>-5606.3628004281973</v>
      </c>
      <c r="AD67" s="52">
        <f t="shared" si="24"/>
        <v>-1447.5829892571762</v>
      </c>
      <c r="AE67" s="52">
        <f t="shared" si="16"/>
        <v>1470.9152354643256</v>
      </c>
      <c r="AF67" s="52">
        <f t="shared" si="17"/>
        <v>270.90144994807162</v>
      </c>
      <c r="AG67" s="52">
        <f t="shared" si="4"/>
        <v>336.10539403506323</v>
      </c>
      <c r="AH67" s="52">
        <f t="shared" si="5"/>
        <v>-83.799285755929859</v>
      </c>
      <c r="AI67" s="52">
        <f t="shared" si="6"/>
        <v>119.19384659439859</v>
      </c>
      <c r="AJ67" s="52">
        <f t="shared" si="7"/>
        <v>-1634.685153449318</v>
      </c>
      <c r="AK67" s="52">
        <f t="shared" si="18"/>
        <v>1015.615994834864</v>
      </c>
      <c r="AM67" s="52">
        <f t="shared" si="8"/>
        <v>32548.804235898097</v>
      </c>
      <c r="AN67" s="57">
        <f t="shared" si="9"/>
        <v>34034.251267664018</v>
      </c>
      <c r="AO67" s="57">
        <f t="shared" si="19"/>
        <v>5385.2854715838148</v>
      </c>
    </row>
    <row r="68" spans="12:41" x14ac:dyDescent="0.25">
      <c r="L68" s="6">
        <v>65</v>
      </c>
      <c r="M68" s="52">
        <f t="shared" si="0"/>
        <v>22113.091308703497</v>
      </c>
      <c r="N68" s="52">
        <f t="shared" si="10"/>
        <v>12031.538935183249</v>
      </c>
      <c r="P68" s="6">
        <v>65</v>
      </c>
      <c r="Q68" s="52">
        <f t="shared" si="11"/>
        <v>-18520.83608390755</v>
      </c>
      <c r="R68" s="52">
        <f t="shared" si="12"/>
        <v>13172.077254628275</v>
      </c>
      <c r="T68" s="6">
        <v>65</v>
      </c>
      <c r="U68" s="52">
        <f t="shared" si="1"/>
        <v>-2886.9086912965026</v>
      </c>
      <c r="V68" s="52">
        <f t="shared" si="2"/>
        <v>-10468.461064816751</v>
      </c>
      <c r="X68" s="6">
        <v>64</v>
      </c>
      <c r="Y68" s="55">
        <v>32</v>
      </c>
      <c r="Z68" s="52">
        <f t="shared" si="20"/>
        <v>-3217.9260129038589</v>
      </c>
      <c r="AA68" s="52">
        <f t="shared" si="21"/>
        <v>-20461.303674818173</v>
      </c>
      <c r="AB68" s="52">
        <f t="shared" si="22"/>
        <v>-5946.3894923341732</v>
      </c>
      <c r="AC68" s="52">
        <f t="shared" si="23"/>
        <v>-4870.9051826960349</v>
      </c>
      <c r="AD68" s="52">
        <f t="shared" si="24"/>
        <v>-448.86298423602335</v>
      </c>
      <c r="AE68" s="52">
        <f t="shared" si="16"/>
        <v>2260.1470438328411</v>
      </c>
      <c r="AF68" s="52">
        <f t="shared" si="17"/>
        <v>226.97276684530431</v>
      </c>
      <c r="AG68" s="52">
        <f t="shared" si="4"/>
        <v>273.34286689293776</v>
      </c>
      <c r="AH68" s="52">
        <f t="shared" si="5"/>
        <v>-67.506177626499834</v>
      </c>
      <c r="AI68" s="52">
        <f t="shared" si="6"/>
        <v>122.53111136252598</v>
      </c>
      <c r="AJ68" s="52">
        <f t="shared" si="7"/>
        <v>-608.32957345482782</v>
      </c>
      <c r="AK68" s="52">
        <f t="shared" si="18"/>
        <v>1864.2730655773773</v>
      </c>
      <c r="AM68" s="52">
        <f t="shared" si="8"/>
        <v>36344.278663031379</v>
      </c>
      <c r="AN68" s="57">
        <f t="shared" si="9"/>
        <v>34778.28386907353</v>
      </c>
      <c r="AO68" s="57">
        <f t="shared" si="19"/>
        <v>5744.7041285054202</v>
      </c>
    </row>
    <row r="69" spans="12:41" x14ac:dyDescent="0.25">
      <c r="L69" s="6">
        <v>66</v>
      </c>
      <c r="M69" s="52">
        <f t="shared" ref="M69:M132" si="25">$G$20*COS(L69*PI()/180)+$G$19</f>
        <v>22033.683215379002</v>
      </c>
      <c r="N69" s="52">
        <f t="shared" ref="N69:N132" si="26">$G$20*SIN(L69*PI()/180)+$H$19</f>
        <v>12067.727288213006</v>
      </c>
      <c r="P69" s="6">
        <v>66</v>
      </c>
      <c r="Q69" s="52">
        <f t="shared" si="11"/>
        <v>-18576.421749234698</v>
      </c>
      <c r="R69" s="52">
        <f t="shared" si="12"/>
        <v>13197.409101749103</v>
      </c>
      <c r="T69" s="6">
        <v>66</v>
      </c>
      <c r="U69" s="52">
        <f t="shared" ref="U69:U132" si="27">$G$40*COS(T69*PI()/180)+$G$39</f>
        <v>-2966.316784620999</v>
      </c>
      <c r="V69" s="52">
        <f t="shared" ref="V69:V132" si="28">$G$40*SIN(T69*PI()/180)+$H$39</f>
        <v>-10432.272711786994</v>
      </c>
      <c r="X69" s="6">
        <v>65</v>
      </c>
      <c r="Y69" s="55">
        <v>32.5</v>
      </c>
      <c r="Z69" s="52">
        <f t="shared" si="20"/>
        <v>-6247.2286321004485</v>
      </c>
      <c r="AA69" s="52">
        <f t="shared" si="21"/>
        <v>-22614.237885687086</v>
      </c>
      <c r="AB69" s="52">
        <f t="shared" si="22"/>
        <v>-6170.8209844521853</v>
      </c>
      <c r="AC69" s="52">
        <f t="shared" si="23"/>
        <v>-3740.8316607796141</v>
      </c>
      <c r="AD69" s="52">
        <f t="shared" ref="AD69:AD132" si="29">AF69+AH69+AJ69</f>
        <v>468.31144157512085</v>
      </c>
      <c r="AE69" s="52">
        <f t="shared" ref="AE69:AE132" si="30">AG69+AI69+AK69</f>
        <v>2329.0712400284992</v>
      </c>
      <c r="AF69" s="52">
        <f t="shared" ref="AF69:AF132" si="31">(($G$19-Z69)/(AM69^2+$G$24^2)^(3/2))*$G$23</f>
        <v>196.80047766972135</v>
      </c>
      <c r="AG69" s="52">
        <f t="shared" ref="AG69:AG132" si="32">(($H$19-AA69)/(AM69^2+$G$24^2)^(3/2))*$G$23</f>
        <v>225.79512997858802</v>
      </c>
      <c r="AH69" s="52">
        <f t="shared" ref="AH69:AH132" si="33">(($G$29-Z69)/(AN69^2+$G$34^2)^(3/2))*$G$33</f>
        <v>-52.583917381693695</v>
      </c>
      <c r="AI69" s="52">
        <f t="shared" ref="AI69:AI132" si="34">(($H$29-AA69)/(AN69^2+$G$34^2)^(3/2))*$G$33</f>
        <v>124.70100349743558</v>
      </c>
      <c r="AJ69" s="52">
        <f t="shared" ref="AJ69:AJ132" si="35">(($G$39-Z69)/(AO69^2+$G$44^2)^(3/2))*$G$43</f>
        <v>324.09488128709319</v>
      </c>
      <c r="AK69" s="52">
        <f t="shared" ref="AK69:AK132" si="36">(($H$39-AA69)/(AO69^2+$G$44^2)^(3/2))*$G$43</f>
        <v>1978.5751065524755</v>
      </c>
      <c r="AM69" s="52">
        <f t="shared" ref="AM69:AM132" si="37">SQRT(($G$19-Z69)^2+($H$19-AA69)^2)</f>
        <v>39947.269422346064</v>
      </c>
      <c r="AN69" s="57">
        <f t="shared" ref="AN69:AN132" si="38">SQRT(($G$29-Z69)^2+($H$29-AA69)^2)</f>
        <v>35395.299591356823</v>
      </c>
      <c r="AO69" s="57">
        <f t="shared" ref="AO69:AO132" si="39">SQRT(($G$39-Z69)^2+($H$39-AA69)^2)</f>
        <v>7715.7111040113268</v>
      </c>
    </row>
    <row r="70" spans="12:41" x14ac:dyDescent="0.25">
      <c r="L70" s="6">
        <v>67</v>
      </c>
      <c r="M70" s="52">
        <f t="shared" si="25"/>
        <v>21953.655642446371</v>
      </c>
      <c r="N70" s="52">
        <f t="shared" si="26"/>
        <v>12102.524267262201</v>
      </c>
      <c r="P70" s="6">
        <v>67</v>
      </c>
      <c r="Q70" s="52">
        <f t="shared" ref="Q70:Q133" si="40">$G$30*COS(P70*PI()/180)+$G$29</f>
        <v>-18632.44105028754</v>
      </c>
      <c r="R70" s="52">
        <f t="shared" ref="R70:R133" si="41">$G$30*SIN(P70*PI()/180)+$H$29</f>
        <v>13221.766987083542</v>
      </c>
      <c r="T70" s="6">
        <v>67</v>
      </c>
      <c r="U70" s="52">
        <f t="shared" si="27"/>
        <v>-3046.3443575536303</v>
      </c>
      <c r="V70" s="52">
        <f t="shared" si="28"/>
        <v>-10397.475732737799</v>
      </c>
      <c r="X70" s="6">
        <v>66</v>
      </c>
      <c r="Y70" s="55">
        <v>33</v>
      </c>
      <c r="Z70" s="52">
        <f t="shared" ref="Z70:Z133" si="42">Z69+AB69*$G$4+((1/2)*AD69)*$G$4^2</f>
        <v>-9274.1001941296508</v>
      </c>
      <c r="AA70" s="52">
        <f t="shared" ref="AA70:AA133" si="43">AA69+AC69*$G$4+((1/2)*AE69)*$G$4^2</f>
        <v>-24193.519811073329</v>
      </c>
      <c r="AB70" s="52">
        <f t="shared" ref="AB70:AB133" si="44">AB69+AD69*$G$4</f>
        <v>-5936.6652636646249</v>
      </c>
      <c r="AC70" s="52">
        <f t="shared" ref="AC70:AC133" si="45">AC69+AE69*$G$4</f>
        <v>-2576.2960407653645</v>
      </c>
      <c r="AD70" s="52">
        <f t="shared" si="29"/>
        <v>911.83473911861824</v>
      </c>
      <c r="AE70" s="52">
        <f t="shared" si="30"/>
        <v>1984.0960643035562</v>
      </c>
      <c r="AF70" s="52">
        <f t="shared" si="31"/>
        <v>176.44753827845304</v>
      </c>
      <c r="AG70" s="52">
        <f t="shared" si="32"/>
        <v>191.03041640763007</v>
      </c>
      <c r="AH70" s="52">
        <f t="shared" si="33"/>
        <v>-39.569734243219258</v>
      </c>
      <c r="AI70" s="52">
        <f t="shared" si="34"/>
        <v>126.14591934038988</v>
      </c>
      <c r="AJ70" s="52">
        <f t="shared" si="35"/>
        <v>774.95693508338445</v>
      </c>
      <c r="AK70" s="52">
        <f t="shared" si="36"/>
        <v>1666.9197285555363</v>
      </c>
      <c r="AM70" s="52">
        <f t="shared" si="37"/>
        <v>43144.549368267129</v>
      </c>
      <c r="AN70" s="57">
        <f t="shared" si="38"/>
        <v>35836.318501149559</v>
      </c>
      <c r="AO70" s="57">
        <f t="shared" si="39"/>
        <v>10138.478139546236</v>
      </c>
    </row>
    <row r="71" spans="12:41" x14ac:dyDescent="0.25">
      <c r="L71" s="6">
        <v>68</v>
      </c>
      <c r="M71" s="52">
        <f t="shared" si="25"/>
        <v>21873.032967079558</v>
      </c>
      <c r="N71" s="52">
        <f t="shared" si="26"/>
        <v>12135.919272833937</v>
      </c>
      <c r="P71" s="6">
        <v>68</v>
      </c>
      <c r="Q71" s="52">
        <f t="shared" si="40"/>
        <v>-18688.876923044307</v>
      </c>
      <c r="R71" s="52">
        <f t="shared" si="41"/>
        <v>13245.143490983755</v>
      </c>
      <c r="T71" s="6">
        <v>68</v>
      </c>
      <c r="U71" s="52">
        <f t="shared" si="27"/>
        <v>-3126.96703292044</v>
      </c>
      <c r="V71" s="52">
        <f t="shared" si="28"/>
        <v>-10364.080727166063</v>
      </c>
      <c r="X71" s="6">
        <v>67</v>
      </c>
      <c r="Y71" s="55">
        <v>33.5</v>
      </c>
      <c r="Z71" s="52">
        <f t="shared" si="42"/>
        <v>-12128.453483572135</v>
      </c>
      <c r="AA71" s="52">
        <f t="shared" si="43"/>
        <v>-25233.655823418067</v>
      </c>
      <c r="AB71" s="52">
        <f t="shared" si="44"/>
        <v>-5480.7478941053159</v>
      </c>
      <c r="AC71" s="52">
        <f t="shared" si="45"/>
        <v>-1584.2480086135865</v>
      </c>
      <c r="AD71" s="52">
        <f t="shared" si="29"/>
        <v>1047.8762818831856</v>
      </c>
      <c r="AE71" s="52">
        <f t="shared" si="30"/>
        <v>1604.6095477424703</v>
      </c>
      <c r="AF71" s="52">
        <f t="shared" si="31"/>
        <v>162.61138261507372</v>
      </c>
      <c r="AG71" s="52">
        <f t="shared" si="32"/>
        <v>165.67448645524283</v>
      </c>
      <c r="AH71" s="52">
        <f t="shared" si="33"/>
        <v>-28.425536793626577</v>
      </c>
      <c r="AI71" s="52">
        <f t="shared" si="34"/>
        <v>127.23491856299744</v>
      </c>
      <c r="AJ71" s="52">
        <f t="shared" si="35"/>
        <v>913.69043606173852</v>
      </c>
      <c r="AK71" s="52">
        <f t="shared" si="36"/>
        <v>1311.7001427242301</v>
      </c>
      <c r="AM71" s="52">
        <f t="shared" si="37"/>
        <v>45866.433770373405</v>
      </c>
      <c r="AN71" s="57">
        <f t="shared" si="38"/>
        <v>36102.240197020597</v>
      </c>
      <c r="AO71" s="57">
        <f t="shared" si="39"/>
        <v>12471.670320355259</v>
      </c>
    </row>
    <row r="72" spans="12:41" x14ac:dyDescent="0.25">
      <c r="L72" s="6">
        <v>69</v>
      </c>
      <c r="M72" s="52">
        <f t="shared" si="25"/>
        <v>21791.839747726503</v>
      </c>
      <c r="N72" s="52">
        <f t="shared" si="26"/>
        <v>12167.902132486008</v>
      </c>
      <c r="P72" s="6">
        <v>69</v>
      </c>
      <c r="Q72" s="52">
        <f t="shared" si="40"/>
        <v>-18745.712176591449</v>
      </c>
      <c r="R72" s="52">
        <f t="shared" si="41"/>
        <v>13267.531492740207</v>
      </c>
      <c r="T72" s="6">
        <v>69</v>
      </c>
      <c r="U72" s="52">
        <f t="shared" si="27"/>
        <v>-3208.1602522734984</v>
      </c>
      <c r="V72" s="52">
        <f t="shared" si="28"/>
        <v>-10332.097867513992</v>
      </c>
      <c r="X72" s="6">
        <v>68</v>
      </c>
      <c r="Y72" s="55">
        <v>34</v>
      </c>
      <c r="Z72" s="52">
        <f t="shared" si="42"/>
        <v>-14737.842895389394</v>
      </c>
      <c r="AA72" s="52">
        <f t="shared" si="43"/>
        <v>-25825.20363425705</v>
      </c>
      <c r="AB72" s="52">
        <f t="shared" si="44"/>
        <v>-4956.8097531637231</v>
      </c>
      <c r="AC72" s="52">
        <f t="shared" si="45"/>
        <v>-781.94323474235136</v>
      </c>
      <c r="AD72" s="52">
        <f t="shared" si="29"/>
        <v>1059.341094988042</v>
      </c>
      <c r="AE72" s="52">
        <f t="shared" si="30"/>
        <v>1303.5269042653235</v>
      </c>
      <c r="AF72" s="52">
        <f t="shared" si="31"/>
        <v>153.04148256873981</v>
      </c>
      <c r="AG72" s="52">
        <f t="shared" si="32"/>
        <v>146.81794106935678</v>
      </c>
      <c r="AH72" s="52">
        <f t="shared" si="33"/>
        <v>-18.840103411330794</v>
      </c>
      <c r="AI72" s="52">
        <f t="shared" si="34"/>
        <v>128.26499243247741</v>
      </c>
      <c r="AJ72" s="52">
        <f t="shared" si="35"/>
        <v>925.13971583063301</v>
      </c>
      <c r="AK72" s="52">
        <f t="shared" si="36"/>
        <v>1028.4439707634895</v>
      </c>
      <c r="AM72" s="52">
        <f t="shared" si="37"/>
        <v>48138.206513012658</v>
      </c>
      <c r="AN72" s="57">
        <f t="shared" si="38"/>
        <v>36209.605256472882</v>
      </c>
      <c r="AO72" s="57">
        <f t="shared" si="39"/>
        <v>14560.5843968715</v>
      </c>
    </row>
    <row r="73" spans="12:41" x14ac:dyDescent="0.25">
      <c r="L73" s="6">
        <v>70</v>
      </c>
      <c r="M73" s="52">
        <f t="shared" si="25"/>
        <v>21710.100716628345</v>
      </c>
      <c r="N73" s="52">
        <f t="shared" si="26"/>
        <v>12198.463103929542</v>
      </c>
      <c r="P73" s="6">
        <v>70</v>
      </c>
      <c r="Q73" s="52">
        <f t="shared" si="40"/>
        <v>-18802.929498360158</v>
      </c>
      <c r="R73" s="52">
        <f t="shared" si="41"/>
        <v>13288.92417275068</v>
      </c>
      <c r="T73" s="6">
        <v>70</v>
      </c>
      <c r="U73" s="52">
        <f t="shared" si="27"/>
        <v>-3289.8992833716557</v>
      </c>
      <c r="V73" s="52">
        <f t="shared" si="28"/>
        <v>-10301.536896070458</v>
      </c>
      <c r="X73" s="6">
        <v>69</v>
      </c>
      <c r="Y73" s="55">
        <v>34.5</v>
      </c>
      <c r="Z73" s="52">
        <f t="shared" si="42"/>
        <v>-17083.830135097749</v>
      </c>
      <c r="AA73" s="52">
        <f t="shared" si="43"/>
        <v>-26053.234388595061</v>
      </c>
      <c r="AB73" s="52">
        <f t="shared" si="44"/>
        <v>-4427.1392056697023</v>
      </c>
      <c r="AC73" s="52">
        <f t="shared" si="45"/>
        <v>-130.1797826096896</v>
      </c>
      <c r="AD73" s="52">
        <f t="shared" si="29"/>
        <v>1031.4518037136324</v>
      </c>
      <c r="AE73" s="52">
        <f t="shared" si="30"/>
        <v>1081.090608146734</v>
      </c>
      <c r="AF73" s="52">
        <f t="shared" si="31"/>
        <v>146.37441236190799</v>
      </c>
      <c r="AG73" s="52">
        <f t="shared" si="32"/>
        <v>132.43871920941803</v>
      </c>
      <c r="AH73" s="52">
        <f t="shared" si="33"/>
        <v>-10.473038629230357</v>
      </c>
      <c r="AI73" s="52">
        <f t="shared" si="34"/>
        <v>129.480426022134</v>
      </c>
      <c r="AJ73" s="52">
        <f t="shared" si="35"/>
        <v>895.55042998095485</v>
      </c>
      <c r="AK73" s="52">
        <f t="shared" si="36"/>
        <v>819.17146291518202</v>
      </c>
      <c r="AM73" s="52">
        <f t="shared" si="37"/>
        <v>50010.298893575731</v>
      </c>
      <c r="AN73" s="57">
        <f t="shared" si="38"/>
        <v>36170.979480239919</v>
      </c>
      <c r="AO73" s="57">
        <f t="shared" si="39"/>
        <v>16376.59736279539</v>
      </c>
    </row>
    <row r="74" spans="12:41" x14ac:dyDescent="0.25">
      <c r="L74" s="6">
        <v>71</v>
      </c>
      <c r="M74" s="52">
        <f t="shared" si="25"/>
        <v>21627.840772285785</v>
      </c>
      <c r="N74" s="52">
        <f t="shared" si="26"/>
        <v>12227.592877996583</v>
      </c>
      <c r="P74" s="6">
        <v>71</v>
      </c>
      <c r="Q74" s="52">
        <f t="shared" si="40"/>
        <v>-18860.51145939995</v>
      </c>
      <c r="R74" s="52">
        <f t="shared" si="41"/>
        <v>13309.315014597609</v>
      </c>
      <c r="T74" s="6">
        <v>71</v>
      </c>
      <c r="U74" s="52">
        <f t="shared" si="27"/>
        <v>-3372.1592277142163</v>
      </c>
      <c r="V74" s="52">
        <f t="shared" si="28"/>
        <v>-10272.407122003417</v>
      </c>
      <c r="X74" s="6">
        <v>70</v>
      </c>
      <c r="Y74" s="55">
        <v>35</v>
      </c>
      <c r="Z74" s="52">
        <f t="shared" si="42"/>
        <v>-19168.468262468396</v>
      </c>
      <c r="AA74" s="52">
        <f t="shared" si="43"/>
        <v>-25983.187953881563</v>
      </c>
      <c r="AB74" s="52">
        <f t="shared" si="44"/>
        <v>-3911.4133038128862</v>
      </c>
      <c r="AC74" s="52">
        <f t="shared" si="45"/>
        <v>410.3655214636774</v>
      </c>
      <c r="AD74" s="52">
        <f t="shared" si="29"/>
        <v>996.43669808538607</v>
      </c>
      <c r="AE74" s="52">
        <f t="shared" si="30"/>
        <v>917.15522905394346</v>
      </c>
      <c r="AF74" s="52">
        <f t="shared" si="31"/>
        <v>141.80239919341182</v>
      </c>
      <c r="AG74" s="52">
        <f t="shared" si="32"/>
        <v>121.219863709961</v>
      </c>
      <c r="AH74" s="52">
        <f t="shared" si="33"/>
        <v>-3.0292801719619327</v>
      </c>
      <c r="AI74" s="52">
        <f t="shared" si="34"/>
        <v>131.08718870580682</v>
      </c>
      <c r="AJ74" s="52">
        <f t="shared" si="35"/>
        <v>857.66357906393625</v>
      </c>
      <c r="AK74" s="52">
        <f t="shared" si="36"/>
        <v>664.84817663817557</v>
      </c>
      <c r="AM74" s="52">
        <f t="shared" si="37"/>
        <v>51529.533100766137</v>
      </c>
      <c r="AN74" s="57">
        <f t="shared" si="38"/>
        <v>35992.794561618713</v>
      </c>
      <c r="AO74" s="57">
        <f t="shared" si="39"/>
        <v>17926.960437700061</v>
      </c>
    </row>
    <row r="75" spans="12:41" x14ac:dyDescent="0.25">
      <c r="L75" s="6">
        <v>72</v>
      </c>
      <c r="M75" s="52">
        <f t="shared" si="25"/>
        <v>21545.084971874738</v>
      </c>
      <c r="N75" s="52">
        <f t="shared" si="26"/>
        <v>12255.282581475767</v>
      </c>
      <c r="P75" s="6">
        <v>72</v>
      </c>
      <c r="Q75" s="52">
        <f t="shared" si="40"/>
        <v>-18918.440519687683</v>
      </c>
      <c r="R75" s="52">
        <f t="shared" si="41"/>
        <v>13328.697807033037</v>
      </c>
      <c r="T75" s="6">
        <v>72</v>
      </c>
      <c r="U75" s="52">
        <f t="shared" si="27"/>
        <v>-3454.9150281252628</v>
      </c>
      <c r="V75" s="52">
        <f t="shared" si="28"/>
        <v>-10244.717418524233</v>
      </c>
      <c r="X75" s="6">
        <v>71</v>
      </c>
      <c r="Y75" s="55">
        <v>35.5</v>
      </c>
      <c r="Z75" s="52">
        <f t="shared" si="42"/>
        <v>-20999.620327114164</v>
      </c>
      <c r="AA75" s="52">
        <f t="shared" si="43"/>
        <v>-25663.360789517981</v>
      </c>
      <c r="AB75" s="52">
        <f t="shared" si="44"/>
        <v>-3413.1949547701934</v>
      </c>
      <c r="AC75" s="52">
        <f t="shared" si="45"/>
        <v>868.94313599064913</v>
      </c>
      <c r="AD75" s="52">
        <f t="shared" si="29"/>
        <v>965.54566368216513</v>
      </c>
      <c r="AE75" s="52">
        <f t="shared" si="30"/>
        <v>794.06241656197813</v>
      </c>
      <c r="AF75" s="52">
        <f t="shared" si="31"/>
        <v>138.83977880632523</v>
      </c>
      <c r="AG75" s="52">
        <f t="shared" si="32"/>
        <v>112.30332475654721</v>
      </c>
      <c r="AH75" s="52">
        <f t="shared" si="33"/>
        <v>3.7354459996391043</v>
      </c>
      <c r="AI75" s="52">
        <f t="shared" si="34"/>
        <v>133.26915708035267</v>
      </c>
      <c r="AJ75" s="52">
        <f t="shared" si="35"/>
        <v>822.97043887620077</v>
      </c>
      <c r="AK75" s="52">
        <f t="shared" si="36"/>
        <v>548.48993472507823</v>
      </c>
      <c r="AM75" s="52">
        <f t="shared" si="37"/>
        <v>52733.076582191294</v>
      </c>
      <c r="AN75" s="57">
        <f t="shared" si="38"/>
        <v>35677.367386085374</v>
      </c>
      <c r="AO75" s="57">
        <f t="shared" si="39"/>
        <v>19227.457292612413</v>
      </c>
    </row>
    <row r="76" spans="12:41" x14ac:dyDescent="0.25">
      <c r="L76" s="6">
        <v>73</v>
      </c>
      <c r="M76" s="52">
        <f t="shared" si="25"/>
        <v>21461.858523613682</v>
      </c>
      <c r="N76" s="52">
        <f t="shared" si="26"/>
        <v>12281.523779815177</v>
      </c>
      <c r="P76" s="6">
        <v>73</v>
      </c>
      <c r="Q76" s="52">
        <f t="shared" si="40"/>
        <v>-18976.699033470421</v>
      </c>
      <c r="R76" s="52">
        <f t="shared" si="41"/>
        <v>13347.066645870624</v>
      </c>
      <c r="T76" s="6">
        <v>73</v>
      </c>
      <c r="U76" s="52">
        <f t="shared" si="27"/>
        <v>-3538.1414763863158</v>
      </c>
      <c r="V76" s="52">
        <f t="shared" si="28"/>
        <v>-10218.476220184823</v>
      </c>
      <c r="X76" s="6">
        <v>72</v>
      </c>
      <c r="Y76" s="55">
        <v>36</v>
      </c>
      <c r="Z76" s="52">
        <f t="shared" si="42"/>
        <v>-22585.524596538991</v>
      </c>
      <c r="AA76" s="52">
        <f t="shared" si="43"/>
        <v>-25129.631419452409</v>
      </c>
      <c r="AB76" s="52">
        <f t="shared" si="44"/>
        <v>-2930.4221229291106</v>
      </c>
      <c r="AC76" s="52">
        <f t="shared" si="45"/>
        <v>1265.9743442716381</v>
      </c>
      <c r="AD76" s="52">
        <f t="shared" si="29"/>
        <v>942.32528487011541</v>
      </c>
      <c r="AE76" s="52">
        <f t="shared" si="30"/>
        <v>699.32310202263</v>
      </c>
      <c r="AF76" s="52">
        <f t="shared" si="31"/>
        <v>137.19096612530271</v>
      </c>
      <c r="AG76" s="52">
        <f t="shared" si="32"/>
        <v>105.11765913788983</v>
      </c>
      <c r="AH76" s="52">
        <f t="shared" si="33"/>
        <v>10.02466823654057</v>
      </c>
      <c r="AI76" s="52">
        <f t="shared" si="34"/>
        <v>136.20558888643757</v>
      </c>
      <c r="AJ76" s="52">
        <f t="shared" si="35"/>
        <v>795.10965050827213</v>
      </c>
      <c r="AK76" s="52">
        <f t="shared" si="36"/>
        <v>457.99985399830263</v>
      </c>
      <c r="AM76" s="52">
        <f t="shared" si="37"/>
        <v>53649.04241206681</v>
      </c>
      <c r="AN76" s="57">
        <f t="shared" si="38"/>
        <v>35224.649623607133</v>
      </c>
      <c r="AO76" s="57">
        <f t="shared" si="39"/>
        <v>20294.336846259237</v>
      </c>
    </row>
    <row r="77" spans="12:41" x14ac:dyDescent="0.25">
      <c r="L77" s="6">
        <v>74</v>
      </c>
      <c r="M77" s="52">
        <f t="shared" si="25"/>
        <v>21378.186779084997</v>
      </c>
      <c r="N77" s="52">
        <f t="shared" si="26"/>
        <v>12306.308479691594</v>
      </c>
      <c r="P77" s="6">
        <v>74</v>
      </c>
      <c r="Q77" s="52">
        <f t="shared" si="40"/>
        <v>-19035.269254640501</v>
      </c>
      <c r="R77" s="52">
        <f t="shared" si="41"/>
        <v>13364.415935784116</v>
      </c>
      <c r="T77" s="6">
        <v>74</v>
      </c>
      <c r="U77" s="52">
        <f t="shared" si="27"/>
        <v>-3621.8132209150044</v>
      </c>
      <c r="V77" s="52">
        <f t="shared" si="28"/>
        <v>-10193.691520308406</v>
      </c>
      <c r="X77" s="6">
        <v>73</v>
      </c>
      <c r="Y77" s="55">
        <v>36.5</v>
      </c>
      <c r="Z77" s="52">
        <f t="shared" si="42"/>
        <v>-23932.944997394785</v>
      </c>
      <c r="AA77" s="52">
        <f t="shared" si="43"/>
        <v>-24409.228859563762</v>
      </c>
      <c r="AB77" s="52">
        <f t="shared" si="44"/>
        <v>-2459.2594804940527</v>
      </c>
      <c r="AC77" s="52">
        <f t="shared" si="45"/>
        <v>1615.635895282953</v>
      </c>
      <c r="AD77" s="52">
        <f t="shared" si="29"/>
        <v>927.5947468726315</v>
      </c>
      <c r="AE77" s="52">
        <f t="shared" si="30"/>
        <v>624.47019291753247</v>
      </c>
      <c r="AF77" s="52">
        <f t="shared" si="31"/>
        <v>136.67901380487805</v>
      </c>
      <c r="AG77" s="52">
        <f t="shared" si="32"/>
        <v>99.272241641391304</v>
      </c>
      <c r="AH77" s="52">
        <f t="shared" si="33"/>
        <v>16.012054359425612</v>
      </c>
      <c r="AI77" s="52">
        <f t="shared" si="34"/>
        <v>140.08902828038879</v>
      </c>
      <c r="AJ77" s="52">
        <f t="shared" si="35"/>
        <v>774.90367870832779</v>
      </c>
      <c r="AK77" s="52">
        <f t="shared" si="36"/>
        <v>385.10892299575238</v>
      </c>
      <c r="AM77" s="52">
        <f t="shared" si="37"/>
        <v>54298.273845087679</v>
      </c>
      <c r="AN77" s="57">
        <f t="shared" si="38"/>
        <v>34633.265613602896</v>
      </c>
      <c r="AO77" s="57">
        <f t="shared" si="39"/>
        <v>21142.137876904118</v>
      </c>
    </row>
    <row r="78" spans="12:41" x14ac:dyDescent="0.25">
      <c r="L78" s="6">
        <v>75</v>
      </c>
      <c r="M78" s="52">
        <f t="shared" si="25"/>
        <v>21294.095225512603</v>
      </c>
      <c r="N78" s="52">
        <f t="shared" si="26"/>
        <v>12329.629131445341</v>
      </c>
      <c r="P78" s="6">
        <v>75</v>
      </c>
      <c r="Q78" s="52">
        <f t="shared" si="40"/>
        <v>-19094.133342141176</v>
      </c>
      <c r="R78" s="52">
        <f t="shared" si="41"/>
        <v>13380.740392011739</v>
      </c>
      <c r="T78" s="6">
        <v>75</v>
      </c>
      <c r="U78" s="52">
        <f t="shared" si="27"/>
        <v>-3705.904774487396</v>
      </c>
      <c r="V78" s="52">
        <f t="shared" si="28"/>
        <v>-10170.370868554659</v>
      </c>
      <c r="X78" s="6">
        <v>74</v>
      </c>
      <c r="Y78" s="55">
        <v>37</v>
      </c>
      <c r="Z78" s="52">
        <f t="shared" si="42"/>
        <v>-25046.625394282732</v>
      </c>
      <c r="AA78" s="52">
        <f t="shared" si="43"/>
        <v>-23523.352137807593</v>
      </c>
      <c r="AB78" s="52">
        <f t="shared" si="44"/>
        <v>-1995.4621070577368</v>
      </c>
      <c r="AC78" s="52">
        <f t="shared" si="45"/>
        <v>1927.8709917417193</v>
      </c>
      <c r="AD78" s="52">
        <f t="shared" si="29"/>
        <v>921.29080124160737</v>
      </c>
      <c r="AE78" s="52">
        <f t="shared" si="30"/>
        <v>563.72198508135489</v>
      </c>
      <c r="AF78" s="52">
        <f t="shared" si="31"/>
        <v>137.20693633258261</v>
      </c>
      <c r="AG78" s="52">
        <f t="shared" si="32"/>
        <v>94.493628864276744</v>
      </c>
      <c r="AH78" s="52">
        <f t="shared" si="33"/>
        <v>21.850149161868483</v>
      </c>
      <c r="AI78" s="52">
        <f t="shared" si="34"/>
        <v>145.14456441462229</v>
      </c>
      <c r="AJ78" s="52">
        <f t="shared" si="35"/>
        <v>762.23371574715634</v>
      </c>
      <c r="AK78" s="52">
        <f t="shared" si="36"/>
        <v>324.08379180245589</v>
      </c>
      <c r="AM78" s="52">
        <f t="shared" si="37"/>
        <v>54695.949002455825</v>
      </c>
      <c r="AN78" s="57">
        <f t="shared" si="38"/>
        <v>33901.08503316182</v>
      </c>
      <c r="AO78" s="57">
        <f t="shared" si="39"/>
        <v>21783.358817312139</v>
      </c>
    </row>
    <row r="79" spans="12:41" x14ac:dyDescent="0.25">
      <c r="L79" s="6">
        <v>76</v>
      </c>
      <c r="M79" s="52">
        <f t="shared" si="25"/>
        <v>21209.60947799834</v>
      </c>
      <c r="N79" s="52">
        <f t="shared" si="26"/>
        <v>12351.478631379981</v>
      </c>
      <c r="P79" s="6">
        <v>76</v>
      </c>
      <c r="Q79" s="52">
        <f t="shared" si="40"/>
        <v>-19153.273365401161</v>
      </c>
      <c r="R79" s="52">
        <f t="shared" si="41"/>
        <v>13396.035041965988</v>
      </c>
      <c r="T79" s="6">
        <v>76</v>
      </c>
      <c r="U79" s="52">
        <f t="shared" si="27"/>
        <v>-3790.3905220016604</v>
      </c>
      <c r="V79" s="52">
        <f t="shared" si="28"/>
        <v>-10148.521368620019</v>
      </c>
      <c r="X79" s="6">
        <v>75</v>
      </c>
      <c r="Y79" s="55">
        <v>37.5</v>
      </c>
      <c r="Z79" s="52">
        <f t="shared" si="42"/>
        <v>-25929.195097656397</v>
      </c>
      <c r="AA79" s="52">
        <f t="shared" si="43"/>
        <v>-22488.951393801563</v>
      </c>
      <c r="AB79" s="52">
        <f t="shared" si="44"/>
        <v>-1534.8167064369331</v>
      </c>
      <c r="AC79" s="52">
        <f t="shared" si="45"/>
        <v>2209.7319842823968</v>
      </c>
      <c r="AD79" s="52">
        <f t="shared" si="29"/>
        <v>923.15000166615823</v>
      </c>
      <c r="AE79" s="52">
        <f t="shared" si="30"/>
        <v>513.01727168421871</v>
      </c>
      <c r="AF79" s="52">
        <f t="shared" si="31"/>
        <v>138.73702562518753</v>
      </c>
      <c r="AG79" s="52">
        <f t="shared" si="32"/>
        <v>90.586780568393863</v>
      </c>
      <c r="AH79" s="52">
        <f t="shared" si="33"/>
        <v>27.676419850796602</v>
      </c>
      <c r="AI79" s="52">
        <f t="shared" si="34"/>
        <v>151.65260115026217</v>
      </c>
      <c r="AJ79" s="52">
        <f t="shared" si="35"/>
        <v>756.73655619017404</v>
      </c>
      <c r="AK79" s="52">
        <f t="shared" si="36"/>
        <v>270.77788996556274</v>
      </c>
      <c r="AM79" s="52">
        <f t="shared" si="37"/>
        <v>54852.786328666814</v>
      </c>
      <c r="AN79" s="57">
        <f t="shared" si="38"/>
        <v>33025.555516521948</v>
      </c>
      <c r="AO79" s="57">
        <f t="shared" si="39"/>
        <v>22228.711173041203</v>
      </c>
    </row>
    <row r="80" spans="12:41" x14ac:dyDescent="0.25">
      <c r="L80" s="6">
        <v>77</v>
      </c>
      <c r="M80" s="52">
        <f t="shared" si="25"/>
        <v>21124.755271719325</v>
      </c>
      <c r="N80" s="52">
        <f t="shared" si="26"/>
        <v>12371.850323926177</v>
      </c>
      <c r="P80" s="6">
        <v>77</v>
      </c>
      <c r="Q80" s="52">
        <f t="shared" si="40"/>
        <v>-19212.671309796471</v>
      </c>
      <c r="R80" s="52">
        <f t="shared" si="41"/>
        <v>13410.295226748323</v>
      </c>
      <c r="T80" s="6">
        <v>77</v>
      </c>
      <c r="U80" s="52">
        <f t="shared" si="27"/>
        <v>-3875.2447282806752</v>
      </c>
      <c r="V80" s="52">
        <f t="shared" si="28"/>
        <v>-10128.149676073823</v>
      </c>
      <c r="X80" s="6">
        <v>76</v>
      </c>
      <c r="Y80" s="55">
        <v>38</v>
      </c>
      <c r="Z80" s="52">
        <f t="shared" si="42"/>
        <v>-26581.209700666594</v>
      </c>
      <c r="AA80" s="52">
        <f t="shared" si="43"/>
        <v>-21319.958242699835</v>
      </c>
      <c r="AB80" s="52">
        <f t="shared" si="44"/>
        <v>-1073.2417056038539</v>
      </c>
      <c r="AC80" s="52">
        <f t="shared" si="45"/>
        <v>2466.2406201245062</v>
      </c>
      <c r="AD80" s="52">
        <f t="shared" si="29"/>
        <v>932.94748147333007</v>
      </c>
      <c r="AE80" s="52">
        <f t="shared" si="30"/>
        <v>469.3809583076029</v>
      </c>
      <c r="AF80" s="52">
        <f t="shared" si="31"/>
        <v>141.28074747942728</v>
      </c>
      <c r="AG80" s="52">
        <f t="shared" si="32"/>
        <v>87.410895273427087</v>
      </c>
      <c r="AH80" s="52">
        <f t="shared" si="33"/>
        <v>33.61598550858136</v>
      </c>
      <c r="AI80" s="52">
        <f t="shared" si="34"/>
        <v>159.97837940178849</v>
      </c>
      <c r="AJ80" s="52">
        <f t="shared" si="35"/>
        <v>758.05074848532149</v>
      </c>
      <c r="AK80" s="52">
        <f t="shared" si="36"/>
        <v>221.99168363238735</v>
      </c>
      <c r="AM80" s="52">
        <f t="shared" si="37"/>
        <v>54775.898808585858</v>
      </c>
      <c r="AN80" s="57">
        <f t="shared" si="38"/>
        <v>32003.938905213046</v>
      </c>
      <c r="AO80" s="57">
        <f t="shared" si="39"/>
        <v>22487.562881148671</v>
      </c>
    </row>
    <row r="81" spans="12:41" x14ac:dyDescent="0.25">
      <c r="L81" s="6">
        <v>78</v>
      </c>
      <c r="M81" s="52">
        <f t="shared" si="25"/>
        <v>21039.558454088798</v>
      </c>
      <c r="N81" s="52">
        <f t="shared" si="26"/>
        <v>12390.738003669028</v>
      </c>
      <c r="P81" s="6">
        <v>78</v>
      </c>
      <c r="Q81" s="52">
        <f t="shared" si="40"/>
        <v>-19272.309082137843</v>
      </c>
      <c r="R81" s="52">
        <f t="shared" si="41"/>
        <v>13423.516602568319</v>
      </c>
      <c r="T81" s="6">
        <v>78</v>
      </c>
      <c r="U81" s="52">
        <f t="shared" si="27"/>
        <v>-3960.4415459112024</v>
      </c>
      <c r="V81" s="52">
        <f t="shared" si="28"/>
        <v>-10109.261996330972</v>
      </c>
      <c r="X81" s="6">
        <v>77</v>
      </c>
      <c r="Y81" s="55">
        <v>38.5</v>
      </c>
      <c r="Z81" s="52">
        <f t="shared" si="42"/>
        <v>-27001.212118284355</v>
      </c>
      <c r="AA81" s="52">
        <f t="shared" si="43"/>
        <v>-20028.165312849134</v>
      </c>
      <c r="AB81" s="52">
        <f t="shared" si="44"/>
        <v>-606.76796486718888</v>
      </c>
      <c r="AC81" s="52">
        <f t="shared" si="45"/>
        <v>2700.9310992783076</v>
      </c>
      <c r="AD81" s="52">
        <f t="shared" si="29"/>
        <v>950.55395946001499</v>
      </c>
      <c r="AE81" s="52">
        <f t="shared" si="30"/>
        <v>430.51125193857024</v>
      </c>
      <c r="AF81" s="52">
        <f t="shared" si="31"/>
        <v>144.89564096845862</v>
      </c>
      <c r="AG81" s="52">
        <f t="shared" si="32"/>
        <v>84.864006222922086</v>
      </c>
      <c r="AH81" s="52">
        <f t="shared" si="33"/>
        <v>39.77923559558112</v>
      </c>
      <c r="AI81" s="52">
        <f t="shared" si="34"/>
        <v>170.61295134357306</v>
      </c>
      <c r="AJ81" s="52">
        <f t="shared" si="35"/>
        <v>765.87908289597522</v>
      </c>
      <c r="AK81" s="52">
        <f t="shared" si="36"/>
        <v>175.0342943720751</v>
      </c>
      <c r="AM81" s="52">
        <f t="shared" si="37"/>
        <v>54469.384300536301</v>
      </c>
      <c r="AN81" s="57">
        <f t="shared" si="38"/>
        <v>30833.548014800497</v>
      </c>
      <c r="AO81" s="57">
        <f t="shared" si="39"/>
        <v>22568.468735983875</v>
      </c>
    </row>
    <row r="82" spans="12:41" x14ac:dyDescent="0.25">
      <c r="L82" s="6">
        <v>79</v>
      </c>
      <c r="M82" s="52">
        <f t="shared" si="25"/>
        <v>20954.044976882724</v>
      </c>
      <c r="N82" s="52">
        <f t="shared" si="26"/>
        <v>12408.13591723832</v>
      </c>
      <c r="P82" s="6">
        <v>79</v>
      </c>
      <c r="Q82" s="52">
        <f t="shared" si="40"/>
        <v>-19332.168516182093</v>
      </c>
      <c r="R82" s="52">
        <f t="shared" si="41"/>
        <v>13435.695142066823</v>
      </c>
      <c r="T82" s="6">
        <v>79</v>
      </c>
      <c r="U82" s="52">
        <f t="shared" si="27"/>
        <v>-4045.9550231172752</v>
      </c>
      <c r="V82" s="52">
        <f t="shared" si="28"/>
        <v>-10091.86408276168</v>
      </c>
      <c r="X82" s="6">
        <v>78</v>
      </c>
      <c r="Y82" s="55">
        <v>39</v>
      </c>
      <c r="Z82" s="52">
        <f t="shared" si="42"/>
        <v>-27185.776855785447</v>
      </c>
      <c r="AA82" s="52">
        <f t="shared" si="43"/>
        <v>-18623.885856717661</v>
      </c>
      <c r="AB82" s="52">
        <f t="shared" si="44"/>
        <v>-131.49098513718138</v>
      </c>
      <c r="AC82" s="52">
        <f t="shared" si="45"/>
        <v>2916.1867252475927</v>
      </c>
      <c r="AD82" s="52">
        <f t="shared" si="29"/>
        <v>975.89866403944291</v>
      </c>
      <c r="AE82" s="52">
        <f t="shared" si="30"/>
        <v>394.50647324141681</v>
      </c>
      <c r="AF82" s="52">
        <f t="shared" si="31"/>
        <v>149.68773042009821</v>
      </c>
      <c r="AG82" s="52">
        <f t="shared" si="32"/>
        <v>82.872963935663449</v>
      </c>
      <c r="AH82" s="52">
        <f t="shared" si="33"/>
        <v>46.249971842866749</v>
      </c>
      <c r="AI82" s="52">
        <f t="shared" si="34"/>
        <v>184.23253901083166</v>
      </c>
      <c r="AJ82" s="52">
        <f t="shared" si="35"/>
        <v>779.96096177647792</v>
      </c>
      <c r="AK82" s="52">
        <f t="shared" si="36"/>
        <v>127.40097029492169</v>
      </c>
      <c r="AM82" s="52">
        <f t="shared" si="37"/>
        <v>53934.728605405908</v>
      </c>
      <c r="AN82" s="57">
        <f t="shared" si="38"/>
        <v>29512.06923547624</v>
      </c>
      <c r="AO82" s="57">
        <f t="shared" si="39"/>
        <v>22479.796337983658</v>
      </c>
    </row>
    <row r="83" spans="12:41" x14ac:dyDescent="0.25">
      <c r="L83" s="6">
        <v>80</v>
      </c>
      <c r="M83" s="52">
        <f t="shared" si="25"/>
        <v>20868.240888334651</v>
      </c>
      <c r="N83" s="52">
        <f t="shared" si="26"/>
        <v>12424.038765061039</v>
      </c>
      <c r="P83" s="6">
        <v>80</v>
      </c>
      <c r="Q83" s="52">
        <f t="shared" si="40"/>
        <v>-19392.231378165743</v>
      </c>
      <c r="R83" s="52">
        <f t="shared" si="41"/>
        <v>13446.827135542728</v>
      </c>
      <c r="T83" s="6">
        <v>80</v>
      </c>
      <c r="U83" s="52">
        <f t="shared" si="27"/>
        <v>-4131.7591116653475</v>
      </c>
      <c r="V83" s="52">
        <f t="shared" si="28"/>
        <v>-10075.961234938961</v>
      </c>
      <c r="X83" s="6">
        <v>79</v>
      </c>
      <c r="Y83" s="55">
        <v>39.5</v>
      </c>
      <c r="Z83" s="52">
        <f t="shared" si="42"/>
        <v>-27129.535015349109</v>
      </c>
      <c r="AA83" s="52">
        <f t="shared" si="43"/>
        <v>-17116.479184938689</v>
      </c>
      <c r="AB83" s="52">
        <f t="shared" si="44"/>
        <v>356.45834688254007</v>
      </c>
      <c r="AC83" s="52">
        <f t="shared" si="45"/>
        <v>3113.439961868301</v>
      </c>
      <c r="AD83" s="52">
        <f t="shared" si="29"/>
        <v>1008.848719682426</v>
      </c>
      <c r="AE83" s="52">
        <f t="shared" si="30"/>
        <v>359.68326338298988</v>
      </c>
      <c r="AF83" s="52">
        <f t="shared" si="31"/>
        <v>155.81927095170622</v>
      </c>
      <c r="AG83" s="52">
        <f t="shared" si="32"/>
        <v>81.386795748054439</v>
      </c>
      <c r="AH83" s="52">
        <f t="shared" si="33"/>
        <v>53.0542189090623</v>
      </c>
      <c r="AI83" s="52">
        <f t="shared" si="34"/>
        <v>201.7864586713616</v>
      </c>
      <c r="AJ83" s="52">
        <f t="shared" si="35"/>
        <v>799.97522982165742</v>
      </c>
      <c r="AK83" s="52">
        <f t="shared" si="36"/>
        <v>76.510008963573867</v>
      </c>
      <c r="AM83" s="52">
        <f t="shared" si="37"/>
        <v>53171.083478010274</v>
      </c>
      <c r="AN83" s="57">
        <f t="shared" si="38"/>
        <v>28038.076127336237</v>
      </c>
      <c r="AO83" s="57">
        <f t="shared" si="39"/>
        <v>22230.515156780355</v>
      </c>
    </row>
    <row r="84" spans="12:41" x14ac:dyDescent="0.25">
      <c r="L84" s="6">
        <v>81</v>
      </c>
      <c r="M84" s="52">
        <f t="shared" si="25"/>
        <v>20782.172325201154</v>
      </c>
      <c r="N84" s="52">
        <f t="shared" si="26"/>
        <v>12438.441702975688</v>
      </c>
      <c r="P84" s="6">
        <v>81</v>
      </c>
      <c r="Q84" s="52">
        <f t="shared" si="40"/>
        <v>-19452.47937235919</v>
      </c>
      <c r="R84" s="52">
        <f t="shared" si="41"/>
        <v>13456.909192082981</v>
      </c>
      <c r="T84" s="6">
        <v>81</v>
      </c>
      <c r="U84" s="52">
        <f t="shared" si="27"/>
        <v>-4217.8276747988457</v>
      </c>
      <c r="V84" s="52">
        <f t="shared" si="28"/>
        <v>-10061.558297024312</v>
      </c>
      <c r="X84" s="6">
        <v>80</v>
      </c>
      <c r="Y84" s="55">
        <v>40</v>
      </c>
      <c r="Z84" s="52">
        <f t="shared" si="42"/>
        <v>-26825.199751947537</v>
      </c>
      <c r="AA84" s="52">
        <f t="shared" si="43"/>
        <v>-15514.798796081664</v>
      </c>
      <c r="AB84" s="52">
        <f t="shared" si="44"/>
        <v>860.88270672375302</v>
      </c>
      <c r="AC84" s="52">
        <f t="shared" si="45"/>
        <v>3293.281593559796</v>
      </c>
      <c r="AD84" s="52">
        <f t="shared" si="29"/>
        <v>1048.9639396332941</v>
      </c>
      <c r="AE84" s="52">
        <f t="shared" si="30"/>
        <v>324.46765522947766</v>
      </c>
      <c r="AF84" s="52">
        <f t="shared" si="31"/>
        <v>163.52269858384992</v>
      </c>
      <c r="AG84" s="52">
        <f t="shared" si="32"/>
        <v>80.372150603438399</v>
      </c>
      <c r="AH84" s="52">
        <f t="shared" si="33"/>
        <v>60.087803821290471</v>
      </c>
      <c r="AI84" s="52">
        <f t="shared" si="34"/>
        <v>224.62759777267803</v>
      </c>
      <c r="AJ84" s="52">
        <f t="shared" si="35"/>
        <v>825.35343722815378</v>
      </c>
      <c r="AK84" s="52">
        <f t="shared" si="36"/>
        <v>19.467906853361228</v>
      </c>
      <c r="AM84" s="52">
        <f t="shared" si="37"/>
        <v>52175.475996237066</v>
      </c>
      <c r="AN84" s="57">
        <f t="shared" si="38"/>
        <v>26411.897115855103</v>
      </c>
      <c r="AO84" s="57">
        <f t="shared" si="39"/>
        <v>21831.270279414752</v>
      </c>
    </row>
    <row r="85" spans="12:41" x14ac:dyDescent="0.25">
      <c r="L85" s="6">
        <v>82</v>
      </c>
      <c r="M85" s="52">
        <f t="shared" si="25"/>
        <v>20695.865504800327</v>
      </c>
      <c r="N85" s="52">
        <f t="shared" si="26"/>
        <v>12451.340343707852</v>
      </c>
      <c r="P85" s="6">
        <v>82</v>
      </c>
      <c r="Q85" s="52">
        <f t="shared" si="40"/>
        <v>-19512.89414663977</v>
      </c>
      <c r="R85" s="52">
        <f t="shared" si="41"/>
        <v>13465.938240595497</v>
      </c>
      <c r="T85" s="6">
        <v>82</v>
      </c>
      <c r="U85" s="52">
        <f t="shared" si="27"/>
        <v>-4304.1344951996716</v>
      </c>
      <c r="V85" s="52">
        <f t="shared" si="28"/>
        <v>-10048.659656292148</v>
      </c>
      <c r="X85" s="6">
        <v>81</v>
      </c>
      <c r="Y85" s="55">
        <v>40.5</v>
      </c>
      <c r="Z85" s="52">
        <f t="shared" si="42"/>
        <v>-26263.637906131498</v>
      </c>
      <c r="AA85" s="52">
        <f t="shared" si="43"/>
        <v>-13827.59954239808</v>
      </c>
      <c r="AB85" s="52">
        <f t="shared" si="44"/>
        <v>1385.3646765404001</v>
      </c>
      <c r="AC85" s="52">
        <f t="shared" si="45"/>
        <v>3455.5154211745348</v>
      </c>
      <c r="AD85" s="52">
        <f t="shared" si="29"/>
        <v>1095.0251596258565</v>
      </c>
      <c r="AE85" s="52">
        <f t="shared" si="30"/>
        <v>287.37138396437518</v>
      </c>
      <c r="AF85" s="52">
        <f t="shared" si="31"/>
        <v>173.12275502535434</v>
      </c>
      <c r="AG85" s="52">
        <f t="shared" si="32"/>
        <v>79.809823826415695</v>
      </c>
      <c r="AH85" s="52">
        <f t="shared" si="33"/>
        <v>66.953900349417765</v>
      </c>
      <c r="AI85" s="52">
        <f t="shared" si="34"/>
        <v>254.70034335252021</v>
      </c>
      <c r="AJ85" s="52">
        <f t="shared" si="35"/>
        <v>854.94850425108439</v>
      </c>
      <c r="AK85" s="52">
        <f t="shared" si="36"/>
        <v>-47.138783214560704</v>
      </c>
      <c r="AM85" s="52">
        <f t="shared" si="37"/>
        <v>50943.014187919289</v>
      </c>
      <c r="AN85" s="57">
        <f t="shared" si="38"/>
        <v>24637.119551035517</v>
      </c>
      <c r="AO85" s="57">
        <f t="shared" si="39"/>
        <v>21295.934349918942</v>
      </c>
    </row>
    <row r="86" spans="12:41" x14ac:dyDescent="0.25">
      <c r="L86" s="6">
        <v>83</v>
      </c>
      <c r="M86" s="52">
        <f t="shared" si="25"/>
        <v>20609.346717025739</v>
      </c>
      <c r="N86" s="52">
        <f t="shared" si="26"/>
        <v>12462.73075820661</v>
      </c>
      <c r="P86" s="6">
        <v>83</v>
      </c>
      <c r="Q86" s="52">
        <f t="shared" si="40"/>
        <v>-19573.457298081983</v>
      </c>
      <c r="R86" s="52">
        <f t="shared" si="41"/>
        <v>13473.911530744626</v>
      </c>
      <c r="T86" s="6">
        <v>83</v>
      </c>
      <c r="U86" s="52">
        <f t="shared" si="27"/>
        <v>-4390.6532829742628</v>
      </c>
      <c r="V86" s="52">
        <f t="shared" si="28"/>
        <v>-10037.26924179339</v>
      </c>
      <c r="X86" s="6">
        <v>82</v>
      </c>
      <c r="Y86" s="55">
        <v>41</v>
      </c>
      <c r="Z86" s="52">
        <f t="shared" si="42"/>
        <v>-25434.077422908067</v>
      </c>
      <c r="AA86" s="52">
        <f t="shared" si="43"/>
        <v>-12063.920408815266</v>
      </c>
      <c r="AB86" s="52">
        <f t="shared" si="44"/>
        <v>1932.8772563533284</v>
      </c>
      <c r="AC86" s="52">
        <f t="shared" si="45"/>
        <v>3599.2011131567224</v>
      </c>
      <c r="AD86" s="52">
        <f t="shared" si="29"/>
        <v>1144.1376472607546</v>
      </c>
      <c r="AE86" s="52">
        <f t="shared" si="30"/>
        <v>247.1031869503708</v>
      </c>
      <c r="AF86" s="52">
        <f t="shared" si="31"/>
        <v>185.07012218235329</v>
      </c>
      <c r="AG86" s="52">
        <f t="shared" si="32"/>
        <v>79.69122178322705</v>
      </c>
      <c r="AH86" s="52">
        <f t="shared" si="33"/>
        <v>72.601790372880671</v>
      </c>
      <c r="AI86" s="52">
        <f t="shared" si="34"/>
        <v>294.78419235835571</v>
      </c>
      <c r="AJ86" s="52">
        <f t="shared" si="35"/>
        <v>886.46573470552073</v>
      </c>
      <c r="AK86" s="52">
        <f t="shared" si="36"/>
        <v>-127.37222719121193</v>
      </c>
      <c r="AM86" s="52">
        <f t="shared" si="37"/>
        <v>49467.184810066392</v>
      </c>
      <c r="AN86" s="57">
        <f t="shared" si="38"/>
        <v>22723.243193802551</v>
      </c>
      <c r="AO86" s="57">
        <f t="shared" si="39"/>
        <v>20643.935755838149</v>
      </c>
    </row>
    <row r="87" spans="12:41" x14ac:dyDescent="0.25">
      <c r="L87" s="6">
        <v>84</v>
      </c>
      <c r="M87" s="52">
        <f t="shared" si="25"/>
        <v>20522.642316338268</v>
      </c>
      <c r="N87" s="52">
        <f t="shared" si="26"/>
        <v>12472.609476841368</v>
      </c>
      <c r="P87" s="6">
        <v>84</v>
      </c>
      <c r="Q87" s="52">
        <f t="shared" si="40"/>
        <v>-19634.150378563212</v>
      </c>
      <c r="R87" s="52">
        <f t="shared" si="41"/>
        <v>13480.826633788956</v>
      </c>
      <c r="T87" s="6">
        <v>84</v>
      </c>
      <c r="U87" s="52">
        <f t="shared" si="27"/>
        <v>-4477.3576836617331</v>
      </c>
      <c r="V87" s="52">
        <f t="shared" si="28"/>
        <v>-10027.390523158632</v>
      </c>
      <c r="X87" s="6">
        <v>83</v>
      </c>
      <c r="Y87" s="55">
        <v>41.5</v>
      </c>
      <c r="Z87" s="52">
        <f t="shared" si="42"/>
        <v>-24324.621588823808</v>
      </c>
      <c r="AA87" s="52">
        <f t="shared" si="43"/>
        <v>-10233.431953868108</v>
      </c>
      <c r="AB87" s="52">
        <f t="shared" si="44"/>
        <v>2504.9460799837057</v>
      </c>
      <c r="AC87" s="52">
        <f t="shared" si="45"/>
        <v>3722.7527066319076</v>
      </c>
      <c r="AD87" s="52">
        <f t="shared" si="29"/>
        <v>1190.0583313273025</v>
      </c>
      <c r="AE87" s="52">
        <f t="shared" si="30"/>
        <v>202.89214994115494</v>
      </c>
      <c r="AF87" s="52">
        <f t="shared" si="31"/>
        <v>199.99163436964017</v>
      </c>
      <c r="AG87" s="52">
        <f t="shared" si="32"/>
        <v>80.012821594648941</v>
      </c>
      <c r="AH87" s="52">
        <f t="shared" si="33"/>
        <v>74.53062403558512</v>
      </c>
      <c r="AI87" s="52">
        <f t="shared" si="34"/>
        <v>348.70341345021143</v>
      </c>
      <c r="AJ87" s="52">
        <f t="shared" si="35"/>
        <v>915.53607292207721</v>
      </c>
      <c r="AK87" s="52">
        <f t="shared" si="36"/>
        <v>-225.82408510370541</v>
      </c>
      <c r="AM87" s="52">
        <f t="shared" si="37"/>
        <v>47740.409380889228</v>
      </c>
      <c r="AN87" s="57">
        <f t="shared" si="38"/>
        <v>20690.435484018504</v>
      </c>
      <c r="AO87" s="57">
        <f t="shared" si="39"/>
        <v>19903.797891097085</v>
      </c>
    </row>
    <row r="88" spans="12:41" x14ac:dyDescent="0.25">
      <c r="L88" s="6">
        <v>85</v>
      </c>
      <c r="M88" s="52">
        <f t="shared" si="25"/>
        <v>20435.778713738291</v>
      </c>
      <c r="N88" s="52">
        <f t="shared" si="26"/>
        <v>12480.973490458728</v>
      </c>
      <c r="P88" s="6">
        <v>85</v>
      </c>
      <c r="Q88" s="52">
        <f t="shared" si="40"/>
        <v>-19694.954900383196</v>
      </c>
      <c r="R88" s="52">
        <f t="shared" si="41"/>
        <v>13486.681443321109</v>
      </c>
      <c r="T88" s="6">
        <v>85</v>
      </c>
      <c r="U88" s="52">
        <f t="shared" si="27"/>
        <v>-4564.2212862617089</v>
      </c>
      <c r="V88" s="52">
        <f t="shared" si="28"/>
        <v>-10019.026509541272</v>
      </c>
      <c r="X88" s="6">
        <v>84</v>
      </c>
      <c r="Y88" s="55">
        <v>42</v>
      </c>
      <c r="Z88" s="52">
        <f t="shared" si="42"/>
        <v>-22923.391257416042</v>
      </c>
      <c r="AA88" s="52">
        <f t="shared" si="43"/>
        <v>-8346.69408180951</v>
      </c>
      <c r="AB88" s="52">
        <f t="shared" si="44"/>
        <v>3099.975245647357</v>
      </c>
      <c r="AC88" s="52">
        <f t="shared" si="45"/>
        <v>3824.1987816024853</v>
      </c>
      <c r="AD88" s="52">
        <f t="shared" si="29"/>
        <v>1220.2295908728649</v>
      </c>
      <c r="AE88" s="52">
        <f t="shared" si="30"/>
        <v>154.99672722329382</v>
      </c>
      <c r="AF88" s="52">
        <f t="shared" si="31"/>
        <v>218.76393587895802</v>
      </c>
      <c r="AG88" s="52">
        <f t="shared" si="32"/>
        <v>80.764475183621158</v>
      </c>
      <c r="AH88" s="52">
        <f t="shared" si="33"/>
        <v>67.095236305507754</v>
      </c>
      <c r="AI88" s="52">
        <f t="shared" si="34"/>
        <v>421.07801058826368</v>
      </c>
      <c r="AJ88" s="52">
        <f t="shared" si="35"/>
        <v>934.37041868839913</v>
      </c>
      <c r="AK88" s="52">
        <f t="shared" si="36"/>
        <v>-346.84575854859105</v>
      </c>
      <c r="AM88" s="52">
        <f t="shared" si="37"/>
        <v>45755.166160332941</v>
      </c>
      <c r="AN88" s="57">
        <f t="shared" si="38"/>
        <v>18578.143076622073</v>
      </c>
      <c r="AO88" s="57">
        <f t="shared" si="39"/>
        <v>19118.431782116608</v>
      </c>
    </row>
    <row r="89" spans="12:41" x14ac:dyDescent="0.25">
      <c r="L89" s="6">
        <v>86</v>
      </c>
      <c r="M89" s="52">
        <f t="shared" si="25"/>
        <v>20348.782368720626</v>
      </c>
      <c r="N89" s="52">
        <f t="shared" si="26"/>
        <v>12487.820251299121</v>
      </c>
      <c r="P89" s="6">
        <v>86</v>
      </c>
      <c r="Q89" s="52">
        <f t="shared" si="40"/>
        <v>-19755.852341895559</v>
      </c>
      <c r="R89" s="52">
        <f t="shared" si="41"/>
        <v>13491.474175909385</v>
      </c>
      <c r="T89" s="6">
        <v>86</v>
      </c>
      <c r="U89" s="52">
        <f t="shared" si="27"/>
        <v>-4651.2176312793727</v>
      </c>
      <c r="V89" s="52">
        <f t="shared" si="28"/>
        <v>-10012.179748700879</v>
      </c>
      <c r="X89" s="6">
        <v>85</v>
      </c>
      <c r="Y89" s="55">
        <v>42.5</v>
      </c>
      <c r="Z89" s="52">
        <f t="shared" si="42"/>
        <v>-21220.874935733256</v>
      </c>
      <c r="AA89" s="52">
        <f t="shared" si="43"/>
        <v>-6415.2201001053554</v>
      </c>
      <c r="AB89" s="52">
        <f t="shared" si="44"/>
        <v>3710.0900410837894</v>
      </c>
      <c r="AC89" s="52">
        <f t="shared" si="45"/>
        <v>3901.697145214132</v>
      </c>
      <c r="AD89" s="52">
        <f t="shared" si="29"/>
        <v>1211.2369963692213</v>
      </c>
      <c r="AE89" s="52">
        <f t="shared" si="30"/>
        <v>104.67333499051227</v>
      </c>
      <c r="AF89" s="52">
        <f t="shared" si="31"/>
        <v>242.6175744114646</v>
      </c>
      <c r="AG89" s="52">
        <f t="shared" si="32"/>
        <v>81.902117637066198</v>
      </c>
      <c r="AH89" s="52">
        <f t="shared" si="33"/>
        <v>38.312525053590029</v>
      </c>
      <c r="AI89" s="52">
        <f t="shared" si="34"/>
        <v>515.12936578369442</v>
      </c>
      <c r="AJ89" s="52">
        <f t="shared" si="35"/>
        <v>930.30689690416659</v>
      </c>
      <c r="AK89" s="52">
        <f t="shared" si="36"/>
        <v>-492.35814843024838</v>
      </c>
      <c r="AM89" s="52">
        <f t="shared" si="37"/>
        <v>43506.251055471766</v>
      </c>
      <c r="AN89" s="57">
        <f t="shared" si="38"/>
        <v>16460.558512505115</v>
      </c>
      <c r="AO89" s="57">
        <f t="shared" si="39"/>
        <v>18352.526518447932</v>
      </c>
    </row>
    <row r="90" spans="12:41" x14ac:dyDescent="0.25">
      <c r="L90" s="6">
        <v>87</v>
      </c>
      <c r="M90" s="52">
        <f t="shared" si="25"/>
        <v>20261.67978121472</v>
      </c>
      <c r="N90" s="52">
        <f t="shared" si="26"/>
        <v>12493.14767377287</v>
      </c>
      <c r="P90" s="6">
        <v>87</v>
      </c>
      <c r="Q90" s="52">
        <f t="shared" si="40"/>
        <v>-19816.824153149697</v>
      </c>
      <c r="R90" s="52">
        <f t="shared" si="41"/>
        <v>13495.203371641008</v>
      </c>
      <c r="T90" s="6">
        <v>87</v>
      </c>
      <c r="U90" s="52">
        <f t="shared" si="27"/>
        <v>-4738.3202187852803</v>
      </c>
      <c r="V90" s="52">
        <f t="shared" si="28"/>
        <v>-10006.85232622713</v>
      </c>
      <c r="X90" s="6">
        <v>86</v>
      </c>
      <c r="Y90" s="55">
        <v>43</v>
      </c>
      <c r="Z90" s="52">
        <f t="shared" si="42"/>
        <v>-19214.425290645206</v>
      </c>
      <c r="AA90" s="52">
        <f t="shared" si="43"/>
        <v>-4451.2873606244757</v>
      </c>
      <c r="AB90" s="52">
        <f t="shared" si="44"/>
        <v>4315.7085392684003</v>
      </c>
      <c r="AC90" s="52">
        <f t="shared" si="45"/>
        <v>3954.0338127093883</v>
      </c>
      <c r="AD90" s="52">
        <f t="shared" si="29"/>
        <v>1125.0232501759651</v>
      </c>
      <c r="AE90" s="52">
        <f t="shared" si="30"/>
        <v>50.611235954690414</v>
      </c>
      <c r="AF90" s="52">
        <f t="shared" si="31"/>
        <v>273.27084900302094</v>
      </c>
      <c r="AG90" s="52">
        <f t="shared" si="32"/>
        <v>83.28410832265925</v>
      </c>
      <c r="AH90" s="52">
        <f t="shared" si="33"/>
        <v>-33.954567709127694</v>
      </c>
      <c r="AI90" s="52">
        <f t="shared" si="34"/>
        <v>624.62196061962675</v>
      </c>
      <c r="AJ90" s="52">
        <f t="shared" si="35"/>
        <v>885.70696888207181</v>
      </c>
      <c r="AK90" s="52">
        <f t="shared" si="36"/>
        <v>-657.29483298759556</v>
      </c>
      <c r="AM90" s="52">
        <f t="shared" si="37"/>
        <v>40995.175575326139</v>
      </c>
      <c r="AN90" s="57">
        <f t="shared" si="38"/>
        <v>14472.623604700102</v>
      </c>
      <c r="AO90" s="57">
        <f t="shared" si="39"/>
        <v>17700.995019813294</v>
      </c>
    </row>
    <row r="91" spans="12:41" x14ac:dyDescent="0.25">
      <c r="L91" s="6">
        <v>88</v>
      </c>
      <c r="M91" s="52">
        <f t="shared" si="25"/>
        <v>20174.497483512507</v>
      </c>
      <c r="N91" s="52">
        <f t="shared" si="26"/>
        <v>12496.954135095479</v>
      </c>
      <c r="P91" s="6">
        <v>88</v>
      </c>
      <c r="Q91" s="52">
        <f t="shared" si="40"/>
        <v>-19877.851761541246</v>
      </c>
      <c r="R91" s="52">
        <f t="shared" si="41"/>
        <v>13497.867894566836</v>
      </c>
      <c r="T91" s="6">
        <v>88</v>
      </c>
      <c r="U91" s="52">
        <f t="shared" si="27"/>
        <v>-4825.5025164874942</v>
      </c>
      <c r="V91" s="52">
        <f t="shared" si="28"/>
        <v>-10003.045864904521</v>
      </c>
      <c r="X91" s="6">
        <v>87</v>
      </c>
      <c r="Y91" s="55">
        <v>43.5</v>
      </c>
      <c r="Z91" s="52">
        <f t="shared" si="42"/>
        <v>-16915.94311473901</v>
      </c>
      <c r="AA91" s="52">
        <f t="shared" si="43"/>
        <v>-2467.9440497754454</v>
      </c>
      <c r="AB91" s="52">
        <f t="shared" si="44"/>
        <v>4878.2201643563831</v>
      </c>
      <c r="AC91" s="52">
        <f t="shared" si="45"/>
        <v>3979.3394306867335</v>
      </c>
      <c r="AD91" s="52">
        <f t="shared" si="29"/>
        <v>918.79262452570993</v>
      </c>
      <c r="AE91" s="52">
        <f t="shared" si="30"/>
        <v>-23.183864882590115</v>
      </c>
      <c r="AF91" s="52">
        <f t="shared" si="31"/>
        <v>313.06162837513443</v>
      </c>
      <c r="AG91" s="52">
        <f t="shared" si="32"/>
        <v>84.532062097826071</v>
      </c>
      <c r="AH91" s="52">
        <f t="shared" si="33"/>
        <v>-176.97547438445648</v>
      </c>
      <c r="AI91" s="52">
        <f t="shared" si="34"/>
        <v>715.46031571371066</v>
      </c>
      <c r="AJ91" s="52">
        <f t="shared" si="35"/>
        <v>782.70647053503194</v>
      </c>
      <c r="AK91" s="52">
        <f t="shared" si="36"/>
        <v>-823.17624269412681</v>
      </c>
      <c r="AM91" s="52">
        <f t="shared" si="37"/>
        <v>38238.027729344256</v>
      </c>
      <c r="AN91" s="57">
        <f t="shared" si="38"/>
        <v>12843.715805788319</v>
      </c>
      <c r="AO91" s="57">
        <f t="shared" si="39"/>
        <v>17292.834546518239</v>
      </c>
    </row>
    <row r="92" spans="12:41" x14ac:dyDescent="0.25">
      <c r="L92" s="6">
        <v>89</v>
      </c>
      <c r="M92" s="52">
        <f t="shared" si="25"/>
        <v>20087.262032186416</v>
      </c>
      <c r="N92" s="52">
        <f t="shared" si="26"/>
        <v>12499.238475781956</v>
      </c>
      <c r="P92" s="6">
        <v>89</v>
      </c>
      <c r="Q92" s="52">
        <f t="shared" si="40"/>
        <v>-19938.916577469507</v>
      </c>
      <c r="R92" s="52">
        <f t="shared" si="41"/>
        <v>13499.46693304737</v>
      </c>
      <c r="T92" s="6">
        <v>89</v>
      </c>
      <c r="U92" s="52">
        <f t="shared" si="27"/>
        <v>-4912.7379678135831</v>
      </c>
      <c r="V92" s="52">
        <f t="shared" si="28"/>
        <v>-10000.761524218044</v>
      </c>
      <c r="X92" s="6">
        <v>88</v>
      </c>
      <c r="Y92" s="55">
        <v>44</v>
      </c>
      <c r="Z92" s="52">
        <f t="shared" si="42"/>
        <v>-14361.983954495105</v>
      </c>
      <c r="AA92" s="52">
        <f t="shared" si="43"/>
        <v>-481.17231754240237</v>
      </c>
      <c r="AB92" s="52">
        <f t="shared" si="44"/>
        <v>5337.6164766192378</v>
      </c>
      <c r="AC92" s="52">
        <f t="shared" si="45"/>
        <v>3967.7474982454387</v>
      </c>
      <c r="AD92" s="52">
        <f t="shared" si="29"/>
        <v>596.63766480469121</v>
      </c>
      <c r="AE92" s="52">
        <f t="shared" si="30"/>
        <v>-155.94646924360029</v>
      </c>
      <c r="AF92" s="52">
        <f t="shared" si="31"/>
        <v>364.97428538349652</v>
      </c>
      <c r="AG92" s="52">
        <f t="shared" si="32"/>
        <v>84.77166705435603</v>
      </c>
      <c r="AH92" s="52">
        <f t="shared" si="33"/>
        <v>-384.6719285298056</v>
      </c>
      <c r="AI92" s="52">
        <f t="shared" si="34"/>
        <v>715.11197132132168</v>
      </c>
      <c r="AJ92" s="52">
        <f t="shared" si="35"/>
        <v>616.33530795100023</v>
      </c>
      <c r="AK92" s="52">
        <f t="shared" si="36"/>
        <v>-955.83010761927801</v>
      </c>
      <c r="AM92" s="52">
        <f t="shared" si="37"/>
        <v>35276.692770883215</v>
      </c>
      <c r="AN92" s="57">
        <f t="shared" si="38"/>
        <v>11901.352783586741</v>
      </c>
      <c r="AO92" s="57">
        <f t="shared" si="39"/>
        <v>17275.50580553637</v>
      </c>
    </row>
    <row r="93" spans="12:41" x14ac:dyDescent="0.25">
      <c r="L93" s="6">
        <v>90</v>
      </c>
      <c r="M93" s="52">
        <f t="shared" si="25"/>
        <v>20000</v>
      </c>
      <c r="N93" s="52">
        <f t="shared" si="26"/>
        <v>12500</v>
      </c>
      <c r="P93" s="6">
        <v>90</v>
      </c>
      <c r="Q93" s="52">
        <f t="shared" si="40"/>
        <v>-20000</v>
      </c>
      <c r="R93" s="52">
        <f t="shared" si="41"/>
        <v>13500</v>
      </c>
      <c r="T93" s="6">
        <v>90</v>
      </c>
      <c r="U93" s="52">
        <f t="shared" si="27"/>
        <v>-5000</v>
      </c>
      <c r="V93" s="52">
        <f t="shared" si="28"/>
        <v>-10000</v>
      </c>
      <c r="X93" s="6">
        <v>89</v>
      </c>
      <c r="Y93" s="55">
        <v>44.5</v>
      </c>
      <c r="Z93" s="52">
        <f t="shared" si="42"/>
        <v>-11618.5960080849</v>
      </c>
      <c r="AA93" s="52">
        <f t="shared" si="43"/>
        <v>1483.208122924867</v>
      </c>
      <c r="AB93" s="52">
        <f t="shared" si="44"/>
        <v>5635.9353090215836</v>
      </c>
      <c r="AC93" s="52">
        <f t="shared" si="45"/>
        <v>3889.7742636236385</v>
      </c>
      <c r="AD93" s="52">
        <f t="shared" si="29"/>
        <v>274.84415769883043</v>
      </c>
      <c r="AE93" s="52">
        <f t="shared" si="30"/>
        <v>-360.82262456074534</v>
      </c>
      <c r="AF93" s="52">
        <f t="shared" si="31"/>
        <v>432.42381812279086</v>
      </c>
      <c r="AG93" s="52">
        <f t="shared" si="32"/>
        <v>82.287148856000428</v>
      </c>
      <c r="AH93" s="52">
        <f t="shared" si="33"/>
        <v>-566.75068845774126</v>
      </c>
      <c r="AI93" s="52">
        <f t="shared" si="34"/>
        <v>575.90561968373902</v>
      </c>
      <c r="AJ93" s="52">
        <f t="shared" si="35"/>
        <v>409.17102803378083</v>
      </c>
      <c r="AK93" s="52">
        <f t="shared" si="36"/>
        <v>-1019.0153931004847</v>
      </c>
      <c r="AM93" s="52">
        <f t="shared" si="37"/>
        <v>32185.981389644152</v>
      </c>
      <c r="AN93" s="57">
        <f t="shared" si="38"/>
        <v>11949.212390492661</v>
      </c>
      <c r="AO93" s="57">
        <f t="shared" si="39"/>
        <v>17762.374929662237</v>
      </c>
    </row>
    <row r="94" spans="12:41" x14ac:dyDescent="0.25">
      <c r="L94" s="6">
        <v>91</v>
      </c>
      <c r="M94" s="52">
        <f t="shared" si="25"/>
        <v>19912.737967813584</v>
      </c>
      <c r="N94" s="52">
        <f t="shared" si="26"/>
        <v>12499.238475781956</v>
      </c>
      <c r="P94" s="6">
        <v>91</v>
      </c>
      <c r="Q94" s="52">
        <f t="shared" si="40"/>
        <v>-20061.083422530493</v>
      </c>
      <c r="R94" s="52">
        <f t="shared" si="41"/>
        <v>13499.46693304737</v>
      </c>
      <c r="T94" s="6">
        <v>91</v>
      </c>
      <c r="U94" s="52">
        <f t="shared" si="27"/>
        <v>-5087.2620321864169</v>
      </c>
      <c r="V94" s="52">
        <f t="shared" si="28"/>
        <v>-10000.761524218044</v>
      </c>
      <c r="X94" s="6">
        <v>90</v>
      </c>
      <c r="Y94" s="55">
        <v>45</v>
      </c>
      <c r="Z94" s="52">
        <f t="shared" si="42"/>
        <v>-8766.2728338617544</v>
      </c>
      <c r="AA94" s="52">
        <f t="shared" si="43"/>
        <v>3382.992426666593</v>
      </c>
      <c r="AB94" s="52">
        <f t="shared" si="44"/>
        <v>5773.3573878709985</v>
      </c>
      <c r="AC94" s="52">
        <f t="shared" si="45"/>
        <v>3709.3629513432656</v>
      </c>
      <c r="AD94" s="52">
        <f t="shared" si="29"/>
        <v>101.47312560728622</v>
      </c>
      <c r="AE94" s="52">
        <f t="shared" si="30"/>
        <v>-560.23605674362284</v>
      </c>
      <c r="AF94" s="52">
        <f t="shared" si="31"/>
        <v>518.93743376206987</v>
      </c>
      <c r="AG94" s="52">
        <f t="shared" si="32"/>
        <v>74.269939565119273</v>
      </c>
      <c r="AH94" s="52">
        <f t="shared" si="33"/>
        <v>-622.59514093349662</v>
      </c>
      <c r="AI94" s="52">
        <f t="shared" si="34"/>
        <v>366.72750742029444</v>
      </c>
      <c r="AJ94" s="52">
        <f t="shared" si="35"/>
        <v>205.13083277871297</v>
      </c>
      <c r="AK94" s="52">
        <f t="shared" si="36"/>
        <v>-1001.2335037290366</v>
      </c>
      <c r="AM94" s="52">
        <f t="shared" si="37"/>
        <v>29059.390979699787</v>
      </c>
      <c r="AN94" s="57">
        <f t="shared" si="38"/>
        <v>13037.692099017528</v>
      </c>
      <c r="AO94" s="57">
        <f t="shared" si="39"/>
        <v>18764.840037100403</v>
      </c>
    </row>
    <row r="95" spans="12:41" x14ac:dyDescent="0.25">
      <c r="L95" s="6">
        <v>92</v>
      </c>
      <c r="M95" s="52">
        <f t="shared" si="25"/>
        <v>19825.502516487497</v>
      </c>
      <c r="N95" s="52">
        <f t="shared" si="26"/>
        <v>12496.954135095479</v>
      </c>
      <c r="P95" s="6">
        <v>92</v>
      </c>
      <c r="Q95" s="52">
        <f t="shared" si="40"/>
        <v>-20122.148238458754</v>
      </c>
      <c r="R95" s="52">
        <f t="shared" si="41"/>
        <v>13497.867894566836</v>
      </c>
      <c r="T95" s="6">
        <v>92</v>
      </c>
      <c r="U95" s="52">
        <f t="shared" si="27"/>
        <v>-5174.497483512504</v>
      </c>
      <c r="V95" s="52">
        <f t="shared" si="28"/>
        <v>-10003.045864904521</v>
      </c>
      <c r="X95" s="6">
        <v>91</v>
      </c>
      <c r="Y95" s="55">
        <v>45.5</v>
      </c>
      <c r="Z95" s="52">
        <f t="shared" si="42"/>
        <v>-5866.909999225345</v>
      </c>
      <c r="AA95" s="52">
        <f t="shared" si="43"/>
        <v>5167.6443952452728</v>
      </c>
      <c r="AB95" s="52">
        <f t="shared" si="44"/>
        <v>5824.0939506746417</v>
      </c>
      <c r="AC95" s="52">
        <f t="shared" si="45"/>
        <v>3429.2449229714543</v>
      </c>
      <c r="AD95" s="52">
        <f t="shared" si="29"/>
        <v>102.50439645357983</v>
      </c>
      <c r="AE95" s="52">
        <f t="shared" si="30"/>
        <v>-673.65858500954425</v>
      </c>
      <c r="AF95" s="52">
        <f t="shared" si="31"/>
        <v>628.31870925071098</v>
      </c>
      <c r="AG95" s="52">
        <f t="shared" si="32"/>
        <v>56.653951443641269</v>
      </c>
      <c r="AH95" s="52">
        <f t="shared" si="33"/>
        <v>-565.5185894928228</v>
      </c>
      <c r="AI95" s="52">
        <f t="shared" si="34"/>
        <v>193.36089456579151</v>
      </c>
      <c r="AJ95" s="52">
        <f t="shared" si="35"/>
        <v>39.704276695691654</v>
      </c>
      <c r="AK95" s="52">
        <f t="shared" si="36"/>
        <v>-923.673431018977</v>
      </c>
      <c r="AM95" s="52">
        <f t="shared" si="37"/>
        <v>25971.8485205627</v>
      </c>
      <c r="AN95" s="57">
        <f t="shared" si="38"/>
        <v>14936.394935217833</v>
      </c>
      <c r="AO95" s="57">
        <f t="shared" si="39"/>
        <v>20186.267941346287</v>
      </c>
    </row>
    <row r="96" spans="12:41" x14ac:dyDescent="0.25">
      <c r="L96" s="6">
        <v>93</v>
      </c>
      <c r="M96" s="52">
        <f t="shared" si="25"/>
        <v>19738.32021878528</v>
      </c>
      <c r="N96" s="52">
        <f t="shared" si="26"/>
        <v>12493.14767377287</v>
      </c>
      <c r="P96" s="6">
        <v>93</v>
      </c>
      <c r="Q96" s="52">
        <f t="shared" si="40"/>
        <v>-20183.175846850303</v>
      </c>
      <c r="R96" s="52">
        <f t="shared" si="41"/>
        <v>13495.203371641008</v>
      </c>
      <c r="T96" s="6">
        <v>93</v>
      </c>
      <c r="U96" s="52">
        <f t="shared" si="27"/>
        <v>-5261.6797812147179</v>
      </c>
      <c r="V96" s="52">
        <f t="shared" si="28"/>
        <v>-10006.85232622713</v>
      </c>
      <c r="X96" s="6">
        <v>92</v>
      </c>
      <c r="Y96" s="55">
        <v>46</v>
      </c>
      <c r="Z96" s="52">
        <f t="shared" si="42"/>
        <v>-2942.0499743313267</v>
      </c>
      <c r="AA96" s="52">
        <f t="shared" si="43"/>
        <v>6798.0595336048073</v>
      </c>
      <c r="AB96" s="52">
        <f t="shared" si="44"/>
        <v>5875.3461489014317</v>
      </c>
      <c r="AC96" s="52">
        <f t="shared" si="45"/>
        <v>3092.4156304666822</v>
      </c>
      <c r="AD96" s="52">
        <f t="shared" si="29"/>
        <v>220.75793724714703</v>
      </c>
      <c r="AE96" s="52">
        <f t="shared" si="30"/>
        <v>-707.23176336268955</v>
      </c>
      <c r="AF96" s="52">
        <f t="shared" si="31"/>
        <v>765.43054870491608</v>
      </c>
      <c r="AG96" s="52">
        <f t="shared" si="32"/>
        <v>23.419296747770986</v>
      </c>
      <c r="AH96" s="52">
        <f t="shared" si="33"/>
        <v>-467.40876469244819</v>
      </c>
      <c r="AI96" s="52">
        <f t="shared" si="34"/>
        <v>87.737098289328046</v>
      </c>
      <c r="AJ96" s="52">
        <f t="shared" si="35"/>
        <v>-77.263846765320849</v>
      </c>
      <c r="AK96" s="52">
        <f t="shared" si="36"/>
        <v>-818.38815839978861</v>
      </c>
      <c r="AM96" s="52">
        <f t="shared" si="37"/>
        <v>22952.785831856643</v>
      </c>
      <c r="AN96" s="57">
        <f t="shared" si="38"/>
        <v>17355.86591987127</v>
      </c>
      <c r="AO96" s="57">
        <f t="shared" si="39"/>
        <v>21894.989329495667</v>
      </c>
    </row>
    <row r="97" spans="12:41" x14ac:dyDescent="0.25">
      <c r="L97" s="6">
        <v>94</v>
      </c>
      <c r="M97" s="52">
        <f t="shared" si="25"/>
        <v>19651.217631279374</v>
      </c>
      <c r="N97" s="52">
        <f t="shared" si="26"/>
        <v>12487.820251299121</v>
      </c>
      <c r="P97" s="6">
        <v>94</v>
      </c>
      <c r="Q97" s="52">
        <f t="shared" si="40"/>
        <v>-20244.147658104437</v>
      </c>
      <c r="R97" s="52">
        <f t="shared" si="41"/>
        <v>13491.474175909385</v>
      </c>
      <c r="T97" s="6">
        <v>94</v>
      </c>
      <c r="U97" s="52">
        <f t="shared" si="27"/>
        <v>-5348.7823687206264</v>
      </c>
      <c r="V97" s="52">
        <f t="shared" si="28"/>
        <v>-10012.179748700879</v>
      </c>
      <c r="X97" s="6">
        <v>93</v>
      </c>
      <c r="Y97" s="55">
        <v>46.5</v>
      </c>
      <c r="Z97" s="52">
        <f t="shared" si="42"/>
        <v>23.217842275282543</v>
      </c>
      <c r="AA97" s="52">
        <f t="shared" si="43"/>
        <v>8255.863378417811</v>
      </c>
      <c r="AB97" s="52">
        <f t="shared" si="44"/>
        <v>5985.7251175250049</v>
      </c>
      <c r="AC97" s="52">
        <f t="shared" si="45"/>
        <v>2738.7997487853372</v>
      </c>
      <c r="AD97" s="52">
        <f t="shared" si="29"/>
        <v>410.54289145197663</v>
      </c>
      <c r="AE97" s="52">
        <f t="shared" si="30"/>
        <v>-711.30415115295125</v>
      </c>
      <c r="AF97" s="52">
        <f t="shared" si="31"/>
        <v>936.55706256767996</v>
      </c>
      <c r="AG97" s="52">
        <f t="shared" si="32"/>
        <v>-35.436597336059457</v>
      </c>
      <c r="AH97" s="52">
        <f t="shared" si="33"/>
        <v>-373.0101376210884</v>
      </c>
      <c r="AI97" s="52">
        <f t="shared" si="34"/>
        <v>32.49131315311233</v>
      </c>
      <c r="AJ97" s="52">
        <f t="shared" si="35"/>
        <v>-153.00403349461496</v>
      </c>
      <c r="AK97" s="52">
        <f t="shared" si="36"/>
        <v>-708.3588669700041</v>
      </c>
      <c r="AM97" s="52">
        <f t="shared" si="37"/>
        <v>19991.076880048804</v>
      </c>
      <c r="AN97" s="57">
        <f t="shared" si="38"/>
        <v>20099.036427499588</v>
      </c>
      <c r="AO97" s="57">
        <f t="shared" si="39"/>
        <v>23792.181467166633</v>
      </c>
    </row>
    <row r="98" spans="12:41" x14ac:dyDescent="0.25">
      <c r="L98" s="6">
        <v>95</v>
      </c>
      <c r="M98" s="52">
        <f t="shared" si="25"/>
        <v>19564.221286261709</v>
      </c>
      <c r="N98" s="52">
        <f t="shared" si="26"/>
        <v>12480.973490458728</v>
      </c>
      <c r="P98" s="6">
        <v>95</v>
      </c>
      <c r="Q98" s="52">
        <f t="shared" si="40"/>
        <v>-20305.045099616804</v>
      </c>
      <c r="R98" s="52">
        <f t="shared" si="41"/>
        <v>13486.681443321109</v>
      </c>
      <c r="T98" s="6">
        <v>95</v>
      </c>
      <c r="U98" s="52">
        <f t="shared" si="27"/>
        <v>-5435.7787137382911</v>
      </c>
      <c r="V98" s="52">
        <f t="shared" si="28"/>
        <v>-10019.026509541272</v>
      </c>
      <c r="X98" s="6">
        <v>94</v>
      </c>
      <c r="Y98" s="55">
        <v>47</v>
      </c>
      <c r="Z98" s="52">
        <f t="shared" si="42"/>
        <v>3067.3982624692821</v>
      </c>
      <c r="AA98" s="52">
        <f t="shared" si="43"/>
        <v>9536.3502339163624</v>
      </c>
      <c r="AB98" s="52">
        <f t="shared" si="44"/>
        <v>6190.9965632509929</v>
      </c>
      <c r="AC98" s="52">
        <f t="shared" si="45"/>
        <v>2383.1476732088618</v>
      </c>
      <c r="AD98" s="52">
        <f t="shared" si="29"/>
        <v>652.94988301187402</v>
      </c>
      <c r="AE98" s="52">
        <f t="shared" si="30"/>
        <v>-736.7088928880529</v>
      </c>
      <c r="AF98" s="52">
        <f t="shared" si="31"/>
        <v>1147.3368295627802</v>
      </c>
      <c r="AG98" s="52">
        <f t="shared" si="32"/>
        <v>-137.98113588666615</v>
      </c>
      <c r="AH98" s="52">
        <f t="shared" si="33"/>
        <v>-295.57564450605747</v>
      </c>
      <c r="AI98" s="52">
        <f t="shared" si="34"/>
        <v>5.941007168468766</v>
      </c>
      <c r="AJ98" s="52">
        <f t="shared" si="35"/>
        <v>-198.81130204484873</v>
      </c>
      <c r="AK98" s="52">
        <f t="shared" si="36"/>
        <v>-604.66876416985554</v>
      </c>
      <c r="AM98" s="52">
        <f t="shared" si="37"/>
        <v>17054.610047638129</v>
      </c>
      <c r="AN98" s="57">
        <f t="shared" si="38"/>
        <v>23072.057422452821</v>
      </c>
      <c r="AO98" s="57">
        <f t="shared" si="39"/>
        <v>25828.577148706812</v>
      </c>
    </row>
    <row r="99" spans="12:41" x14ac:dyDescent="0.25">
      <c r="L99" s="6">
        <v>96</v>
      </c>
      <c r="M99" s="52">
        <f t="shared" si="25"/>
        <v>19477.357683661732</v>
      </c>
      <c r="N99" s="52">
        <f t="shared" si="26"/>
        <v>12472.609476841368</v>
      </c>
      <c r="P99" s="6">
        <v>96</v>
      </c>
      <c r="Q99" s="52">
        <f t="shared" si="40"/>
        <v>-20365.849621436788</v>
      </c>
      <c r="R99" s="52">
        <f t="shared" si="41"/>
        <v>13480.826633788956</v>
      </c>
      <c r="T99" s="6">
        <v>96</v>
      </c>
      <c r="U99" s="52">
        <f t="shared" si="27"/>
        <v>-5522.6423163382669</v>
      </c>
      <c r="V99" s="52">
        <f t="shared" si="28"/>
        <v>-10027.390523158632</v>
      </c>
      <c r="X99" s="6">
        <v>95</v>
      </c>
      <c r="Y99" s="55">
        <v>47.5</v>
      </c>
      <c r="Z99" s="52">
        <f t="shared" si="42"/>
        <v>6244.5152794712631</v>
      </c>
      <c r="AA99" s="52">
        <f t="shared" si="43"/>
        <v>10635.835458909787</v>
      </c>
      <c r="AB99" s="52">
        <f t="shared" si="44"/>
        <v>6517.4715047569298</v>
      </c>
      <c r="AC99" s="52">
        <f t="shared" si="45"/>
        <v>2014.7932267648353</v>
      </c>
      <c r="AD99" s="52">
        <f t="shared" si="29"/>
        <v>933.56935716194482</v>
      </c>
      <c r="AE99" s="52">
        <f t="shared" si="30"/>
        <v>-834.21171524767533</v>
      </c>
      <c r="AF99" s="52">
        <f t="shared" si="31"/>
        <v>1392.7261489623579</v>
      </c>
      <c r="AG99" s="52">
        <f t="shared" si="32"/>
        <v>-317.4995379078988</v>
      </c>
      <c r="AH99" s="52">
        <f t="shared" si="33"/>
        <v>-235.01137577901488</v>
      </c>
      <c r="AI99" s="52">
        <f t="shared" si="34"/>
        <v>-5.693706451662111</v>
      </c>
      <c r="AJ99" s="52">
        <f t="shared" si="35"/>
        <v>-224.14541602139806</v>
      </c>
      <c r="AK99" s="52">
        <f t="shared" si="36"/>
        <v>-511.01847088811434</v>
      </c>
      <c r="AM99" s="52">
        <f t="shared" si="37"/>
        <v>14108.395511965757</v>
      </c>
      <c r="AN99" s="57">
        <f t="shared" si="38"/>
        <v>26252.216458524177</v>
      </c>
      <c r="AO99" s="57">
        <f t="shared" si="39"/>
        <v>27993.48466244528</v>
      </c>
    </row>
    <row r="100" spans="12:41" x14ac:dyDescent="0.25">
      <c r="L100" s="6">
        <v>97</v>
      </c>
      <c r="M100" s="52">
        <f t="shared" si="25"/>
        <v>19390.653282974265</v>
      </c>
      <c r="N100" s="52">
        <f t="shared" si="26"/>
        <v>12462.73075820661</v>
      </c>
      <c r="P100" s="6">
        <v>97</v>
      </c>
      <c r="Q100" s="52">
        <f t="shared" si="40"/>
        <v>-20426.542701918017</v>
      </c>
      <c r="R100" s="52">
        <f t="shared" si="41"/>
        <v>13473.911530744626</v>
      </c>
      <c r="T100" s="6">
        <v>97</v>
      </c>
      <c r="U100" s="52">
        <f t="shared" si="27"/>
        <v>-5609.3467170257372</v>
      </c>
      <c r="V100" s="52">
        <f t="shared" si="28"/>
        <v>-10037.26924179339</v>
      </c>
      <c r="X100" s="6">
        <v>96</v>
      </c>
      <c r="Y100" s="55">
        <v>48</v>
      </c>
      <c r="Z100" s="52">
        <f t="shared" si="42"/>
        <v>9619.9472014949715</v>
      </c>
      <c r="AA100" s="52">
        <f t="shared" si="43"/>
        <v>11538.955607886246</v>
      </c>
      <c r="AB100" s="52">
        <f t="shared" si="44"/>
        <v>6984.2561833379023</v>
      </c>
      <c r="AC100" s="52">
        <f t="shared" si="45"/>
        <v>1597.6873691409976</v>
      </c>
      <c r="AD100" s="52">
        <f t="shared" si="29"/>
        <v>1196.9085441347397</v>
      </c>
      <c r="AE100" s="52">
        <f t="shared" si="30"/>
        <v>-1068.1061948798088</v>
      </c>
      <c r="AF100" s="52">
        <f t="shared" si="31"/>
        <v>1620.524449412472</v>
      </c>
      <c r="AG100" s="52">
        <f t="shared" si="32"/>
        <v>-630.55809442645045</v>
      </c>
      <c r="AH100" s="52">
        <f t="shared" si="33"/>
        <v>-187.95638365000909</v>
      </c>
      <c r="AI100" s="52">
        <f t="shared" si="34"/>
        <v>-9.7655991311693118</v>
      </c>
      <c r="AJ100" s="52">
        <f t="shared" si="35"/>
        <v>-235.65952162772328</v>
      </c>
      <c r="AK100" s="52">
        <f t="shared" si="36"/>
        <v>-427.78250132218898</v>
      </c>
      <c r="AM100" s="52">
        <f t="shared" si="37"/>
        <v>11138.162258749324</v>
      </c>
      <c r="AN100" s="57">
        <f t="shared" si="38"/>
        <v>29659.899807355963</v>
      </c>
      <c r="AO100" s="57">
        <f t="shared" si="39"/>
        <v>30299.488789942599</v>
      </c>
    </row>
    <row r="101" spans="12:41" x14ac:dyDescent="0.25">
      <c r="L101" s="6">
        <v>98</v>
      </c>
      <c r="M101" s="52">
        <f t="shared" si="25"/>
        <v>19304.134495199673</v>
      </c>
      <c r="N101" s="52">
        <f t="shared" si="26"/>
        <v>12451.340343707852</v>
      </c>
      <c r="P101" s="6">
        <v>98</v>
      </c>
      <c r="Q101" s="52">
        <f t="shared" si="40"/>
        <v>-20487.10585336023</v>
      </c>
      <c r="R101" s="52">
        <f t="shared" si="41"/>
        <v>13465.938240595497</v>
      </c>
      <c r="T101" s="6">
        <v>98</v>
      </c>
      <c r="U101" s="52">
        <f t="shared" si="27"/>
        <v>-5695.8655048003266</v>
      </c>
      <c r="V101" s="52">
        <f t="shared" si="28"/>
        <v>-10048.659656292148</v>
      </c>
      <c r="X101" s="6">
        <v>97</v>
      </c>
      <c r="Y101" s="55">
        <v>48.5</v>
      </c>
      <c r="Z101" s="52">
        <f t="shared" si="42"/>
        <v>13261.688861180764</v>
      </c>
      <c r="AA101" s="52">
        <f t="shared" si="43"/>
        <v>12204.286018096769</v>
      </c>
      <c r="AB101" s="52">
        <f t="shared" si="44"/>
        <v>7582.7104554052721</v>
      </c>
      <c r="AC101" s="52">
        <f t="shared" si="45"/>
        <v>1063.6342717010932</v>
      </c>
      <c r="AD101" s="52">
        <f t="shared" si="29"/>
        <v>1238.0141713423573</v>
      </c>
      <c r="AE101" s="52">
        <f t="shared" si="30"/>
        <v>-1500.2046662373455</v>
      </c>
      <c r="AF101" s="52">
        <f t="shared" si="31"/>
        <v>1627.0121573930126</v>
      </c>
      <c r="AG101" s="52">
        <f t="shared" si="32"/>
        <v>-1135.8826248321056</v>
      </c>
      <c r="AH101" s="52">
        <f t="shared" si="33"/>
        <v>-151.16053084603774</v>
      </c>
      <c r="AI101" s="52">
        <f t="shared" si="34"/>
        <v>-10.017562428132761</v>
      </c>
      <c r="AJ101" s="52">
        <f t="shared" si="35"/>
        <v>-237.83745520461747</v>
      </c>
      <c r="AK101" s="52">
        <f t="shared" si="36"/>
        <v>-354.30447897710712</v>
      </c>
      <c r="AM101" s="52">
        <f t="shared" si="37"/>
        <v>8217.9768765552108</v>
      </c>
      <c r="AN101" s="57">
        <f t="shared" si="38"/>
        <v>33334.648981916303</v>
      </c>
      <c r="AO101" s="57">
        <f t="shared" si="39"/>
        <v>32765.262974940229</v>
      </c>
    </row>
    <row r="102" spans="12:41" x14ac:dyDescent="0.25">
      <c r="L102" s="6">
        <v>99</v>
      </c>
      <c r="M102" s="52">
        <f t="shared" si="25"/>
        <v>19217.827674798846</v>
      </c>
      <c r="N102" s="52">
        <f t="shared" si="26"/>
        <v>12438.441702975688</v>
      </c>
      <c r="P102" s="6">
        <v>99</v>
      </c>
      <c r="Q102" s="52">
        <f t="shared" si="40"/>
        <v>-20547.52062764081</v>
      </c>
      <c r="R102" s="52">
        <f t="shared" si="41"/>
        <v>13456.909192082981</v>
      </c>
      <c r="T102" s="6">
        <v>99</v>
      </c>
      <c r="U102" s="52">
        <f t="shared" si="27"/>
        <v>-5782.1723252011552</v>
      </c>
      <c r="V102" s="52">
        <f t="shared" si="28"/>
        <v>-10061.558297024312</v>
      </c>
      <c r="X102" s="6">
        <v>98</v>
      </c>
      <c r="Y102" s="55">
        <v>49</v>
      </c>
      <c r="Z102" s="52">
        <f t="shared" si="42"/>
        <v>17207.795860301198</v>
      </c>
      <c r="AA102" s="52">
        <f t="shared" si="43"/>
        <v>12548.577570667647</v>
      </c>
      <c r="AB102" s="52">
        <f t="shared" si="44"/>
        <v>8201.7175410764503</v>
      </c>
      <c r="AC102" s="52">
        <f t="shared" si="45"/>
        <v>313.53193858242048</v>
      </c>
      <c r="AD102" s="52">
        <f t="shared" si="29"/>
        <v>593.94023368174317</v>
      </c>
      <c r="AE102" s="52">
        <f t="shared" si="30"/>
        <v>-2016.3986773380107</v>
      </c>
      <c r="AF102" s="52">
        <f t="shared" si="31"/>
        <v>950.11489254535206</v>
      </c>
      <c r="AG102" s="52">
        <f t="shared" si="32"/>
        <v>-1717.9004456956334</v>
      </c>
      <c r="AH102" s="52">
        <f t="shared" si="33"/>
        <v>-122.29853573234766</v>
      </c>
      <c r="AI102" s="52">
        <f t="shared" si="34"/>
        <v>-8.3769354751140011</v>
      </c>
      <c r="AJ102" s="52">
        <f t="shared" si="35"/>
        <v>-233.87612313126121</v>
      </c>
      <c r="AK102" s="52">
        <f t="shared" si="36"/>
        <v>-290.12129616726327</v>
      </c>
      <c r="AM102" s="52">
        <f t="shared" si="37"/>
        <v>5769.275469658176</v>
      </c>
      <c r="AN102" s="57">
        <f t="shared" si="38"/>
        <v>37294.97714727222</v>
      </c>
      <c r="AO102" s="57">
        <f t="shared" si="39"/>
        <v>35385.170949705804</v>
      </c>
    </row>
    <row r="103" spans="12:41" x14ac:dyDescent="0.25">
      <c r="L103" s="6">
        <v>100</v>
      </c>
      <c r="M103" s="52">
        <f t="shared" si="25"/>
        <v>19131.759111665349</v>
      </c>
      <c r="N103" s="52">
        <f t="shared" si="26"/>
        <v>12424.038765061039</v>
      </c>
      <c r="P103" s="6">
        <v>100</v>
      </c>
      <c r="Q103" s="52">
        <f t="shared" si="40"/>
        <v>-20607.768621834257</v>
      </c>
      <c r="R103" s="52">
        <f t="shared" si="41"/>
        <v>13446.827135542728</v>
      </c>
      <c r="T103" s="6">
        <v>100</v>
      </c>
      <c r="U103" s="52">
        <f t="shared" si="27"/>
        <v>-5868.2408883346516</v>
      </c>
      <c r="V103" s="52">
        <f t="shared" si="28"/>
        <v>-10075.961234938961</v>
      </c>
      <c r="X103" s="6">
        <v>99</v>
      </c>
      <c r="Y103" s="55">
        <v>49.5</v>
      </c>
      <c r="Z103" s="52">
        <f t="shared" si="42"/>
        <v>21382.897160049641</v>
      </c>
      <c r="AA103" s="52">
        <f t="shared" si="43"/>
        <v>12453.293705291604</v>
      </c>
      <c r="AB103" s="52">
        <f t="shared" si="44"/>
        <v>8498.6876579173222</v>
      </c>
      <c r="AC103" s="52">
        <f t="shared" si="45"/>
        <v>-694.66740008658485</v>
      </c>
      <c r="AD103" s="52">
        <f t="shared" si="29"/>
        <v>-835.68170170741325</v>
      </c>
      <c r="AE103" s="52">
        <f t="shared" si="30"/>
        <v>-2065.554853375892</v>
      </c>
      <c r="AF103" s="52">
        <f t="shared" si="31"/>
        <v>-509.24059530510698</v>
      </c>
      <c r="AG103" s="52">
        <f t="shared" si="32"/>
        <v>-1824.0099900944119</v>
      </c>
      <c r="AH103" s="52">
        <f t="shared" si="33"/>
        <v>-100.01182326250232</v>
      </c>
      <c r="AI103" s="52">
        <f t="shared" si="34"/>
        <v>-5.9289801657844832</v>
      </c>
      <c r="AJ103" s="52">
        <f t="shared" si="35"/>
        <v>-226.42928313980391</v>
      </c>
      <c r="AK103" s="52">
        <f t="shared" si="36"/>
        <v>-235.61588311569545</v>
      </c>
      <c r="AM103" s="52">
        <f t="shared" si="37"/>
        <v>5142.7155361885216</v>
      </c>
      <c r="AN103" s="57">
        <f t="shared" si="38"/>
        <v>41455.552431051598</v>
      </c>
      <c r="AO103" s="57">
        <f t="shared" si="39"/>
        <v>38075.459259564537</v>
      </c>
    </row>
    <row r="104" spans="12:41" x14ac:dyDescent="0.25">
      <c r="L104" s="6">
        <v>101</v>
      </c>
      <c r="M104" s="52">
        <f t="shared" si="25"/>
        <v>19045.955023117276</v>
      </c>
      <c r="N104" s="52">
        <f t="shared" si="26"/>
        <v>12408.13591723832</v>
      </c>
      <c r="P104" s="6">
        <v>101</v>
      </c>
      <c r="Q104" s="52">
        <f t="shared" si="40"/>
        <v>-20667.831483817907</v>
      </c>
      <c r="R104" s="52">
        <f t="shared" si="41"/>
        <v>13435.695142066823</v>
      </c>
      <c r="T104" s="6">
        <v>101</v>
      </c>
      <c r="U104" s="52">
        <f t="shared" si="27"/>
        <v>-5954.0449768827239</v>
      </c>
      <c r="V104" s="52">
        <f t="shared" si="28"/>
        <v>-10091.86408276168</v>
      </c>
      <c r="X104" s="6">
        <v>100</v>
      </c>
      <c r="Y104" s="55">
        <v>50</v>
      </c>
      <c r="Z104" s="52">
        <f t="shared" si="42"/>
        <v>25527.780776294872</v>
      </c>
      <c r="AA104" s="52">
        <f t="shared" si="43"/>
        <v>11847.765648576325</v>
      </c>
      <c r="AB104" s="52">
        <f t="shared" si="44"/>
        <v>8080.8468070636154</v>
      </c>
      <c r="AC104" s="52">
        <f t="shared" si="45"/>
        <v>-1727.4448267745308</v>
      </c>
      <c r="AD104" s="52">
        <f t="shared" si="29"/>
        <v>-1885.3210685857275</v>
      </c>
      <c r="AE104" s="52">
        <f t="shared" si="30"/>
        <v>-1440.8474809544869</v>
      </c>
      <c r="AF104" s="52">
        <f t="shared" si="31"/>
        <v>-1584.0338812480074</v>
      </c>
      <c r="AG104" s="52">
        <f t="shared" si="32"/>
        <v>-1245.89023584385</v>
      </c>
      <c r="AH104" s="52">
        <f t="shared" si="33"/>
        <v>-83.458704714527329</v>
      </c>
      <c r="AI104" s="52">
        <f t="shared" si="34"/>
        <v>-3.3872094140479794</v>
      </c>
      <c r="AJ104" s="52">
        <f t="shared" si="35"/>
        <v>-217.82848262319263</v>
      </c>
      <c r="AK104" s="52">
        <f t="shared" si="36"/>
        <v>-191.57003569658909</v>
      </c>
      <c r="AM104" s="52">
        <f t="shared" si="37"/>
        <v>7032.7396116815999</v>
      </c>
      <c r="AN104" s="57">
        <f t="shared" si="38"/>
        <v>45565.261552046679</v>
      </c>
      <c r="AO104" s="57">
        <f t="shared" si="39"/>
        <v>40654.002502169373</v>
      </c>
    </row>
    <row r="105" spans="12:41" x14ac:dyDescent="0.25">
      <c r="L105" s="6">
        <v>102</v>
      </c>
      <c r="M105" s="52">
        <f t="shared" si="25"/>
        <v>18960.441545911206</v>
      </c>
      <c r="N105" s="52">
        <f t="shared" si="26"/>
        <v>12390.738003669028</v>
      </c>
      <c r="P105" s="6">
        <v>102</v>
      </c>
      <c r="Q105" s="52">
        <f t="shared" si="40"/>
        <v>-20727.690917862157</v>
      </c>
      <c r="R105" s="52">
        <f t="shared" si="41"/>
        <v>13423.516602568319</v>
      </c>
      <c r="T105" s="6">
        <v>102</v>
      </c>
      <c r="U105" s="52">
        <f t="shared" si="27"/>
        <v>-6039.5584540887958</v>
      </c>
      <c r="V105" s="52">
        <f t="shared" si="28"/>
        <v>-10109.261996330972</v>
      </c>
      <c r="X105" s="6">
        <v>101</v>
      </c>
      <c r="Y105" s="55">
        <v>50.5</v>
      </c>
      <c r="Z105" s="52">
        <f t="shared" si="42"/>
        <v>29332.539046253463</v>
      </c>
      <c r="AA105" s="52">
        <f t="shared" si="43"/>
        <v>10803.937300069749</v>
      </c>
      <c r="AB105" s="52">
        <f t="shared" si="44"/>
        <v>7138.1862727707521</v>
      </c>
      <c r="AC105" s="52">
        <f t="shared" si="45"/>
        <v>-2447.868567251774</v>
      </c>
      <c r="AD105" s="52">
        <f t="shared" si="29"/>
        <v>-2034.9510513251832</v>
      </c>
      <c r="AE105" s="52">
        <f t="shared" si="30"/>
        <v>-779.58621491944689</v>
      </c>
      <c r="AF105" s="52">
        <f t="shared" si="31"/>
        <v>-1753.7198960975063</v>
      </c>
      <c r="AG105" s="52">
        <f t="shared" si="32"/>
        <v>-620.85789835693868</v>
      </c>
      <c r="AH105" s="52">
        <f t="shared" si="33"/>
        <v>-71.59297889465627</v>
      </c>
      <c r="AI105" s="52">
        <f t="shared" si="34"/>
        <v>-1.1666998550907051</v>
      </c>
      <c r="AJ105" s="52">
        <f t="shared" si="35"/>
        <v>-209.63817633302082</v>
      </c>
      <c r="AK105" s="52">
        <f t="shared" si="36"/>
        <v>-157.56161670741756</v>
      </c>
      <c r="AM105" s="52">
        <f t="shared" si="37"/>
        <v>9900.1154908737153</v>
      </c>
      <c r="AN105" s="57">
        <f t="shared" si="38"/>
        <v>49339.089208583551</v>
      </c>
      <c r="AO105" s="57">
        <f t="shared" si="39"/>
        <v>42948.415774606277</v>
      </c>
    </row>
    <row r="106" spans="12:41" x14ac:dyDescent="0.25">
      <c r="L106" s="6">
        <v>103</v>
      </c>
      <c r="M106" s="52">
        <f t="shared" si="25"/>
        <v>18875.244728280675</v>
      </c>
      <c r="N106" s="52">
        <f t="shared" si="26"/>
        <v>12371.850323926177</v>
      </c>
      <c r="P106" s="6">
        <v>103</v>
      </c>
      <c r="Q106" s="52">
        <f t="shared" si="40"/>
        <v>-20787.328690203525</v>
      </c>
      <c r="R106" s="52">
        <f t="shared" si="41"/>
        <v>13410.295226748323</v>
      </c>
      <c r="T106" s="6">
        <v>103</v>
      </c>
      <c r="U106" s="52">
        <f t="shared" si="27"/>
        <v>-6124.7552717193239</v>
      </c>
      <c r="V106" s="52">
        <f t="shared" si="28"/>
        <v>-10128.149676073823</v>
      </c>
      <c r="X106" s="6">
        <v>102</v>
      </c>
      <c r="Y106" s="55">
        <v>51</v>
      </c>
      <c r="Z106" s="52">
        <f t="shared" si="42"/>
        <v>32647.263301223189</v>
      </c>
      <c r="AA106" s="52">
        <f t="shared" si="43"/>
        <v>9482.5547395789308</v>
      </c>
      <c r="AB106" s="52">
        <f t="shared" si="44"/>
        <v>6120.7107471081608</v>
      </c>
      <c r="AC106" s="52">
        <f t="shared" si="45"/>
        <v>-2837.6616747114977</v>
      </c>
      <c r="AD106" s="52">
        <f t="shared" si="29"/>
        <v>-1810.3320987293282</v>
      </c>
      <c r="AE106" s="52">
        <f t="shared" si="30"/>
        <v>-373.17344508085648</v>
      </c>
      <c r="AF106" s="52">
        <f t="shared" si="31"/>
        <v>-1544.8136824274727</v>
      </c>
      <c r="AG106" s="52">
        <f t="shared" si="32"/>
        <v>-242.16129726395101</v>
      </c>
      <c r="AH106" s="52">
        <f t="shared" si="33"/>
        <v>-63.104950858364973</v>
      </c>
      <c r="AI106" s="52">
        <f t="shared" si="34"/>
        <v>0.6202289669633555</v>
      </c>
      <c r="AJ106" s="52">
        <f t="shared" si="35"/>
        <v>-202.41346544349062</v>
      </c>
      <c r="AK106" s="52">
        <f t="shared" si="36"/>
        <v>-131.63237678386884</v>
      </c>
      <c r="AM106" s="52">
        <f t="shared" si="37"/>
        <v>12801.710522656484</v>
      </c>
      <c r="AN106" s="57">
        <f t="shared" si="38"/>
        <v>52649.80610321233</v>
      </c>
      <c r="AO106" s="57">
        <f t="shared" si="39"/>
        <v>44907.815808031737</v>
      </c>
    </row>
    <row r="107" spans="12:41" x14ac:dyDescent="0.25">
      <c r="L107" s="6">
        <v>104</v>
      </c>
      <c r="M107" s="52">
        <f t="shared" si="25"/>
        <v>18790.39052200166</v>
      </c>
      <c r="N107" s="52">
        <f t="shared" si="26"/>
        <v>12351.478631379981</v>
      </c>
      <c r="P107" s="6">
        <v>104</v>
      </c>
      <c r="Q107" s="52">
        <f t="shared" si="40"/>
        <v>-20846.726634598836</v>
      </c>
      <c r="R107" s="52">
        <f t="shared" si="41"/>
        <v>13396.035041965988</v>
      </c>
      <c r="T107" s="6">
        <v>104</v>
      </c>
      <c r="U107" s="52">
        <f t="shared" si="27"/>
        <v>-6209.6094779983387</v>
      </c>
      <c r="V107" s="52">
        <f t="shared" si="28"/>
        <v>-10148.521368620019</v>
      </c>
      <c r="X107" s="6">
        <v>103</v>
      </c>
      <c r="Y107" s="55">
        <v>51.5</v>
      </c>
      <c r="Z107" s="52">
        <f t="shared" si="42"/>
        <v>35481.3271624361</v>
      </c>
      <c r="AA107" s="52">
        <f t="shared" si="43"/>
        <v>8017.0772215880752</v>
      </c>
      <c r="AB107" s="52">
        <f t="shared" si="44"/>
        <v>5215.5446977434967</v>
      </c>
      <c r="AC107" s="52">
        <f t="shared" si="45"/>
        <v>-3024.2483972519258</v>
      </c>
      <c r="AD107" s="52">
        <f t="shared" si="29"/>
        <v>-1546.3625894324541</v>
      </c>
      <c r="AE107" s="52">
        <f t="shared" si="30"/>
        <v>-152.70514254839756</v>
      </c>
      <c r="AF107" s="52">
        <f t="shared" si="31"/>
        <v>-1293.3188017684824</v>
      </c>
      <c r="AG107" s="52">
        <f t="shared" si="32"/>
        <v>-43.196922694632434</v>
      </c>
      <c r="AH107" s="52">
        <f t="shared" si="33"/>
        <v>-56.871170826517471</v>
      </c>
      <c r="AI107" s="52">
        <f t="shared" si="34"/>
        <v>2.0325962956273598</v>
      </c>
      <c r="AJ107" s="52">
        <f t="shared" si="35"/>
        <v>-196.17261683745423</v>
      </c>
      <c r="AK107" s="52">
        <f t="shared" si="36"/>
        <v>-111.54081614939248</v>
      </c>
      <c r="AM107" s="52">
        <f t="shared" si="37"/>
        <v>15489.959960034341</v>
      </c>
      <c r="AN107" s="57">
        <f t="shared" si="38"/>
        <v>55516.751043720258</v>
      </c>
      <c r="AO107" s="57">
        <f t="shared" si="39"/>
        <v>46567.410199158978</v>
      </c>
    </row>
    <row r="108" spans="12:41" x14ac:dyDescent="0.25">
      <c r="L108" s="6">
        <v>105</v>
      </c>
      <c r="M108" s="52">
        <f t="shared" si="25"/>
        <v>18705.904774487397</v>
      </c>
      <c r="N108" s="52">
        <f t="shared" si="26"/>
        <v>12329.629131445341</v>
      </c>
      <c r="P108" s="6">
        <v>105</v>
      </c>
      <c r="Q108" s="52">
        <f t="shared" si="40"/>
        <v>-20905.866657858824</v>
      </c>
      <c r="R108" s="52">
        <f t="shared" si="41"/>
        <v>13380.740392011739</v>
      </c>
      <c r="T108" s="6">
        <v>105</v>
      </c>
      <c r="U108" s="52">
        <f t="shared" si="27"/>
        <v>-6294.095225512604</v>
      </c>
      <c r="V108" s="52">
        <f t="shared" si="28"/>
        <v>-10170.370868554659</v>
      </c>
      <c r="X108" s="6">
        <v>104</v>
      </c>
      <c r="Y108" s="55">
        <v>52</v>
      </c>
      <c r="Z108" s="52">
        <f t="shared" si="42"/>
        <v>37895.80418762879</v>
      </c>
      <c r="AA108" s="52">
        <f t="shared" si="43"/>
        <v>6485.8648801435629</v>
      </c>
      <c r="AB108" s="52">
        <f t="shared" si="44"/>
        <v>4442.3634030272697</v>
      </c>
      <c r="AC108" s="52">
        <f t="shared" si="45"/>
        <v>-3100.6009685261247</v>
      </c>
      <c r="AD108" s="52">
        <f t="shared" si="29"/>
        <v>-1326.5967828425728</v>
      </c>
      <c r="AE108" s="52">
        <f t="shared" si="30"/>
        <v>-31.008918171158385</v>
      </c>
      <c r="AF108" s="52">
        <f t="shared" si="31"/>
        <v>-1083.6293990982213</v>
      </c>
      <c r="AG108" s="52">
        <f t="shared" si="32"/>
        <v>61.408060739406473</v>
      </c>
      <c r="AH108" s="52">
        <f t="shared" si="33"/>
        <v>-52.141466304810528</v>
      </c>
      <c r="AI108" s="52">
        <f t="shared" si="34"/>
        <v>3.1648607444630481</v>
      </c>
      <c r="AJ108" s="52">
        <f t="shared" si="35"/>
        <v>-190.82591743954103</v>
      </c>
      <c r="AK108" s="52">
        <f t="shared" si="36"/>
        <v>-95.581839655027906</v>
      </c>
      <c r="AM108" s="52">
        <f t="shared" si="37"/>
        <v>17924.516104020167</v>
      </c>
      <c r="AN108" s="57">
        <f t="shared" si="38"/>
        <v>58002.355884678196</v>
      </c>
      <c r="AO108" s="57">
        <f t="shared" si="39"/>
        <v>47975.956546495014</v>
      </c>
    </row>
    <row r="109" spans="12:41" x14ac:dyDescent="0.25">
      <c r="L109" s="6">
        <v>106</v>
      </c>
      <c r="M109" s="52">
        <f t="shared" si="25"/>
        <v>18621.813220915006</v>
      </c>
      <c r="N109" s="52">
        <f t="shared" si="26"/>
        <v>12306.308479691594</v>
      </c>
      <c r="P109" s="6">
        <v>106</v>
      </c>
      <c r="Q109" s="52">
        <f t="shared" si="40"/>
        <v>-20964.730745359499</v>
      </c>
      <c r="R109" s="52">
        <f t="shared" si="41"/>
        <v>13364.415935784116</v>
      </c>
      <c r="T109" s="6">
        <v>106</v>
      </c>
      <c r="U109" s="52">
        <f t="shared" si="27"/>
        <v>-6378.1867790849956</v>
      </c>
      <c r="V109" s="52">
        <f t="shared" si="28"/>
        <v>-10193.691520308406</v>
      </c>
      <c r="X109" s="6">
        <v>105</v>
      </c>
      <c r="Y109" s="55">
        <v>52.5</v>
      </c>
      <c r="Z109" s="52">
        <f t="shared" si="42"/>
        <v>39951.161291287099</v>
      </c>
      <c r="AA109" s="52">
        <f t="shared" si="43"/>
        <v>4931.6882811091054</v>
      </c>
      <c r="AB109" s="52">
        <f t="shared" si="44"/>
        <v>3779.0650116059833</v>
      </c>
      <c r="AC109" s="52">
        <f t="shared" si="45"/>
        <v>-3116.1054276117038</v>
      </c>
      <c r="AD109" s="52">
        <f t="shared" si="29"/>
        <v>-1156.2235122575071</v>
      </c>
      <c r="AE109" s="52">
        <f t="shared" si="30"/>
        <v>40.116642297916599</v>
      </c>
      <c r="AF109" s="52">
        <f t="shared" si="31"/>
        <v>-921.48391755153966</v>
      </c>
      <c r="AG109" s="52">
        <f t="shared" si="32"/>
        <v>118.62256585789105</v>
      </c>
      <c r="AH109" s="52">
        <f t="shared" si="33"/>
        <v>-48.450587105727067</v>
      </c>
      <c r="AI109" s="52">
        <f t="shared" si="34"/>
        <v>4.0960453997208726</v>
      </c>
      <c r="AJ109" s="52">
        <f t="shared" si="35"/>
        <v>-186.2890076002403</v>
      </c>
      <c r="AK109" s="52">
        <f t="shared" si="36"/>
        <v>-82.601968959695327</v>
      </c>
      <c r="AM109" s="52">
        <f t="shared" si="37"/>
        <v>20115.791357944261</v>
      </c>
      <c r="AN109" s="57">
        <f t="shared" si="38"/>
        <v>60165.019104574108</v>
      </c>
      <c r="AO109" s="57">
        <f t="shared" si="39"/>
        <v>49171.934059691106</v>
      </c>
    </row>
    <row r="110" spans="12:41" x14ac:dyDescent="0.25">
      <c r="L110" s="6">
        <v>107</v>
      </c>
      <c r="M110" s="52">
        <f t="shared" si="25"/>
        <v>18538.141476386318</v>
      </c>
      <c r="N110" s="52">
        <f t="shared" si="26"/>
        <v>12281.523779815177</v>
      </c>
      <c r="P110" s="6">
        <v>107</v>
      </c>
      <c r="Q110" s="52">
        <f t="shared" si="40"/>
        <v>-21023.300966529579</v>
      </c>
      <c r="R110" s="52">
        <f t="shared" si="41"/>
        <v>13347.066645870626</v>
      </c>
      <c r="T110" s="6">
        <v>107</v>
      </c>
      <c r="U110" s="52">
        <f t="shared" si="27"/>
        <v>-6461.8585236136832</v>
      </c>
      <c r="V110" s="52">
        <f t="shared" si="28"/>
        <v>-10218.476220184823</v>
      </c>
      <c r="X110" s="6">
        <v>106</v>
      </c>
      <c r="Y110" s="55">
        <v>53</v>
      </c>
      <c r="Z110" s="52">
        <f t="shared" si="42"/>
        <v>41696.165858057902</v>
      </c>
      <c r="AA110" s="52">
        <f t="shared" si="43"/>
        <v>3378.6501475904929</v>
      </c>
      <c r="AB110" s="52">
        <f t="shared" si="44"/>
        <v>3200.9532554772295</v>
      </c>
      <c r="AC110" s="52">
        <f t="shared" si="45"/>
        <v>-3096.0471064627454</v>
      </c>
      <c r="AD110" s="52">
        <f t="shared" si="29"/>
        <v>-1025.3308720165996</v>
      </c>
      <c r="AE110" s="52">
        <f t="shared" si="30"/>
        <v>84.516704387801312</v>
      </c>
      <c r="AF110" s="52">
        <f t="shared" si="31"/>
        <v>-797.32971531149838</v>
      </c>
      <c r="AG110" s="52">
        <f t="shared" si="32"/>
        <v>151.45877506740749</v>
      </c>
      <c r="AH110" s="52">
        <f t="shared" si="33"/>
        <v>-45.50695398737016</v>
      </c>
      <c r="AI110" s="52">
        <f t="shared" si="34"/>
        <v>4.8838928461309834</v>
      </c>
      <c r="AJ110" s="52">
        <f t="shared" si="35"/>
        <v>-182.49420271773121</v>
      </c>
      <c r="AK110" s="52">
        <f t="shared" si="36"/>
        <v>-71.825963525737151</v>
      </c>
      <c r="AM110" s="52">
        <f t="shared" si="37"/>
        <v>22084.137690802265</v>
      </c>
      <c r="AN110" s="57">
        <f t="shared" si="38"/>
        <v>62050.456528965144</v>
      </c>
      <c r="AO110" s="57">
        <f t="shared" si="39"/>
        <v>50182.732957569984</v>
      </c>
    </row>
    <row r="111" spans="12:41" x14ac:dyDescent="0.25">
      <c r="L111" s="6">
        <v>108</v>
      </c>
      <c r="M111" s="52">
        <f t="shared" si="25"/>
        <v>18454.915028125262</v>
      </c>
      <c r="N111" s="52">
        <f t="shared" si="26"/>
        <v>12255.282581475767</v>
      </c>
      <c r="P111" s="6">
        <v>108</v>
      </c>
      <c r="Q111" s="52">
        <f t="shared" si="40"/>
        <v>-21081.559480312317</v>
      </c>
      <c r="R111" s="52">
        <f t="shared" si="41"/>
        <v>13328.697807033037</v>
      </c>
      <c r="T111" s="6">
        <v>108</v>
      </c>
      <c r="U111" s="52">
        <f t="shared" si="27"/>
        <v>-6545.0849718747368</v>
      </c>
      <c r="V111" s="52">
        <f t="shared" si="28"/>
        <v>-10244.717418524233</v>
      </c>
      <c r="X111" s="6">
        <v>107</v>
      </c>
      <c r="Y111" s="55">
        <v>53.5</v>
      </c>
      <c r="Z111" s="52">
        <f t="shared" si="42"/>
        <v>43168.476126794441</v>
      </c>
      <c r="AA111" s="52">
        <f t="shared" si="43"/>
        <v>1841.1911824075953</v>
      </c>
      <c r="AB111" s="52">
        <f t="shared" si="44"/>
        <v>2688.2878194689297</v>
      </c>
      <c r="AC111" s="52">
        <f t="shared" si="45"/>
        <v>-3053.788754268845</v>
      </c>
      <c r="AD111" s="52">
        <f t="shared" si="29"/>
        <v>-923.88588400913136</v>
      </c>
      <c r="AE111" s="52">
        <f t="shared" si="30"/>
        <v>114.15847350943918</v>
      </c>
      <c r="AF111" s="52">
        <f t="shared" si="31"/>
        <v>-701.37664853940748</v>
      </c>
      <c r="AG111" s="52">
        <f t="shared" si="32"/>
        <v>171.30847715176628</v>
      </c>
      <c r="AH111" s="52">
        <f t="shared" si="33"/>
        <v>-43.12140284069428</v>
      </c>
      <c r="AI111" s="52">
        <f t="shared" si="34"/>
        <v>5.5695388474691727</v>
      </c>
      <c r="AJ111" s="52">
        <f t="shared" si="35"/>
        <v>-179.38783262902956</v>
      </c>
      <c r="AK111" s="52">
        <f t="shared" si="36"/>
        <v>-62.719542489796289</v>
      </c>
      <c r="AM111" s="52">
        <f t="shared" si="37"/>
        <v>23849.536751725504</v>
      </c>
      <c r="AN111" s="57">
        <f t="shared" si="38"/>
        <v>63693.190668260788</v>
      </c>
      <c r="AO111" s="57">
        <f t="shared" si="39"/>
        <v>51027.716123886727</v>
      </c>
    </row>
    <row r="112" spans="12:41" x14ac:dyDescent="0.25">
      <c r="L112" s="6">
        <v>109</v>
      </c>
      <c r="M112" s="52">
        <f t="shared" si="25"/>
        <v>18372.159227714219</v>
      </c>
      <c r="N112" s="52">
        <f t="shared" si="26"/>
        <v>12227.592877996583</v>
      </c>
      <c r="P112" s="6">
        <v>109</v>
      </c>
      <c r="Q112" s="52">
        <f t="shared" si="40"/>
        <v>-21139.488540600047</v>
      </c>
      <c r="R112" s="52">
        <f t="shared" si="41"/>
        <v>13309.315014597609</v>
      </c>
      <c r="T112" s="6">
        <v>109</v>
      </c>
      <c r="U112" s="52">
        <f t="shared" si="27"/>
        <v>-6627.8407722857819</v>
      </c>
      <c r="V112" s="52">
        <f t="shared" si="28"/>
        <v>-10272.407122003417</v>
      </c>
      <c r="X112" s="6">
        <v>108</v>
      </c>
      <c r="Y112" s="55">
        <v>54</v>
      </c>
      <c r="Z112" s="52">
        <f t="shared" si="42"/>
        <v>44397.134301027763</v>
      </c>
      <c r="AA112" s="52">
        <f t="shared" si="43"/>
        <v>328.56661446185274</v>
      </c>
      <c r="AB112" s="52">
        <f t="shared" si="44"/>
        <v>2226.3448774643639</v>
      </c>
      <c r="AC112" s="52">
        <f t="shared" si="45"/>
        <v>-2996.7095175141253</v>
      </c>
      <c r="AD112" s="52">
        <f t="shared" si="29"/>
        <v>-844.2210272298845</v>
      </c>
      <c r="AE112" s="52">
        <f t="shared" si="30"/>
        <v>135.32684584217265</v>
      </c>
      <c r="AF112" s="52">
        <f t="shared" si="31"/>
        <v>-626.1266188383928</v>
      </c>
      <c r="AG112" s="52">
        <f t="shared" si="32"/>
        <v>184.04724434060321</v>
      </c>
      <c r="AH112" s="52">
        <f t="shared" si="33"/>
        <v>-41.166609017040301</v>
      </c>
      <c r="AI112" s="52">
        <f t="shared" si="34"/>
        <v>6.1825750654628902</v>
      </c>
      <c r="AJ112" s="52">
        <f t="shared" si="35"/>
        <v>-176.92779937445141</v>
      </c>
      <c r="AK112" s="52">
        <f t="shared" si="36"/>
        <v>-54.90297356389344</v>
      </c>
      <c r="AM112" s="52">
        <f t="shared" si="37"/>
        <v>25429.306300125383</v>
      </c>
      <c r="AN112" s="57">
        <f t="shared" si="38"/>
        <v>65119.332996549558</v>
      </c>
      <c r="AO112" s="57">
        <f t="shared" si="39"/>
        <v>51720.806563778264</v>
      </c>
    </row>
    <row r="113" spans="12:41" x14ac:dyDescent="0.25">
      <c r="L113" s="6">
        <v>110</v>
      </c>
      <c r="M113" s="52">
        <f t="shared" si="25"/>
        <v>18289.899283371655</v>
      </c>
      <c r="N113" s="52">
        <f t="shared" si="26"/>
        <v>12198.463103929542</v>
      </c>
      <c r="P113" s="6">
        <v>110</v>
      </c>
      <c r="Q113" s="52">
        <f t="shared" si="40"/>
        <v>-21197.070501639842</v>
      </c>
      <c r="R113" s="52">
        <f t="shared" si="41"/>
        <v>13288.92417275068</v>
      </c>
      <c r="T113" s="6">
        <v>110</v>
      </c>
      <c r="U113" s="52">
        <f t="shared" si="27"/>
        <v>-6710.1007166283434</v>
      </c>
      <c r="V113" s="52">
        <f t="shared" si="28"/>
        <v>-10301.536896070458</v>
      </c>
      <c r="X113" s="6">
        <v>109</v>
      </c>
      <c r="Y113" s="55">
        <v>54.5</v>
      </c>
      <c r="Z113" s="52">
        <f t="shared" si="42"/>
        <v>45404.779111356205</v>
      </c>
      <c r="AA113" s="52">
        <f t="shared" si="43"/>
        <v>-1152.8722885649381</v>
      </c>
      <c r="AB113" s="52">
        <f t="shared" si="44"/>
        <v>1804.2343638494217</v>
      </c>
      <c r="AC113" s="52">
        <f t="shared" si="45"/>
        <v>-2929.046094593039</v>
      </c>
      <c r="AD113" s="52">
        <f t="shared" si="29"/>
        <v>-780.84269542515494</v>
      </c>
      <c r="AE113" s="52">
        <f t="shared" si="30"/>
        <v>151.49648306019583</v>
      </c>
      <c r="AF113" s="52">
        <f t="shared" si="31"/>
        <v>-566.20647532908572</v>
      </c>
      <c r="AG113" s="52">
        <f t="shared" si="32"/>
        <v>192.8500263082795</v>
      </c>
      <c r="AH113" s="52">
        <f t="shared" si="33"/>
        <v>-39.55402705576406</v>
      </c>
      <c r="AI113" s="52">
        <f t="shared" si="34"/>
        <v>6.7447825410480391</v>
      </c>
      <c r="AJ113" s="52">
        <f t="shared" si="35"/>
        <v>-175.0821930403051</v>
      </c>
      <c r="AK113" s="52">
        <f t="shared" si="36"/>
        <v>-48.098325789131714</v>
      </c>
      <c r="AM113" s="52">
        <f t="shared" si="37"/>
        <v>26837.939573279757</v>
      </c>
      <c r="AN113" s="57">
        <f t="shared" si="38"/>
        <v>66348.863523728403</v>
      </c>
      <c r="AO113" s="57">
        <f t="shared" si="39"/>
        <v>52272.217315906964</v>
      </c>
    </row>
    <row r="114" spans="12:41" x14ac:dyDescent="0.25">
      <c r="L114" s="6">
        <v>111</v>
      </c>
      <c r="M114" s="52">
        <f t="shared" si="25"/>
        <v>18208.160252273497</v>
      </c>
      <c r="N114" s="52">
        <f t="shared" si="26"/>
        <v>12167.902132486008</v>
      </c>
      <c r="P114" s="6">
        <v>111</v>
      </c>
      <c r="Q114" s="52">
        <f t="shared" si="40"/>
        <v>-21254.287823408551</v>
      </c>
      <c r="R114" s="52">
        <f t="shared" si="41"/>
        <v>13267.531492740207</v>
      </c>
      <c r="T114" s="6">
        <v>111</v>
      </c>
      <c r="U114" s="52">
        <f t="shared" si="27"/>
        <v>-6791.8397477265016</v>
      </c>
      <c r="V114" s="52">
        <f t="shared" si="28"/>
        <v>-10332.097867513992</v>
      </c>
      <c r="X114" s="6">
        <v>110</v>
      </c>
      <c r="Y114" s="55">
        <v>55</v>
      </c>
      <c r="Z114" s="52">
        <f t="shared" si="42"/>
        <v>46209.290956352772</v>
      </c>
      <c r="AA114" s="52">
        <f t="shared" si="43"/>
        <v>-2598.458275478933</v>
      </c>
      <c r="AB114" s="52">
        <f t="shared" si="44"/>
        <v>1413.8130161368442</v>
      </c>
      <c r="AC114" s="52">
        <f t="shared" si="45"/>
        <v>-2853.2978530629412</v>
      </c>
      <c r="AD114" s="52">
        <f t="shared" si="29"/>
        <v>-729.85877141869014</v>
      </c>
      <c r="AE114" s="52">
        <f t="shared" si="30"/>
        <v>164.68846317462561</v>
      </c>
      <c r="AF114" s="52">
        <f t="shared" si="31"/>
        <v>-517.80982956877199</v>
      </c>
      <c r="AG114" s="52">
        <f t="shared" si="32"/>
        <v>199.51249223953704</v>
      </c>
      <c r="AH114" s="52">
        <f t="shared" si="33"/>
        <v>-38.220398460073277</v>
      </c>
      <c r="AI114" s="52">
        <f t="shared" si="34"/>
        <v>7.2726665444709884</v>
      </c>
      <c r="AJ114" s="52">
        <f t="shared" si="35"/>
        <v>-173.82854338984484</v>
      </c>
      <c r="AK114" s="52">
        <f t="shared" si="36"/>
        <v>-42.096695609382394</v>
      </c>
      <c r="AM114" s="52">
        <f t="shared" si="37"/>
        <v>28087.466813088435</v>
      </c>
      <c r="AN114" s="57">
        <f t="shared" si="38"/>
        <v>67397.265225392941</v>
      </c>
      <c r="AO114" s="57">
        <f t="shared" si="39"/>
        <v>52689.559851999431</v>
      </c>
    </row>
    <row r="115" spans="12:41" x14ac:dyDescent="0.25">
      <c r="L115" s="6">
        <v>112</v>
      </c>
      <c r="M115" s="52">
        <f t="shared" si="25"/>
        <v>18126.967032920438</v>
      </c>
      <c r="N115" s="52">
        <f t="shared" si="26"/>
        <v>12135.919272833937</v>
      </c>
      <c r="P115" s="6">
        <v>112</v>
      </c>
      <c r="Q115" s="52">
        <f t="shared" si="40"/>
        <v>-21311.123076955693</v>
      </c>
      <c r="R115" s="52">
        <f t="shared" si="41"/>
        <v>13245.143490983755</v>
      </c>
      <c r="T115" s="6">
        <v>112</v>
      </c>
      <c r="U115" s="52">
        <f t="shared" si="27"/>
        <v>-6873.03296707956</v>
      </c>
      <c r="V115" s="52">
        <f t="shared" si="28"/>
        <v>-10364.080727166063</v>
      </c>
      <c r="X115" s="6">
        <v>111</v>
      </c>
      <c r="Y115" s="55">
        <v>55.5</v>
      </c>
      <c r="Z115" s="52">
        <f t="shared" si="42"/>
        <v>46824.965117993859</v>
      </c>
      <c r="AA115" s="52">
        <f t="shared" si="43"/>
        <v>-4004.5211441135757</v>
      </c>
      <c r="AB115" s="52">
        <f t="shared" si="44"/>
        <v>1048.8836304274992</v>
      </c>
      <c r="AC115" s="52">
        <f t="shared" si="45"/>
        <v>-2770.9536214756286</v>
      </c>
      <c r="AD115" s="52">
        <f t="shared" si="29"/>
        <v>-688.49372936861153</v>
      </c>
      <c r="AE115" s="52">
        <f t="shared" si="30"/>
        <v>176.13820568410995</v>
      </c>
      <c r="AF115" s="52">
        <f t="shared" si="31"/>
        <v>-478.22070848083393</v>
      </c>
      <c r="AG115" s="52">
        <f t="shared" si="32"/>
        <v>205.09626864641311</v>
      </c>
      <c r="AH115" s="52">
        <f t="shared" si="33"/>
        <v>-37.119571671016516</v>
      </c>
      <c r="AI115" s="52">
        <f t="shared" si="34"/>
        <v>7.7791559697681487</v>
      </c>
      <c r="AJ115" s="52">
        <f t="shared" si="35"/>
        <v>-173.153449216761</v>
      </c>
      <c r="AK115" s="52">
        <f t="shared" si="36"/>
        <v>-36.737218932071315</v>
      </c>
      <c r="AM115" s="52">
        <f t="shared" si="37"/>
        <v>29187.887219477598</v>
      </c>
      <c r="AN115" s="57">
        <f t="shared" si="38"/>
        <v>68276.662011971697</v>
      </c>
      <c r="AO115" s="57">
        <f t="shared" si="39"/>
        <v>52978.557594101461</v>
      </c>
    </row>
    <row r="116" spans="12:41" x14ac:dyDescent="0.25">
      <c r="L116" s="6">
        <v>113</v>
      </c>
      <c r="M116" s="52">
        <f t="shared" si="25"/>
        <v>18046.344357553633</v>
      </c>
      <c r="N116" s="52">
        <f t="shared" si="26"/>
        <v>12102.524267262201</v>
      </c>
      <c r="P116" s="6">
        <v>113</v>
      </c>
      <c r="Q116" s="52">
        <f t="shared" si="40"/>
        <v>-21367.558949712457</v>
      </c>
      <c r="R116" s="52">
        <f t="shared" si="41"/>
        <v>13221.766987083542</v>
      </c>
      <c r="T116" s="6">
        <v>113</v>
      </c>
      <c r="U116" s="52">
        <f t="shared" si="27"/>
        <v>-6953.6556424463679</v>
      </c>
      <c r="V116" s="52">
        <f t="shared" si="28"/>
        <v>-10397.475732737799</v>
      </c>
      <c r="X116" s="6">
        <v>112</v>
      </c>
      <c r="Y116" s="55">
        <v>56</v>
      </c>
      <c r="Z116" s="52">
        <f t="shared" si="42"/>
        <v>47263.345217036534</v>
      </c>
      <c r="AA116" s="52">
        <f t="shared" si="43"/>
        <v>-5367.9806791408764</v>
      </c>
      <c r="AB116" s="52">
        <f t="shared" si="44"/>
        <v>704.63676574319334</v>
      </c>
      <c r="AC116" s="52">
        <f t="shared" si="45"/>
        <v>-2682.8845186335734</v>
      </c>
      <c r="AD116" s="52">
        <f t="shared" si="29"/>
        <v>-654.74326157510347</v>
      </c>
      <c r="AE116" s="52">
        <f t="shared" si="30"/>
        <v>186.63980917216068</v>
      </c>
      <c r="AF116" s="52">
        <f t="shared" si="31"/>
        <v>-445.47340013751659</v>
      </c>
      <c r="AG116" s="52">
        <f t="shared" si="32"/>
        <v>210.25824455535576</v>
      </c>
      <c r="AH116" s="52">
        <f t="shared" si="33"/>
        <v>-36.217370602619411</v>
      </c>
      <c r="AI116" s="52">
        <f t="shared" si="34"/>
        <v>8.2747572228888604</v>
      </c>
      <c r="AJ116" s="52">
        <f t="shared" si="35"/>
        <v>-173.05249083496744</v>
      </c>
      <c r="AK116" s="52">
        <f t="shared" si="36"/>
        <v>-31.893192606083947</v>
      </c>
      <c r="AM116" s="52">
        <f t="shared" si="37"/>
        <v>30147.552457571939</v>
      </c>
      <c r="AN116" s="57">
        <f t="shared" si="38"/>
        <v>68996.611800440456</v>
      </c>
      <c r="AO116" s="57">
        <f t="shared" si="39"/>
        <v>53143.513710259496</v>
      </c>
    </row>
    <row r="117" spans="12:41" x14ac:dyDescent="0.25">
      <c r="L117" s="6">
        <v>114</v>
      </c>
      <c r="M117" s="52">
        <f t="shared" si="25"/>
        <v>17966.316784620998</v>
      </c>
      <c r="N117" s="52">
        <f t="shared" si="26"/>
        <v>12067.727288213006</v>
      </c>
      <c r="P117" s="6">
        <v>114</v>
      </c>
      <c r="Q117" s="52">
        <f t="shared" si="40"/>
        <v>-21423.578250765298</v>
      </c>
      <c r="R117" s="52">
        <f t="shared" si="41"/>
        <v>13197.409101749103</v>
      </c>
      <c r="T117" s="6">
        <v>114</v>
      </c>
      <c r="U117" s="52">
        <f t="shared" si="27"/>
        <v>-7033.6832153790001</v>
      </c>
      <c r="V117" s="52">
        <f t="shared" si="28"/>
        <v>-10432.272711786994</v>
      </c>
      <c r="X117" s="6">
        <v>113</v>
      </c>
      <c r="Y117" s="55">
        <v>56.5</v>
      </c>
      <c r="Z117" s="52">
        <f t="shared" si="42"/>
        <v>47533.820692211244</v>
      </c>
      <c r="AA117" s="52">
        <f t="shared" si="43"/>
        <v>-6686.0929623111424</v>
      </c>
      <c r="AB117" s="52">
        <f t="shared" si="44"/>
        <v>377.2651349556416</v>
      </c>
      <c r="AC117" s="52">
        <f t="shared" si="45"/>
        <v>-2589.5646140474933</v>
      </c>
      <c r="AD117" s="52">
        <f t="shared" si="29"/>
        <v>-627.13960192168713</v>
      </c>
      <c r="AE117" s="52">
        <f t="shared" si="30"/>
        <v>196.73179643099047</v>
      </c>
      <c r="AF117" s="52">
        <f t="shared" si="31"/>
        <v>-418.12091213128662</v>
      </c>
      <c r="AG117" s="52">
        <f t="shared" si="32"/>
        <v>215.42604621735848</v>
      </c>
      <c r="AH117" s="52">
        <f t="shared" si="33"/>
        <v>-35.48827834406238</v>
      </c>
      <c r="AI117" s="52">
        <f t="shared" si="34"/>
        <v>8.7683579198073254</v>
      </c>
      <c r="AJ117" s="52">
        <f t="shared" si="35"/>
        <v>-173.53041144633812</v>
      </c>
      <c r="AK117" s="52">
        <f t="shared" si="36"/>
        <v>-27.46260770617533</v>
      </c>
      <c r="AM117" s="52">
        <f t="shared" si="37"/>
        <v>30973.480841619559</v>
      </c>
      <c r="AN117" s="57">
        <f t="shared" si="38"/>
        <v>69564.665137083997</v>
      </c>
      <c r="AO117" s="57">
        <f t="shared" si="39"/>
        <v>53187.624187894828</v>
      </c>
    </row>
    <row r="118" spans="12:41" x14ac:dyDescent="0.25">
      <c r="L118" s="6">
        <v>115</v>
      </c>
      <c r="M118" s="52">
        <f t="shared" si="25"/>
        <v>17886.908691296503</v>
      </c>
      <c r="N118" s="52">
        <f t="shared" si="26"/>
        <v>12031.538935183249</v>
      </c>
      <c r="P118" s="6">
        <v>115</v>
      </c>
      <c r="Q118" s="52">
        <f t="shared" si="40"/>
        <v>-21479.163916092446</v>
      </c>
      <c r="R118" s="52">
        <f t="shared" si="41"/>
        <v>13172.077254628275</v>
      </c>
      <c r="T118" s="6">
        <v>115</v>
      </c>
      <c r="U118" s="52">
        <f t="shared" si="27"/>
        <v>-7113.0913087034969</v>
      </c>
      <c r="V118" s="52">
        <f t="shared" si="28"/>
        <v>-10468.461064816751</v>
      </c>
      <c r="X118" s="6">
        <v>114</v>
      </c>
      <c r="Y118" s="55">
        <v>57</v>
      </c>
      <c r="Z118" s="52">
        <f t="shared" si="42"/>
        <v>47644.060809448856</v>
      </c>
      <c r="AA118" s="52">
        <f t="shared" si="43"/>
        <v>-7956.2837947810149</v>
      </c>
      <c r="AB118" s="52">
        <f t="shared" si="44"/>
        <v>63.695333994798034</v>
      </c>
      <c r="AC118" s="52">
        <f t="shared" si="45"/>
        <v>-2491.198715831998</v>
      </c>
      <c r="AD118" s="52">
        <f t="shared" si="29"/>
        <v>-604.5934865963452</v>
      </c>
      <c r="AE118" s="52">
        <f t="shared" si="30"/>
        <v>206.80177891762824</v>
      </c>
      <c r="AF118" s="52">
        <f t="shared" si="31"/>
        <v>-395.07865280827997</v>
      </c>
      <c r="AG118" s="52">
        <f t="shared" si="32"/>
        <v>220.89546905414574</v>
      </c>
      <c r="AH118" s="52">
        <f t="shared" si="33"/>
        <v>-34.913242012225659</v>
      </c>
      <c r="AI118" s="52">
        <f t="shared" si="34"/>
        <v>9.2678067263493613</v>
      </c>
      <c r="AJ118" s="52">
        <f t="shared" si="35"/>
        <v>-174.60159177583955</v>
      </c>
      <c r="AK118" s="52">
        <f t="shared" si="36"/>
        <v>-23.361496862866847</v>
      </c>
      <c r="AM118" s="52">
        <f t="shared" si="37"/>
        <v>31671.60884422066</v>
      </c>
      <c r="AN118" s="57">
        <f t="shared" si="38"/>
        <v>69986.763680792748</v>
      </c>
      <c r="AO118" s="57">
        <f t="shared" si="39"/>
        <v>53113.191172143037</v>
      </c>
    </row>
    <row r="119" spans="12:41" x14ac:dyDescent="0.25">
      <c r="L119" s="6">
        <v>116</v>
      </c>
      <c r="M119" s="52">
        <f t="shared" si="25"/>
        <v>17808.144266054613</v>
      </c>
      <c r="N119" s="52">
        <f t="shared" si="26"/>
        <v>11993.970231495834</v>
      </c>
      <c r="P119" s="6">
        <v>116</v>
      </c>
      <c r="Q119" s="52">
        <f t="shared" si="40"/>
        <v>-21534.299013761771</v>
      </c>
      <c r="R119" s="52">
        <f t="shared" si="41"/>
        <v>13145.779162047085</v>
      </c>
      <c r="T119" s="6">
        <v>116</v>
      </c>
      <c r="U119" s="52">
        <f t="shared" si="27"/>
        <v>-7191.8557339453873</v>
      </c>
      <c r="V119" s="52">
        <f t="shared" si="28"/>
        <v>-10506.029768504166</v>
      </c>
      <c r="X119" s="6">
        <v>115</v>
      </c>
      <c r="Y119" s="55">
        <v>57.5</v>
      </c>
      <c r="Z119" s="52">
        <f t="shared" si="42"/>
        <v>47600.334290621708</v>
      </c>
      <c r="AA119" s="52">
        <f t="shared" si="43"/>
        <v>-9176.0329303323106</v>
      </c>
      <c r="AB119" s="52">
        <f t="shared" si="44"/>
        <v>-238.60140930337457</v>
      </c>
      <c r="AC119" s="52">
        <f t="shared" si="45"/>
        <v>-2387.7978263731839</v>
      </c>
      <c r="AD119" s="52">
        <f t="shared" si="29"/>
        <v>-586.28711572889756</v>
      </c>
      <c r="AE119" s="52">
        <f t="shared" si="30"/>
        <v>217.14802798194523</v>
      </c>
      <c r="AF119" s="52">
        <f t="shared" si="31"/>
        <v>-375.51805310981052</v>
      </c>
      <c r="AG119" s="52">
        <f t="shared" si="32"/>
        <v>226.88679614004849</v>
      </c>
      <c r="AH119" s="52">
        <f t="shared" si="33"/>
        <v>-34.478195508555054</v>
      </c>
      <c r="AI119" s="52">
        <f t="shared" si="34"/>
        <v>9.7803512273786222</v>
      </c>
      <c r="AJ119" s="52">
        <f t="shared" si="35"/>
        <v>-176.29086711053199</v>
      </c>
      <c r="AK119" s="52">
        <f t="shared" si="36"/>
        <v>-19.519119385481876</v>
      </c>
      <c r="AM119" s="52">
        <f t="shared" si="37"/>
        <v>32246.992530274758</v>
      </c>
      <c r="AN119" s="57">
        <f t="shared" si="38"/>
        <v>70267.527600940928</v>
      </c>
      <c r="AO119" s="57">
        <f t="shared" si="39"/>
        <v>52921.770188777009</v>
      </c>
    </row>
    <row r="120" spans="12:41" x14ac:dyDescent="0.25">
      <c r="L120" s="6">
        <v>117</v>
      </c>
      <c r="M120" s="52">
        <f t="shared" si="25"/>
        <v>17730.047501302266</v>
      </c>
      <c r="N120" s="52">
        <f t="shared" si="26"/>
        <v>11955.03262094184</v>
      </c>
      <c r="P120" s="6">
        <v>117</v>
      </c>
      <c r="Q120" s="52">
        <f t="shared" si="40"/>
        <v>-21588.966749088413</v>
      </c>
      <c r="R120" s="52">
        <f t="shared" si="41"/>
        <v>13118.522834659288</v>
      </c>
      <c r="T120" s="6">
        <v>117</v>
      </c>
      <c r="U120" s="52">
        <f t="shared" si="27"/>
        <v>-7269.952498697734</v>
      </c>
      <c r="V120" s="52">
        <f t="shared" si="28"/>
        <v>-10544.96737905816</v>
      </c>
      <c r="X120" s="6">
        <v>116</v>
      </c>
      <c r="Y120" s="55">
        <v>58</v>
      </c>
      <c r="Z120" s="52">
        <f t="shared" si="42"/>
        <v>47407.74769650391</v>
      </c>
      <c r="AA120" s="52">
        <f t="shared" si="43"/>
        <v>-10342.788340021158</v>
      </c>
      <c r="AB120" s="52">
        <f t="shared" si="44"/>
        <v>-531.74496716782335</v>
      </c>
      <c r="AC120" s="52">
        <f t="shared" si="45"/>
        <v>-2279.2238123822112</v>
      </c>
      <c r="AD120" s="52">
        <f t="shared" si="29"/>
        <v>-571.60079395654918</v>
      </c>
      <c r="AE120" s="52">
        <f t="shared" si="30"/>
        <v>228.01735747658341</v>
      </c>
      <c r="AF120" s="52">
        <f t="shared" si="31"/>
        <v>-358.79297466079782</v>
      </c>
      <c r="AG120" s="52">
        <f t="shared" si="32"/>
        <v>233.57873750333022</v>
      </c>
      <c r="AH120" s="52">
        <f t="shared" si="33"/>
        <v>-34.173059194423487</v>
      </c>
      <c r="AI120" s="52">
        <f t="shared" si="34"/>
        <v>10.312988252524361</v>
      </c>
      <c r="AJ120" s="52">
        <f t="shared" si="35"/>
        <v>-178.63476010132786</v>
      </c>
      <c r="AK120" s="52">
        <f t="shared" si="36"/>
        <v>-15.874368279271149</v>
      </c>
      <c r="AM120" s="52">
        <f t="shared" si="37"/>
        <v>32703.971158591892</v>
      </c>
      <c r="AN120" s="57">
        <f t="shared" si="38"/>
        <v>70410.46432855296</v>
      </c>
      <c r="AO120" s="57">
        <f t="shared" si="39"/>
        <v>52614.272199340114</v>
      </c>
    </row>
    <row r="121" spans="12:41" x14ac:dyDescent="0.25">
      <c r="L121" s="6">
        <v>118</v>
      </c>
      <c r="M121" s="52">
        <f t="shared" si="25"/>
        <v>17652.642186070549</v>
      </c>
      <c r="N121" s="52">
        <f t="shared" si="26"/>
        <v>11914.737964294636</v>
      </c>
      <c r="P121" s="6">
        <v>118</v>
      </c>
      <c r="Q121" s="52">
        <f t="shared" si="40"/>
        <v>-21643.150469750617</v>
      </c>
      <c r="R121" s="52">
        <f t="shared" si="41"/>
        <v>13090.316575006245</v>
      </c>
      <c r="T121" s="6">
        <v>118</v>
      </c>
      <c r="U121" s="52">
        <f t="shared" si="27"/>
        <v>-7347.3578139294532</v>
      </c>
      <c r="V121" s="52">
        <f t="shared" si="28"/>
        <v>-10585.262035705364</v>
      </c>
      <c r="X121" s="6">
        <v>117</v>
      </c>
      <c r="Y121" s="55">
        <v>58.5</v>
      </c>
      <c r="Z121" s="52">
        <f t="shared" si="42"/>
        <v>47070.425113675432</v>
      </c>
      <c r="AA121" s="52">
        <f t="shared" si="43"/>
        <v>-11453.89807652769</v>
      </c>
      <c r="AB121" s="52">
        <f t="shared" si="44"/>
        <v>-817.54536414609788</v>
      </c>
      <c r="AC121" s="52">
        <f t="shared" si="45"/>
        <v>-2165.2151336439197</v>
      </c>
      <c r="AD121" s="52">
        <f t="shared" si="29"/>
        <v>-560.06191911280155</v>
      </c>
      <c r="AE121" s="52">
        <f t="shared" si="30"/>
        <v>239.62962508988818</v>
      </c>
      <c r="AF121" s="52">
        <f t="shared" si="31"/>
        <v>-344.38761627655782</v>
      </c>
      <c r="AG121" s="52">
        <f t="shared" si="32"/>
        <v>241.12985851953431</v>
      </c>
      <c r="AH121" s="52">
        <f t="shared" si="33"/>
        <v>-33.991069422667373</v>
      </c>
      <c r="AI121" s="52">
        <f t="shared" si="34"/>
        <v>10.872764525796827</v>
      </c>
      <c r="AJ121" s="52">
        <f t="shared" si="35"/>
        <v>-181.68323341357635</v>
      </c>
      <c r="AK121" s="52">
        <f t="shared" si="36"/>
        <v>-12.372997955442957</v>
      </c>
      <c r="AM121" s="52">
        <f t="shared" si="37"/>
        <v>33046.303395849129</v>
      </c>
      <c r="AN121" s="57">
        <f t="shared" si="38"/>
        <v>70418.120307256017</v>
      </c>
      <c r="AO121" s="57">
        <f t="shared" si="39"/>
        <v>52191.033812049893</v>
      </c>
    </row>
    <row r="122" spans="12:41" x14ac:dyDescent="0.25">
      <c r="L122" s="6">
        <v>119</v>
      </c>
      <c r="M122" s="52">
        <f t="shared" si="25"/>
        <v>17575.951898768315</v>
      </c>
      <c r="N122" s="52">
        <f t="shared" si="26"/>
        <v>11873.09853569698</v>
      </c>
      <c r="P122" s="6">
        <v>119</v>
      </c>
      <c r="Q122" s="52">
        <f t="shared" si="40"/>
        <v>-21696.833670862179</v>
      </c>
      <c r="R122" s="52">
        <f t="shared" si="41"/>
        <v>13061.168974987886</v>
      </c>
      <c r="T122" s="6">
        <v>119</v>
      </c>
      <c r="U122" s="52">
        <f t="shared" si="27"/>
        <v>-7424.048101231685</v>
      </c>
      <c r="V122" s="52">
        <f t="shared" si="28"/>
        <v>-10626.90146430302</v>
      </c>
      <c r="X122" s="6">
        <v>118</v>
      </c>
      <c r="Y122" s="55">
        <v>59</v>
      </c>
      <c r="Z122" s="52">
        <f t="shared" si="42"/>
        <v>46591.644691713285</v>
      </c>
      <c r="AA122" s="52">
        <f t="shared" si="43"/>
        <v>-12506.551940213414</v>
      </c>
      <c r="AB122" s="52">
        <f t="shared" si="44"/>
        <v>-1097.5763237024987</v>
      </c>
      <c r="AC122" s="52">
        <f t="shared" si="45"/>
        <v>-2045.4003210989756</v>
      </c>
      <c r="AD122" s="52">
        <f t="shared" si="29"/>
        <v>-551.3089442384528</v>
      </c>
      <c r="AE122" s="52">
        <f t="shared" si="30"/>
        <v>252.19452784014223</v>
      </c>
      <c r="AF122" s="52">
        <f t="shared" si="31"/>
        <v>-331.87848787351567</v>
      </c>
      <c r="AG122" s="52">
        <f t="shared" si="32"/>
        <v>249.69287467766571</v>
      </c>
      <c r="AH122" s="52">
        <f t="shared" si="33"/>
        <v>-33.928347423747333</v>
      </c>
      <c r="AI122" s="52">
        <f t="shared" si="34"/>
        <v>11.467055920803825</v>
      </c>
      <c r="AJ122" s="52">
        <f t="shared" si="35"/>
        <v>-185.50210894118979</v>
      </c>
      <c r="AK122" s="52">
        <f t="shared" si="36"/>
        <v>-8.9654027583273255</v>
      </c>
      <c r="AM122" s="52">
        <f t="shared" si="37"/>
        <v>33277.284864405337</v>
      </c>
      <c r="AN122" s="57">
        <f t="shared" si="38"/>
        <v>70292.190341352354</v>
      </c>
      <c r="AO122" s="57">
        <f t="shared" si="39"/>
        <v>51651.864295713865</v>
      </c>
    </row>
    <row r="123" spans="12:41" x14ac:dyDescent="0.25">
      <c r="L123" s="6">
        <v>120</v>
      </c>
      <c r="M123" s="52">
        <f t="shared" si="25"/>
        <v>17500</v>
      </c>
      <c r="N123" s="52">
        <f t="shared" si="26"/>
        <v>11830.127018922194</v>
      </c>
      <c r="P123" s="6">
        <v>120</v>
      </c>
      <c r="Q123" s="52">
        <f t="shared" si="40"/>
        <v>-21750</v>
      </c>
      <c r="R123" s="52">
        <f t="shared" si="41"/>
        <v>13031.088913245536</v>
      </c>
      <c r="T123" s="6">
        <v>120</v>
      </c>
      <c r="U123" s="52">
        <f t="shared" si="27"/>
        <v>-7499.9999999999991</v>
      </c>
      <c r="V123" s="52">
        <f t="shared" si="28"/>
        <v>-10669.872981077806</v>
      </c>
      <c r="X123" s="6">
        <v>119</v>
      </c>
      <c r="Y123" s="55">
        <v>59.5</v>
      </c>
      <c r="Z123" s="52">
        <f t="shared" si="42"/>
        <v>45973.94291183223</v>
      </c>
      <c r="AA123" s="52">
        <f t="shared" si="43"/>
        <v>-13497.727784782885</v>
      </c>
      <c r="AB123" s="52">
        <f t="shared" si="44"/>
        <v>-1373.2307958217252</v>
      </c>
      <c r="AC123" s="52">
        <f t="shared" si="45"/>
        <v>-1919.3030571789045</v>
      </c>
      <c r="AD123" s="52">
        <f t="shared" si="29"/>
        <v>-545.06547733142975</v>
      </c>
      <c r="AE123" s="52">
        <f t="shared" si="30"/>
        <v>265.92391362589126</v>
      </c>
      <c r="AF123" s="52">
        <f t="shared" si="31"/>
        <v>-320.90546345546608</v>
      </c>
      <c r="AG123" s="52">
        <f t="shared" si="32"/>
        <v>259.42482391527449</v>
      </c>
      <c r="AH123" s="52">
        <f t="shared" si="33"/>
        <v>-33.983652742927944</v>
      </c>
      <c r="AI123" s="52">
        <f t="shared" si="34"/>
        <v>12.103848671786684</v>
      </c>
      <c r="AJ123" s="52">
        <f t="shared" si="35"/>
        <v>-190.1763611330357</v>
      </c>
      <c r="AK123" s="52">
        <f t="shared" si="36"/>
        <v>-5.6047589611699209</v>
      </c>
      <c r="AM123" s="52">
        <f t="shared" si="37"/>
        <v>33399.854528290431</v>
      </c>
      <c r="AN123" s="57">
        <f t="shared" si="38"/>
        <v>70033.594469950316</v>
      </c>
      <c r="AO123" s="57">
        <f t="shared" si="39"/>
        <v>50996.075121398746</v>
      </c>
    </row>
    <row r="124" spans="12:41" x14ac:dyDescent="0.25">
      <c r="L124" s="6">
        <v>121</v>
      </c>
      <c r="M124" s="52">
        <f t="shared" si="25"/>
        <v>17424.809625449729</v>
      </c>
      <c r="N124" s="52">
        <f t="shared" si="26"/>
        <v>11785.836503510562</v>
      </c>
      <c r="P124" s="6">
        <v>121</v>
      </c>
      <c r="Q124" s="52">
        <f t="shared" si="40"/>
        <v>-21802.633262185191</v>
      </c>
      <c r="R124" s="52">
        <f t="shared" si="41"/>
        <v>13000.085552457393</v>
      </c>
      <c r="T124" s="6">
        <v>121</v>
      </c>
      <c r="U124" s="52">
        <f t="shared" si="27"/>
        <v>-7575.1903745502714</v>
      </c>
      <c r="V124" s="52">
        <f t="shared" si="28"/>
        <v>-10714.163496489438</v>
      </c>
      <c r="X124" s="6">
        <v>120</v>
      </c>
      <c r="Y124" s="55">
        <v>60</v>
      </c>
      <c r="Z124" s="52">
        <f t="shared" si="42"/>
        <v>45219.19432925494</v>
      </c>
      <c r="AA124" s="52">
        <f t="shared" si="43"/>
        <v>-14424.1388241691</v>
      </c>
      <c r="AB124" s="52">
        <f t="shared" si="44"/>
        <v>-1645.7635344874402</v>
      </c>
      <c r="AC124" s="52">
        <f t="shared" si="45"/>
        <v>-1786.3411003659589</v>
      </c>
      <c r="AD124" s="52">
        <f t="shared" si="29"/>
        <v>-541.12130405683854</v>
      </c>
      <c r="AE124" s="52">
        <f t="shared" si="30"/>
        <v>281.0414684822386</v>
      </c>
      <c r="AF124" s="52">
        <f t="shared" si="31"/>
        <v>-311.148433538794</v>
      </c>
      <c r="AG124" s="52">
        <f t="shared" si="32"/>
        <v>270.49482084025038</v>
      </c>
      <c r="AH124" s="52">
        <f t="shared" si="33"/>
        <v>-34.15829042175708</v>
      </c>
      <c r="AI124" s="52">
        <f t="shared" si="34"/>
        <v>12.792044364201081</v>
      </c>
      <c r="AJ124" s="52">
        <f t="shared" si="35"/>
        <v>-195.81458009628747</v>
      </c>
      <c r="AK124" s="52">
        <f t="shared" si="36"/>
        <v>-2.2453967222129068</v>
      </c>
      <c r="AM124" s="52">
        <f t="shared" si="37"/>
        <v>33416.696811596499</v>
      </c>
      <c r="AN124" s="57">
        <f t="shared" si="38"/>
        <v>69642.52914892885</v>
      </c>
      <c r="AO124" s="57">
        <f t="shared" si="39"/>
        <v>50222.495907444711</v>
      </c>
    </row>
    <row r="125" spans="12:41" x14ac:dyDescent="0.25">
      <c r="L125" s="6">
        <v>122</v>
      </c>
      <c r="M125" s="52">
        <f t="shared" si="25"/>
        <v>17350.403678833976</v>
      </c>
      <c r="N125" s="52">
        <f t="shared" si="26"/>
        <v>11740.240480782129</v>
      </c>
      <c r="P125" s="6">
        <v>122</v>
      </c>
      <c r="Q125" s="52">
        <f t="shared" si="40"/>
        <v>-21854.717424816215</v>
      </c>
      <c r="R125" s="52">
        <f t="shared" si="41"/>
        <v>12968.168336547491</v>
      </c>
      <c r="T125" s="6">
        <v>122</v>
      </c>
      <c r="U125" s="52">
        <f t="shared" si="27"/>
        <v>-7649.5963211660237</v>
      </c>
      <c r="V125" s="52">
        <f t="shared" si="28"/>
        <v>-10759.759519217871</v>
      </c>
      <c r="X125" s="6">
        <v>121</v>
      </c>
      <c r="Y125" s="55">
        <v>60.5</v>
      </c>
      <c r="Z125" s="52">
        <f t="shared" si="42"/>
        <v>44328.672399004114</v>
      </c>
      <c r="AA125" s="52">
        <f t="shared" si="43"/>
        <v>-15282.179190791801</v>
      </c>
      <c r="AB125" s="52">
        <f t="shared" si="44"/>
        <v>-1916.3241865158595</v>
      </c>
      <c r="AC125" s="52">
        <f t="shared" si="45"/>
        <v>-1645.8203661248397</v>
      </c>
      <c r="AD125" s="52">
        <f t="shared" si="29"/>
        <v>-539.31816074134451</v>
      </c>
      <c r="AE125" s="52">
        <f t="shared" si="30"/>
        <v>297.79082386106938</v>
      </c>
      <c r="AF125" s="52">
        <f t="shared" si="31"/>
        <v>-302.30697241822486</v>
      </c>
      <c r="AG125" s="52">
        <f t="shared" si="32"/>
        <v>283.09031842360946</v>
      </c>
      <c r="AH125" s="52">
        <f t="shared" si="33"/>
        <v>-34.456158794884303</v>
      </c>
      <c r="AI125" s="52">
        <f t="shared" si="34"/>
        <v>13.541811891832669</v>
      </c>
      <c r="AJ125" s="52">
        <f t="shared" si="35"/>
        <v>-202.55502952823539</v>
      </c>
      <c r="AK125" s="52">
        <f t="shared" si="36"/>
        <v>1.1586935456272451</v>
      </c>
      <c r="AM125" s="52">
        <f t="shared" si="37"/>
        <v>33330.346373528904</v>
      </c>
      <c r="AN125" s="57">
        <f t="shared" si="38"/>
        <v>69118.497359633766</v>
      </c>
      <c r="AO125" s="57">
        <f t="shared" si="39"/>
        <v>49329.479479759219</v>
      </c>
    </row>
    <row r="126" spans="12:41" x14ac:dyDescent="0.25">
      <c r="L126" s="6">
        <v>123</v>
      </c>
      <c r="M126" s="52">
        <f t="shared" si="25"/>
        <v>17276.804824924864</v>
      </c>
      <c r="N126" s="52">
        <f t="shared" si="26"/>
        <v>11693.352839727118</v>
      </c>
      <c r="P126" s="6">
        <v>123</v>
      </c>
      <c r="Q126" s="52">
        <f t="shared" si="40"/>
        <v>-21906.236622552595</v>
      </c>
      <c r="R126" s="52">
        <f t="shared" si="41"/>
        <v>12935.346987808984</v>
      </c>
      <c r="T126" s="6">
        <v>123</v>
      </c>
      <c r="U126" s="52">
        <f t="shared" si="27"/>
        <v>-7723.1951750751359</v>
      </c>
      <c r="V126" s="52">
        <f t="shared" si="28"/>
        <v>-10806.647160272882</v>
      </c>
      <c r="X126" s="6">
        <v>122</v>
      </c>
      <c r="Y126" s="55">
        <v>61</v>
      </c>
      <c r="Z126" s="52">
        <f t="shared" si="42"/>
        <v>43303.095535653512</v>
      </c>
      <c r="AA126" s="52">
        <f t="shared" si="43"/>
        <v>-16067.865520871588</v>
      </c>
      <c r="AB126" s="52">
        <f t="shared" si="44"/>
        <v>-2185.983266886532</v>
      </c>
      <c r="AC126" s="52">
        <f t="shared" si="45"/>
        <v>-1496.924954194305</v>
      </c>
      <c r="AD126" s="52">
        <f t="shared" si="29"/>
        <v>-539.53877215779994</v>
      </c>
      <c r="AE126" s="52">
        <f t="shared" si="30"/>
        <v>316.44256317011929</v>
      </c>
      <c r="AF126" s="52">
        <f t="shared" si="31"/>
        <v>-294.08091527309955</v>
      </c>
      <c r="AG126" s="52">
        <f t="shared" si="32"/>
        <v>297.42226532981817</v>
      </c>
      <c r="AH126" s="52">
        <f t="shared" si="33"/>
        <v>-34.883939588149524</v>
      </c>
      <c r="AI126" s="52">
        <f t="shared" si="34"/>
        <v>14.365013880086277</v>
      </c>
      <c r="AJ126" s="52">
        <f t="shared" si="35"/>
        <v>-210.57391729655092</v>
      </c>
      <c r="AK126" s="52">
        <f t="shared" si="36"/>
        <v>4.6552839602148239</v>
      </c>
      <c r="AM126" s="52">
        <f t="shared" si="37"/>
        <v>33143.303196176486</v>
      </c>
      <c r="AN126" s="57">
        <f t="shared" si="38"/>
        <v>68460.320750127386</v>
      </c>
      <c r="AO126" s="57">
        <f t="shared" si="39"/>
        <v>48314.898065680907</v>
      </c>
    </row>
    <row r="127" spans="12:41" x14ac:dyDescent="0.25">
      <c r="L127" s="6">
        <v>124</v>
      </c>
      <c r="M127" s="52">
        <f t="shared" si="25"/>
        <v>17204.035482646268</v>
      </c>
      <c r="N127" s="52">
        <f t="shared" si="26"/>
        <v>11645.187862775208</v>
      </c>
      <c r="P127" s="6">
        <v>124</v>
      </c>
      <c r="Q127" s="52">
        <f t="shared" si="40"/>
        <v>-21957.175162147614</v>
      </c>
      <c r="R127" s="52">
        <f t="shared" si="41"/>
        <v>12901.631503942646</v>
      </c>
      <c r="T127" s="6">
        <v>124</v>
      </c>
      <c r="U127" s="52">
        <f t="shared" si="27"/>
        <v>-7795.9645173537338</v>
      </c>
      <c r="V127" s="52">
        <f t="shared" si="28"/>
        <v>-10854.812137224792</v>
      </c>
      <c r="X127" s="6">
        <v>123</v>
      </c>
      <c r="Y127" s="55">
        <v>61.5</v>
      </c>
      <c r="Z127" s="52">
        <f t="shared" si="42"/>
        <v>42142.661555690524</v>
      </c>
      <c r="AA127" s="52">
        <f t="shared" si="43"/>
        <v>-16776.772677572473</v>
      </c>
      <c r="AB127" s="52">
        <f t="shared" si="44"/>
        <v>-2455.7526529654319</v>
      </c>
      <c r="AC127" s="52">
        <f t="shared" si="45"/>
        <v>-1338.7036726092454</v>
      </c>
      <c r="AD127" s="52">
        <f t="shared" si="29"/>
        <v>-541.69815679568978</v>
      </c>
      <c r="AE127" s="52">
        <f t="shared" si="30"/>
        <v>337.30010078149485</v>
      </c>
      <c r="AF127" s="52">
        <f t="shared" si="31"/>
        <v>-286.14992211665725</v>
      </c>
      <c r="AG127" s="52">
        <f t="shared" si="32"/>
        <v>313.72906971727042</v>
      </c>
      <c r="AH127" s="52">
        <f t="shared" si="33"/>
        <v>-35.451446527942778</v>
      </c>
      <c r="AI127" s="52">
        <f t="shared" si="34"/>
        <v>15.275742959916926</v>
      </c>
      <c r="AJ127" s="52">
        <f t="shared" si="35"/>
        <v>-220.09678815108981</v>
      </c>
      <c r="AK127" s="52">
        <f t="shared" si="36"/>
        <v>8.2952881043074829</v>
      </c>
      <c r="AM127" s="52">
        <f t="shared" si="37"/>
        <v>32858.167210122723</v>
      </c>
      <c r="AN127" s="57">
        <f t="shared" si="38"/>
        <v>67666.13584542484</v>
      </c>
      <c r="AO127" s="57">
        <f t="shared" si="39"/>
        <v>47176.132309698187</v>
      </c>
    </row>
    <row r="128" spans="12:41" x14ac:dyDescent="0.25">
      <c r="L128" s="6">
        <v>125</v>
      </c>
      <c r="M128" s="52">
        <f t="shared" si="25"/>
        <v>17132.117818244769</v>
      </c>
      <c r="N128" s="52">
        <f t="shared" si="26"/>
        <v>11595.76022144496</v>
      </c>
      <c r="P128" s="6">
        <v>125</v>
      </c>
      <c r="Q128" s="52">
        <f t="shared" si="40"/>
        <v>-22007.517527228661</v>
      </c>
      <c r="R128" s="52">
        <f t="shared" si="41"/>
        <v>12867.032155011471</v>
      </c>
      <c r="T128" s="6">
        <v>125</v>
      </c>
      <c r="U128" s="52">
        <f t="shared" si="27"/>
        <v>-7867.8821817552289</v>
      </c>
      <c r="V128" s="52">
        <f t="shared" si="28"/>
        <v>-10904.23977855504</v>
      </c>
      <c r="X128" s="6">
        <v>124</v>
      </c>
      <c r="Y128" s="55">
        <v>62</v>
      </c>
      <c r="Z128" s="52">
        <f t="shared" si="42"/>
        <v>40847.072959608347</v>
      </c>
      <c r="AA128" s="52">
        <f t="shared" si="43"/>
        <v>-17403.962001279411</v>
      </c>
      <c r="AB128" s="52">
        <f t="shared" si="44"/>
        <v>-2726.6017313632769</v>
      </c>
      <c r="AC128" s="52">
        <f t="shared" si="45"/>
        <v>-1170.0536222184978</v>
      </c>
      <c r="AD128" s="52">
        <f t="shared" si="29"/>
        <v>-545.73662321245183</v>
      </c>
      <c r="AE128" s="52">
        <f t="shared" si="30"/>
        <v>360.70379461437227</v>
      </c>
      <c r="AF128" s="52">
        <f t="shared" si="31"/>
        <v>-278.15006143635281</v>
      </c>
      <c r="AG128" s="52">
        <f t="shared" si="32"/>
        <v>332.27871241616276</v>
      </c>
      <c r="AH128" s="52">
        <f t="shared" si="33"/>
        <v>-36.172165267574158</v>
      </c>
      <c r="AI128" s="52">
        <f t="shared" si="34"/>
        <v>16.291016055194998</v>
      </c>
      <c r="AJ128" s="52">
        <f t="shared" si="35"/>
        <v>-231.41439650852482</v>
      </c>
      <c r="AK128" s="52">
        <f t="shared" si="36"/>
        <v>12.134066143014527</v>
      </c>
      <c r="AM128" s="52">
        <f t="shared" si="37"/>
        <v>32477.804333796987</v>
      </c>
      <c r="AN128" s="57">
        <f t="shared" si="38"/>
        <v>66733.375616099831</v>
      </c>
      <c r="AO128" s="57">
        <f t="shared" si="39"/>
        <v>45910.054805753025</v>
      </c>
    </row>
    <row r="129" spans="12:41" x14ac:dyDescent="0.25">
      <c r="L129" s="6">
        <v>126</v>
      </c>
      <c r="M129" s="52">
        <f t="shared" si="25"/>
        <v>17061.073738537634</v>
      </c>
      <c r="N129" s="52">
        <f t="shared" si="26"/>
        <v>11545.084971874738</v>
      </c>
      <c r="P129" s="6">
        <v>126</v>
      </c>
      <c r="Q129" s="52">
        <f t="shared" si="40"/>
        <v>-22057.248383023656</v>
      </c>
      <c r="R129" s="52">
        <f t="shared" si="41"/>
        <v>12831.559480312317</v>
      </c>
      <c r="T129" s="6">
        <v>126</v>
      </c>
      <c r="U129" s="52">
        <f t="shared" si="27"/>
        <v>-7938.9262614623658</v>
      </c>
      <c r="V129" s="52">
        <f t="shared" si="28"/>
        <v>-10954.915028125262</v>
      </c>
      <c r="X129" s="6">
        <v>125</v>
      </c>
      <c r="Y129" s="55">
        <v>62.5</v>
      </c>
      <c r="Z129" s="52">
        <f t="shared" si="42"/>
        <v>39415.555016025151</v>
      </c>
      <c r="AA129" s="52">
        <f t="shared" si="43"/>
        <v>-17943.900838061862</v>
      </c>
      <c r="AB129" s="52">
        <f t="shared" si="44"/>
        <v>-2999.4700429695031</v>
      </c>
      <c r="AC129" s="52">
        <f t="shared" si="45"/>
        <v>-989.70172491131166</v>
      </c>
      <c r="AD129" s="52">
        <f t="shared" si="29"/>
        <v>-551.61439012819278</v>
      </c>
      <c r="AE129" s="52">
        <f t="shared" si="30"/>
        <v>387.03173708788836</v>
      </c>
      <c r="AF129" s="52">
        <f t="shared" si="31"/>
        <v>-269.64523298208263</v>
      </c>
      <c r="AG129" s="52">
        <f t="shared" si="32"/>
        <v>353.36752226703953</v>
      </c>
      <c r="AH129" s="52">
        <f t="shared" si="33"/>
        <v>-37.064038816357638</v>
      </c>
      <c r="AI129" s="52">
        <f t="shared" si="34"/>
        <v>17.431694866151261</v>
      </c>
      <c r="AJ129" s="52">
        <f t="shared" si="35"/>
        <v>-244.90511832975247</v>
      </c>
      <c r="AK129" s="52">
        <f t="shared" si="36"/>
        <v>16.232519954697604</v>
      </c>
      <c r="AM129" s="52">
        <f t="shared" si="37"/>
        <v>32005.559930071908</v>
      </c>
      <c r="AN129" s="57">
        <f t="shared" si="38"/>
        <v>65658.737209222556</v>
      </c>
      <c r="AO129" s="57">
        <f t="shared" si="39"/>
        <v>44513.010227639046</v>
      </c>
    </row>
    <row r="130" spans="12:41" x14ac:dyDescent="0.25">
      <c r="L130" s="6">
        <v>127</v>
      </c>
      <c r="M130" s="52">
        <f t="shared" si="25"/>
        <v>16990.924884239757</v>
      </c>
      <c r="N130" s="52">
        <f t="shared" si="26"/>
        <v>11493.177550236464</v>
      </c>
      <c r="P130" s="6">
        <v>127</v>
      </c>
      <c r="Q130" s="52">
        <f t="shared" si="40"/>
        <v>-22106.35258103217</v>
      </c>
      <c r="R130" s="52">
        <f t="shared" si="41"/>
        <v>12795.224285165525</v>
      </c>
      <c r="T130" s="6">
        <v>127</v>
      </c>
      <c r="U130" s="52">
        <f t="shared" si="27"/>
        <v>-8009.0751157602417</v>
      </c>
      <c r="V130" s="52">
        <f t="shared" si="28"/>
        <v>-11006.822449763536</v>
      </c>
      <c r="X130" s="6">
        <v>126</v>
      </c>
      <c r="Y130" s="55">
        <v>63</v>
      </c>
      <c r="Z130" s="52">
        <f t="shared" si="42"/>
        <v>37846.868195774376</v>
      </c>
      <c r="AA130" s="52">
        <f t="shared" si="43"/>
        <v>-18390.372733381533</v>
      </c>
      <c r="AB130" s="52">
        <f t="shared" si="44"/>
        <v>-3275.2772380335996</v>
      </c>
      <c r="AC130" s="52">
        <f t="shared" si="45"/>
        <v>-796.18585636736748</v>
      </c>
      <c r="AD130" s="52">
        <f t="shared" si="29"/>
        <v>-559.30861059800122</v>
      </c>
      <c r="AE130" s="52">
        <f t="shared" si="30"/>
        <v>416.69415465428733</v>
      </c>
      <c r="AF130" s="52">
        <f t="shared" si="31"/>
        <v>-260.09095238423055</v>
      </c>
      <c r="AG130" s="52">
        <f t="shared" si="32"/>
        <v>377.31279392774923</v>
      </c>
      <c r="AH130" s="52">
        <f t="shared" si="33"/>
        <v>-38.150582509904538</v>
      </c>
      <c r="AI130" s="52">
        <f t="shared" si="34"/>
        <v>18.723732005442184</v>
      </c>
      <c r="AJ130" s="52">
        <f t="shared" si="35"/>
        <v>-261.06707570386612</v>
      </c>
      <c r="AK130" s="52">
        <f t="shared" si="36"/>
        <v>20.657628721095925</v>
      </c>
      <c r="AM130" s="52">
        <f t="shared" si="37"/>
        <v>31445.541888648841</v>
      </c>
      <c r="AN130" s="57">
        <f t="shared" si="38"/>
        <v>64438.136410045459</v>
      </c>
      <c r="AO130" s="57">
        <f t="shared" si="39"/>
        <v>42980.795030540306</v>
      </c>
    </row>
    <row r="131" spans="12:41" x14ac:dyDescent="0.25">
      <c r="L131" s="6">
        <v>128</v>
      </c>
      <c r="M131" s="52">
        <f t="shared" si="25"/>
        <v>16921.692623371709</v>
      </c>
      <c r="N131" s="52">
        <f t="shared" si="26"/>
        <v>11440.053768033609</v>
      </c>
      <c r="P131" s="6">
        <v>128</v>
      </c>
      <c r="Q131" s="52">
        <f t="shared" si="40"/>
        <v>-22154.815163639803</v>
      </c>
      <c r="R131" s="52">
        <f t="shared" si="41"/>
        <v>12758.037637623527</v>
      </c>
      <c r="T131" s="6">
        <v>128</v>
      </c>
      <c r="U131" s="52">
        <f t="shared" si="27"/>
        <v>-8078.3073766282914</v>
      </c>
      <c r="V131" s="52">
        <f t="shared" si="28"/>
        <v>-11059.946231966391</v>
      </c>
      <c r="X131" s="6">
        <v>127</v>
      </c>
      <c r="Y131" s="55">
        <v>63.5</v>
      </c>
      <c r="Z131" s="52">
        <f t="shared" si="42"/>
        <v>36139.316000432831</v>
      </c>
      <c r="AA131" s="52">
        <f t="shared" si="43"/>
        <v>-18736.378892233432</v>
      </c>
      <c r="AB131" s="52">
        <f t="shared" si="44"/>
        <v>-3554.9315433326001</v>
      </c>
      <c r="AC131" s="52">
        <f t="shared" si="45"/>
        <v>-587.83877904022381</v>
      </c>
      <c r="AD131" s="52">
        <f t="shared" si="29"/>
        <v>-568.8152404641686</v>
      </c>
      <c r="AE131" s="52">
        <f t="shared" si="30"/>
        <v>450.11575798052274</v>
      </c>
      <c r="AF131" s="52">
        <f t="shared" si="31"/>
        <v>-248.78783459222194</v>
      </c>
      <c r="AG131" s="52">
        <f t="shared" si="32"/>
        <v>404.43423327015734</v>
      </c>
      <c r="AH131" s="52">
        <f t="shared" si="33"/>
        <v>-39.462456433773731</v>
      </c>
      <c r="AI131" s="52">
        <f t="shared" si="34"/>
        <v>20.199891642613416</v>
      </c>
      <c r="AJ131" s="52">
        <f t="shared" si="35"/>
        <v>-280.5649494381729</v>
      </c>
      <c r="AK131" s="52">
        <f t="shared" si="36"/>
        <v>25.481633067752025</v>
      </c>
      <c r="AM131" s="52">
        <f t="shared" si="37"/>
        <v>30803.004696598335</v>
      </c>
      <c r="AN131" s="57">
        <f t="shared" si="38"/>
        <v>63066.649449883196</v>
      </c>
      <c r="AO131" s="57">
        <f t="shared" si="39"/>
        <v>41308.641326117184</v>
      </c>
    </row>
    <row r="132" spans="12:41" x14ac:dyDescent="0.25">
      <c r="L132" s="6">
        <v>129</v>
      </c>
      <c r="M132" s="52">
        <f t="shared" si="25"/>
        <v>16853.398044750815</v>
      </c>
      <c r="N132" s="52">
        <f t="shared" si="26"/>
        <v>11385.729807284855</v>
      </c>
      <c r="P132" s="6">
        <v>129</v>
      </c>
      <c r="Q132" s="52">
        <f t="shared" si="40"/>
        <v>-22202.62136867443</v>
      </c>
      <c r="R132" s="52">
        <f t="shared" si="41"/>
        <v>12720.010865099399</v>
      </c>
      <c r="T132" s="6">
        <v>129</v>
      </c>
      <c r="U132" s="52">
        <f t="shared" si="27"/>
        <v>-8146.6019552491862</v>
      </c>
      <c r="V132" s="52">
        <f t="shared" si="28"/>
        <v>-11114.270192715145</v>
      </c>
      <c r="X132" s="6">
        <v>128</v>
      </c>
      <c r="Y132" s="55">
        <v>64</v>
      </c>
      <c r="Z132" s="52">
        <f t="shared" si="42"/>
        <v>34290.748323708511</v>
      </c>
      <c r="AA132" s="52">
        <f t="shared" si="43"/>
        <v>-18974.033812005979</v>
      </c>
      <c r="AB132" s="52">
        <f t="shared" si="44"/>
        <v>-3839.3391635646844</v>
      </c>
      <c r="AC132" s="52">
        <f t="shared" si="45"/>
        <v>-362.78090004996244</v>
      </c>
      <c r="AD132" s="52">
        <f t="shared" si="29"/>
        <v>-580.1616061350262</v>
      </c>
      <c r="AE132" s="52">
        <f t="shared" si="30"/>
        <v>487.69594366451611</v>
      </c>
      <c r="AF132" s="52">
        <f t="shared" si="31"/>
        <v>-234.82250333798061</v>
      </c>
      <c r="AG132" s="52">
        <f t="shared" si="32"/>
        <v>435.0156305584091</v>
      </c>
      <c r="AH132" s="52">
        <f t="shared" si="33"/>
        <v>-41.03968992586266</v>
      </c>
      <c r="AI132" s="52">
        <f t="shared" si="34"/>
        <v>21.902173026908127</v>
      </c>
      <c r="AJ132" s="52">
        <f t="shared" si="35"/>
        <v>-304.29941287118299</v>
      </c>
      <c r="AK132" s="52">
        <f t="shared" si="36"/>
        <v>30.778140079198863</v>
      </c>
      <c r="AM132" s="52">
        <f t="shared" si="37"/>
        <v>30084.879157656815</v>
      </c>
      <c r="AN132" s="57">
        <f t="shared" si="38"/>
        <v>61538.443178939167</v>
      </c>
      <c r="AO132" s="57">
        <f t="shared" si="39"/>
        <v>39491.212295597739</v>
      </c>
    </row>
    <row r="133" spans="12:41" x14ac:dyDescent="0.25">
      <c r="L133" s="6">
        <v>130</v>
      </c>
      <c r="M133" s="52">
        <f t="shared" ref="M133:M196" si="46">$G$20*COS(L133*PI()/180)+$G$19</f>
        <v>16786.061951567302</v>
      </c>
      <c r="N133" s="52">
        <f t="shared" ref="N133:N196" si="47">$G$20*SIN(L133*PI()/180)+$H$19</f>
        <v>11330.222215594891</v>
      </c>
      <c r="P133" s="6">
        <v>130</v>
      </c>
      <c r="Q133" s="52">
        <f t="shared" si="40"/>
        <v>-22249.756633902889</v>
      </c>
      <c r="R133" s="52">
        <f t="shared" si="41"/>
        <v>12681.155550916423</v>
      </c>
      <c r="T133" s="6">
        <v>130</v>
      </c>
      <c r="U133" s="52">
        <f t="shared" ref="U133:U196" si="48">$G$40*COS(T133*PI()/180)+$G$39</f>
        <v>-8213.9380484326975</v>
      </c>
      <c r="V133" s="52">
        <f t="shared" ref="V133:V196" si="49">$G$40*SIN(T133*PI()/180)+$H$39</f>
        <v>-11169.777784405109</v>
      </c>
      <c r="X133" s="6">
        <v>129</v>
      </c>
      <c r="Y133" s="55">
        <v>64.5</v>
      </c>
      <c r="Z133" s="52">
        <f t="shared" si="42"/>
        <v>32298.558541159291</v>
      </c>
      <c r="AA133" s="52">
        <f t="shared" si="43"/>
        <v>-19094.462269072894</v>
      </c>
      <c r="AB133" s="52">
        <f t="shared" si="44"/>
        <v>-4129.4199666321974</v>
      </c>
      <c r="AC133" s="52">
        <f t="shared" si="45"/>
        <v>-118.93292821770439</v>
      </c>
      <c r="AD133" s="52">
        <f t="shared" ref="AD133:AD196" si="50">AF133+AH133+AJ133</f>
        <v>-593.44257632565655</v>
      </c>
      <c r="AE133" s="52">
        <f t="shared" ref="AE133:AE196" si="51">AG133+AI133+AK133</f>
        <v>529.72920313115992</v>
      </c>
      <c r="AF133" s="52">
        <f t="shared" ref="AF133:AF196" si="52">(($G$19-Z133)/(AM133^2+$G$24^2)^(3/2))*$G$23</f>
        <v>-216.9956809512511</v>
      </c>
      <c r="AG133" s="52">
        <f t="shared" ref="AG133:AG196" si="53">(($H$19-AA133)/(AM133^2+$G$24^2)^(3/2))*$G$23</f>
        <v>469.23250641906935</v>
      </c>
      <c r="AH133" s="52">
        <f t="shared" ref="AH133:AH196" si="54">(($G$29-Z133)/(AN133^2+$G$34^2)^(3/2))*$G$33</f>
        <v>-42.934856811886227</v>
      </c>
      <c r="AI133" s="52">
        <f t="shared" ref="AI133:AI196" si="55">(($H$29-AA133)/(AN133^2+$G$34^2)^(3/2))*$G$33</f>
        <v>23.885296390308145</v>
      </c>
      <c r="AJ133" s="52">
        <f t="shared" ref="AJ133:AJ196" si="56">(($G$39-Z133)/(AO133^2+$G$44^2)^(3/2))*$G$43</f>
        <v>-333.51203856251919</v>
      </c>
      <c r="AK133" s="52">
        <f t="shared" ref="AK133:AK196" si="57">(($H$39-AA133)/(AO133^2+$G$44^2)^(3/2))*$G$43</f>
        <v>36.611400321782398</v>
      </c>
      <c r="AM133" s="52">
        <f t="shared" ref="AM133:AM196" si="58">SQRT(($G$19-Z133)^2+($H$19-AA133)^2)</f>
        <v>29300.511353412654</v>
      </c>
      <c r="AN133" s="57">
        <f t="shared" ref="AN133:AN196" si="59">SQRT(($G$29-Z133)^2+($H$29-AA133)^2)</f>
        <v>59846.69548278812</v>
      </c>
      <c r="AO133" s="57">
        <f t="shared" ref="AO133:AO196" si="60">SQRT(($G$39-Z133)^2+($H$39-AA133)^2)</f>
        <v>37522.621050789458</v>
      </c>
    </row>
    <row r="134" spans="12:41" x14ac:dyDescent="0.25">
      <c r="L134" s="6">
        <v>131</v>
      </c>
      <c r="M134" s="52">
        <f t="shared" si="46"/>
        <v>16719.704855047461</v>
      </c>
      <c r="N134" s="52">
        <f t="shared" si="47"/>
        <v>11273.54790111386</v>
      </c>
      <c r="P134" s="6">
        <v>131</v>
      </c>
      <c r="Q134" s="52">
        <f t="shared" ref="Q134:Q197" si="61">$G$30*COS(P134*PI()/180)+$G$29</f>
        <v>-22296.206601466776</v>
      </c>
      <c r="R134" s="52">
        <f t="shared" ref="R134:R197" si="62">$G$30*SIN(P134*PI()/180)+$H$29</f>
        <v>12641.4835307797</v>
      </c>
      <c r="T134" s="6">
        <v>131</v>
      </c>
      <c r="U134" s="52">
        <f t="shared" si="48"/>
        <v>-8280.2951449525372</v>
      </c>
      <c r="V134" s="52">
        <f t="shared" si="49"/>
        <v>-11226.45209888614</v>
      </c>
      <c r="X134" s="6">
        <v>130</v>
      </c>
      <c r="Y134" s="55">
        <v>65</v>
      </c>
      <c r="Z134" s="52">
        <f t="shared" ref="Z134:Z197" si="63">Z133+AB133*$G$4+((1/2)*AD133)*$G$4^2</f>
        <v>30159.668235802488</v>
      </c>
      <c r="AA134" s="52">
        <f t="shared" ref="AA134:AA197" si="64">AA133+AC133*$G$4+((1/2)*AE133)*$G$4^2</f>
        <v>-19087.712582790351</v>
      </c>
      <c r="AB134" s="52">
        <f t="shared" ref="AB134:AB197" si="65">AB133+AD133*$G$4</f>
        <v>-4426.1412547950258</v>
      </c>
      <c r="AC134" s="52">
        <f t="shared" ref="AC134:AC197" si="66">AC133+AE133*$G$4</f>
        <v>145.93167334787557</v>
      </c>
      <c r="AD134" s="52">
        <f t="shared" si="50"/>
        <v>-608.90757528621361</v>
      </c>
      <c r="AE134" s="52">
        <f t="shared" si="51"/>
        <v>576.25553162366191</v>
      </c>
      <c r="AF134" s="52">
        <f t="shared" si="52"/>
        <v>-193.74314894905106</v>
      </c>
      <c r="AG134" s="52">
        <f t="shared" si="53"/>
        <v>507.02316646417825</v>
      </c>
      <c r="AH134" s="52">
        <f t="shared" si="54"/>
        <v>-45.217665646181459</v>
      </c>
      <c r="AI134" s="52">
        <f t="shared" si="55"/>
        <v>26.221833362167907</v>
      </c>
      <c r="AJ134" s="52">
        <f t="shared" si="56"/>
        <v>-369.94676069098114</v>
      </c>
      <c r="AK134" s="52">
        <f t="shared" si="57"/>
        <v>43.010531797315728</v>
      </c>
      <c r="AM134" s="52">
        <f t="shared" si="58"/>
        <v>28462.700487596787</v>
      </c>
      <c r="AN134" s="57">
        <f t="shared" si="59"/>
        <v>57983.509214472288</v>
      </c>
      <c r="AO134" s="57">
        <f t="shared" si="60"/>
        <v>35396.49226422303</v>
      </c>
    </row>
    <row r="135" spans="12:41" x14ac:dyDescent="0.25">
      <c r="L135" s="6">
        <v>132</v>
      </c>
      <c r="M135" s="52">
        <f t="shared" si="46"/>
        <v>16654.346968205708</v>
      </c>
      <c r="N135" s="52">
        <f t="shared" si="47"/>
        <v>11215.724127386971</v>
      </c>
      <c r="P135" s="6">
        <v>132</v>
      </c>
      <c r="Q135" s="52">
        <f t="shared" si="61"/>
        <v>-22341.957122256004</v>
      </c>
      <c r="R135" s="52">
        <f t="shared" si="62"/>
        <v>12601.00688917088</v>
      </c>
      <c r="T135" s="6">
        <v>132</v>
      </c>
      <c r="U135" s="52">
        <f t="shared" si="48"/>
        <v>-8345.6530317942907</v>
      </c>
      <c r="V135" s="52">
        <f t="shared" si="49"/>
        <v>-11284.275872613029</v>
      </c>
      <c r="X135" s="6">
        <v>131</v>
      </c>
      <c r="Y135" s="55">
        <v>65.5</v>
      </c>
      <c r="Z135" s="52">
        <f t="shared" si="63"/>
        <v>27870.484161494198</v>
      </c>
      <c r="AA135" s="52">
        <f t="shared" si="64"/>
        <v>-18942.714804663454</v>
      </c>
      <c r="AB135" s="52">
        <f t="shared" si="65"/>
        <v>-4730.5950424381326</v>
      </c>
      <c r="AC135" s="52">
        <f t="shared" si="66"/>
        <v>434.05943915970653</v>
      </c>
      <c r="AD135" s="52">
        <f t="shared" si="50"/>
        <v>-627.15394813063028</v>
      </c>
      <c r="AE135" s="52">
        <f t="shared" si="51"/>
        <v>626.79032180010495</v>
      </c>
      <c r="AF135" s="52">
        <f t="shared" si="52"/>
        <v>-163.06960591911439</v>
      </c>
      <c r="AG135" s="52">
        <f t="shared" si="53"/>
        <v>547.87011753662887</v>
      </c>
      <c r="AH135" s="52">
        <f t="shared" si="54"/>
        <v>-47.98169772728788</v>
      </c>
      <c r="AI135" s="52">
        <f t="shared" si="55"/>
        <v>29.00995503783756</v>
      </c>
      <c r="AJ135" s="52">
        <f t="shared" si="56"/>
        <v>-416.10264448422799</v>
      </c>
      <c r="AK135" s="52">
        <f t="shared" si="57"/>
        <v>49.910249225638537</v>
      </c>
      <c r="AM135" s="52">
        <f t="shared" si="58"/>
        <v>27589.158870416817</v>
      </c>
      <c r="AN135" s="57">
        <f t="shared" si="59"/>
        <v>55939.824759467672</v>
      </c>
      <c r="AO135" s="57">
        <f t="shared" si="60"/>
        <v>33106.098064283462</v>
      </c>
    </row>
    <row r="136" spans="12:41" x14ac:dyDescent="0.25">
      <c r="L136" s="6">
        <v>133</v>
      </c>
      <c r="M136" s="52">
        <f t="shared" si="46"/>
        <v>16590.008199687509</v>
      </c>
      <c r="N136" s="52">
        <f t="shared" si="47"/>
        <v>11156.768508095853</v>
      </c>
      <c r="P136" s="6">
        <v>133</v>
      </c>
      <c r="Q136" s="52">
        <f t="shared" si="61"/>
        <v>-22386.994260218744</v>
      </c>
      <c r="R136" s="52">
        <f t="shared" si="62"/>
        <v>12559.737955667097</v>
      </c>
      <c r="T136" s="6">
        <v>133</v>
      </c>
      <c r="U136" s="52">
        <f t="shared" si="48"/>
        <v>-8409.9918003124913</v>
      </c>
      <c r="V136" s="52">
        <f t="shared" si="49"/>
        <v>-11343.231491904147</v>
      </c>
      <c r="X136" s="6">
        <v>132</v>
      </c>
      <c r="Y136" s="55">
        <v>66</v>
      </c>
      <c r="Z136" s="52">
        <f t="shared" si="63"/>
        <v>25426.792396758803</v>
      </c>
      <c r="AA136" s="52">
        <f t="shared" si="64"/>
        <v>-18647.336294858589</v>
      </c>
      <c r="AB136" s="52">
        <f t="shared" si="65"/>
        <v>-5044.1720165034476</v>
      </c>
      <c r="AC136" s="52">
        <f t="shared" si="66"/>
        <v>747.45460005975906</v>
      </c>
      <c r="AD136" s="52">
        <f t="shared" si="50"/>
        <v>-649.53495922257025</v>
      </c>
      <c r="AE136" s="52">
        <f t="shared" si="51"/>
        <v>679.85146411558503</v>
      </c>
      <c r="AF136" s="52">
        <f t="shared" si="52"/>
        <v>-122.54602619665927</v>
      </c>
      <c r="AG136" s="52">
        <f t="shared" si="53"/>
        <v>590.45047687403087</v>
      </c>
      <c r="AH136" s="52">
        <f t="shared" si="54"/>
        <v>-51.354467689411379</v>
      </c>
      <c r="AI136" s="52">
        <f t="shared" si="55"/>
        <v>32.385485052362739</v>
      </c>
      <c r="AJ136" s="52">
        <f t="shared" si="56"/>
        <v>-475.63446533649966</v>
      </c>
      <c r="AK136" s="52">
        <f t="shared" si="57"/>
        <v>57.01550218919143</v>
      </c>
      <c r="AM136" s="52">
        <f t="shared" si="58"/>
        <v>26704.555248757624</v>
      </c>
      <c r="AN136" s="57">
        <f t="shared" si="59"/>
        <v>53705.338135505161</v>
      </c>
      <c r="AO136" s="57">
        <f t="shared" si="60"/>
        <v>30644.620369703589</v>
      </c>
    </row>
    <row r="137" spans="12:41" x14ac:dyDescent="0.25">
      <c r="L137" s="6">
        <v>134</v>
      </c>
      <c r="M137" s="52">
        <f t="shared" si="46"/>
        <v>16526.708147705016</v>
      </c>
      <c r="N137" s="52">
        <f t="shared" si="47"/>
        <v>11096.699001693258</v>
      </c>
      <c r="P137" s="6">
        <v>134</v>
      </c>
      <c r="Q137" s="52">
        <f t="shared" si="61"/>
        <v>-22431.30429660649</v>
      </c>
      <c r="R137" s="52">
        <f t="shared" si="62"/>
        <v>12517.689301185281</v>
      </c>
      <c r="T137" s="6">
        <v>134</v>
      </c>
      <c r="U137" s="52">
        <f t="shared" si="48"/>
        <v>-8473.2918522949858</v>
      </c>
      <c r="V137" s="52">
        <f t="shared" si="49"/>
        <v>-11403.300998306742</v>
      </c>
      <c r="X137" s="6">
        <v>133</v>
      </c>
      <c r="Y137" s="55">
        <v>66.5</v>
      </c>
      <c r="Z137" s="52">
        <f t="shared" si="63"/>
        <v>22823.514518604257</v>
      </c>
      <c r="AA137" s="52">
        <f t="shared" si="64"/>
        <v>-18188.627561814261</v>
      </c>
      <c r="AB137" s="52">
        <f t="shared" si="65"/>
        <v>-5368.9394961147327</v>
      </c>
      <c r="AC137" s="52">
        <f t="shared" si="66"/>
        <v>1087.3803321175515</v>
      </c>
      <c r="AD137" s="52">
        <f t="shared" si="50"/>
        <v>-678.97863271301549</v>
      </c>
      <c r="AE137" s="52">
        <f t="shared" si="51"/>
        <v>732.1519496134714</v>
      </c>
      <c r="AF137" s="52">
        <f t="shared" si="52"/>
        <v>-69.478504596877912</v>
      </c>
      <c r="AG137" s="52">
        <f t="shared" si="53"/>
        <v>632.12263169919083</v>
      </c>
      <c r="AH137" s="52">
        <f t="shared" si="54"/>
        <v>-55.512716446643168</v>
      </c>
      <c r="AI137" s="52">
        <f t="shared" si="55"/>
        <v>36.541309288830121</v>
      </c>
      <c r="AJ137" s="52">
        <f t="shared" si="56"/>
        <v>-553.98741166949435</v>
      </c>
      <c r="AK137" s="52">
        <f t="shared" si="57"/>
        <v>63.488008625450462</v>
      </c>
      <c r="AM137" s="52">
        <f t="shared" si="58"/>
        <v>25843.332220253105</v>
      </c>
      <c r="AN137" s="57">
        <f t="shared" si="59"/>
        <v>51268.431998099804</v>
      </c>
      <c r="AO137" s="57">
        <f t="shared" si="60"/>
        <v>28005.629896414463</v>
      </c>
    </row>
    <row r="138" spans="12:41" x14ac:dyDescent="0.25">
      <c r="L138" s="6">
        <v>135</v>
      </c>
      <c r="M138" s="52">
        <f t="shared" si="46"/>
        <v>16464.466094067262</v>
      </c>
      <c r="N138" s="52">
        <f t="shared" si="47"/>
        <v>11035.533905932738</v>
      </c>
      <c r="P138" s="6">
        <v>135</v>
      </c>
      <c r="Q138" s="52">
        <f t="shared" si="61"/>
        <v>-22474.873734152916</v>
      </c>
      <c r="R138" s="52">
        <f t="shared" si="62"/>
        <v>12474.873734152916</v>
      </c>
      <c r="T138" s="6">
        <v>135</v>
      </c>
      <c r="U138" s="52">
        <f t="shared" si="48"/>
        <v>-8535.533905932738</v>
      </c>
      <c r="V138" s="52">
        <f t="shared" si="49"/>
        <v>-11464.466094067262</v>
      </c>
      <c r="X138" s="6">
        <v>134</v>
      </c>
      <c r="Y138" s="55">
        <v>67</v>
      </c>
      <c r="Z138" s="52">
        <f t="shared" si="63"/>
        <v>20054.172441457762</v>
      </c>
      <c r="AA138" s="52">
        <f t="shared" si="64"/>
        <v>-17553.418402053801</v>
      </c>
      <c r="AB138" s="52">
        <f t="shared" si="65"/>
        <v>-5708.4288124712402</v>
      </c>
      <c r="AC138" s="52">
        <f t="shared" si="66"/>
        <v>1453.4563069242872</v>
      </c>
      <c r="AD138" s="52">
        <f t="shared" si="50"/>
        <v>-721.5210376104626</v>
      </c>
      <c r="AE138" s="52">
        <f t="shared" si="51"/>
        <v>777.23934966437366</v>
      </c>
      <c r="AF138" s="52">
        <f t="shared" si="52"/>
        <v>-1.4450049009964168</v>
      </c>
      <c r="AG138" s="52">
        <f t="shared" si="53"/>
        <v>668.27913609742541</v>
      </c>
      <c r="AH138" s="52">
        <f t="shared" si="54"/>
        <v>-60.706063382371248</v>
      </c>
      <c r="AI138" s="52">
        <f t="shared" si="55"/>
        <v>41.759933159542669</v>
      </c>
      <c r="AJ138" s="52">
        <f t="shared" si="56"/>
        <v>-659.36996932709496</v>
      </c>
      <c r="AK138" s="52">
        <f t="shared" si="57"/>
        <v>67.200280407405586</v>
      </c>
      <c r="AM138" s="52">
        <f t="shared" si="58"/>
        <v>25053.476969909418</v>
      </c>
      <c r="AN138" s="57">
        <f t="shared" si="59"/>
        <v>48616.124851829474</v>
      </c>
      <c r="AO138" s="57">
        <f t="shared" si="60"/>
        <v>25183.95326914042</v>
      </c>
    </row>
    <row r="139" spans="12:41" x14ac:dyDescent="0.25">
      <c r="L139" s="6">
        <v>136</v>
      </c>
      <c r="M139" s="52">
        <f t="shared" si="46"/>
        <v>16403.300998306746</v>
      </c>
      <c r="N139" s="52">
        <f t="shared" si="47"/>
        <v>10973.291852294986</v>
      </c>
      <c r="P139" s="6">
        <v>136</v>
      </c>
      <c r="Q139" s="52">
        <f t="shared" si="61"/>
        <v>-22517.689301185281</v>
      </c>
      <c r="R139" s="52">
        <f t="shared" si="62"/>
        <v>12431.30429660649</v>
      </c>
      <c r="T139" s="6">
        <v>136</v>
      </c>
      <c r="U139" s="52">
        <f t="shared" si="48"/>
        <v>-8596.6990016932559</v>
      </c>
      <c r="V139" s="52">
        <f t="shared" si="49"/>
        <v>-11526.708147705014</v>
      </c>
      <c r="X139" s="6">
        <v>135</v>
      </c>
      <c r="Y139" s="55">
        <v>67.5</v>
      </c>
      <c r="Z139" s="52">
        <f t="shared" si="63"/>
        <v>17109.767905520835</v>
      </c>
      <c r="AA139" s="52">
        <f t="shared" si="64"/>
        <v>-16729.535329883613</v>
      </c>
      <c r="AB139" s="52">
        <f t="shared" si="65"/>
        <v>-6069.1893312764714</v>
      </c>
      <c r="AC139" s="52">
        <f t="shared" si="66"/>
        <v>1842.075981756474</v>
      </c>
      <c r="AD139" s="52">
        <f t="shared" si="50"/>
        <v>-788.82605214196064</v>
      </c>
      <c r="AE139" s="52">
        <f t="shared" si="51"/>
        <v>803.14982782095308</v>
      </c>
      <c r="AF139" s="52">
        <f t="shared" si="52"/>
        <v>82.519577290672771</v>
      </c>
      <c r="AG139" s="52">
        <f t="shared" si="53"/>
        <v>691.78216420426315</v>
      </c>
      <c r="AH139" s="52">
        <f t="shared" si="54"/>
        <v>-67.294071661821249</v>
      </c>
      <c r="AI139" s="52">
        <f t="shared" si="55"/>
        <v>48.470776496254281</v>
      </c>
      <c r="AJ139" s="52">
        <f t="shared" si="56"/>
        <v>-804.05155777081211</v>
      </c>
      <c r="AK139" s="52">
        <f t="shared" si="57"/>
        <v>62.896887120435608</v>
      </c>
      <c r="AM139" s="52">
        <f t="shared" si="58"/>
        <v>24401.307830975689</v>
      </c>
      <c r="AN139" s="57">
        <f t="shared" si="59"/>
        <v>45734.045665708611</v>
      </c>
      <c r="AO139" s="57">
        <f t="shared" si="60"/>
        <v>22177.311137586425</v>
      </c>
    </row>
    <row r="140" spans="12:41" x14ac:dyDescent="0.25">
      <c r="L140" s="6">
        <v>137</v>
      </c>
      <c r="M140" s="52">
        <f t="shared" si="46"/>
        <v>16343.231491904147</v>
      </c>
      <c r="N140" s="52">
        <f t="shared" si="47"/>
        <v>10909.991800312493</v>
      </c>
      <c r="P140" s="6">
        <v>137</v>
      </c>
      <c r="Q140" s="52">
        <f t="shared" si="61"/>
        <v>-22559.737955667097</v>
      </c>
      <c r="R140" s="52">
        <f t="shared" si="62"/>
        <v>12386.994260218746</v>
      </c>
      <c r="T140" s="6">
        <v>137</v>
      </c>
      <c r="U140" s="52">
        <f t="shared" si="48"/>
        <v>-8656.7685080958527</v>
      </c>
      <c r="V140" s="52">
        <f t="shared" si="49"/>
        <v>-11590.008199687507</v>
      </c>
      <c r="X140" s="6">
        <v>136</v>
      </c>
      <c r="Y140" s="55">
        <v>68</v>
      </c>
      <c r="Z140" s="52">
        <f t="shared" si="63"/>
        <v>13976.569983364854</v>
      </c>
      <c r="AA140" s="52">
        <f t="shared" si="64"/>
        <v>-15708.103610527756</v>
      </c>
      <c r="AB140" s="52">
        <f t="shared" si="65"/>
        <v>-6463.6023573474522</v>
      </c>
      <c r="AC140" s="52">
        <f t="shared" si="66"/>
        <v>2243.6508956669504</v>
      </c>
      <c r="AD140" s="52">
        <f t="shared" si="50"/>
        <v>-901.03414959876318</v>
      </c>
      <c r="AE140" s="52">
        <f t="shared" si="51"/>
        <v>787.93871104059792</v>
      </c>
      <c r="AF140" s="52">
        <f t="shared" si="52"/>
        <v>179.88108128884832</v>
      </c>
      <c r="AG140" s="52">
        <f t="shared" si="53"/>
        <v>693.07666239931837</v>
      </c>
      <c r="AH140" s="52">
        <f t="shared" si="54"/>
        <v>-75.804278746812585</v>
      </c>
      <c r="AI140" s="52">
        <f t="shared" si="55"/>
        <v>57.356709435311508</v>
      </c>
      <c r="AJ140" s="52">
        <f t="shared" si="56"/>
        <v>-1005.1109521407989</v>
      </c>
      <c r="AK140" s="52">
        <f t="shared" si="57"/>
        <v>37.505339205968056</v>
      </c>
      <c r="AM140" s="52">
        <f t="shared" si="58"/>
        <v>23977.026136747918</v>
      </c>
      <c r="AN140" s="57">
        <f t="shared" si="59"/>
        <v>42606.500666965359</v>
      </c>
      <c r="AO140" s="57">
        <f t="shared" si="60"/>
        <v>18989.776698444519</v>
      </c>
    </row>
    <row r="141" spans="12:41" x14ac:dyDescent="0.25">
      <c r="L141" s="6">
        <v>138</v>
      </c>
      <c r="M141" s="52">
        <f t="shared" si="46"/>
        <v>16284.275872613031</v>
      </c>
      <c r="N141" s="52">
        <f t="shared" si="47"/>
        <v>10845.653031794292</v>
      </c>
      <c r="P141" s="6">
        <v>138</v>
      </c>
      <c r="Q141" s="52">
        <f t="shared" si="61"/>
        <v>-22601.00688917088</v>
      </c>
      <c r="R141" s="52">
        <f t="shared" si="62"/>
        <v>12341.957122256004</v>
      </c>
      <c r="T141" s="6">
        <v>138</v>
      </c>
      <c r="U141" s="52">
        <f t="shared" si="48"/>
        <v>-8715.7241273869695</v>
      </c>
      <c r="V141" s="52">
        <f t="shared" si="49"/>
        <v>-11654.346968205708</v>
      </c>
      <c r="X141" s="6">
        <v>137</v>
      </c>
      <c r="Y141" s="55">
        <v>68.5</v>
      </c>
      <c r="Z141" s="52">
        <f t="shared" si="63"/>
        <v>10632.139535991282</v>
      </c>
      <c r="AA141" s="52">
        <f t="shared" si="64"/>
        <v>-14487.785823814207</v>
      </c>
      <c r="AB141" s="52">
        <f t="shared" si="65"/>
        <v>-6914.1194321468338</v>
      </c>
      <c r="AC141" s="52">
        <f t="shared" si="66"/>
        <v>2637.6202511872493</v>
      </c>
      <c r="AD141" s="52">
        <f t="shared" si="50"/>
        <v>-1084.3240678390614</v>
      </c>
      <c r="AE141" s="52">
        <f t="shared" si="51"/>
        <v>689.68196193275764</v>
      </c>
      <c r="AF141" s="52">
        <f t="shared" si="52"/>
        <v>282.06042374715679</v>
      </c>
      <c r="AG141" s="52">
        <f t="shared" si="53"/>
        <v>662.03848899696754</v>
      </c>
      <c r="AH141" s="52">
        <f t="shared" si="54"/>
        <v>-87.018791322833906</v>
      </c>
      <c r="AI141" s="52">
        <f t="shared" si="55"/>
        <v>69.564110011219995</v>
      </c>
      <c r="AJ141" s="52">
        <f t="shared" si="56"/>
        <v>-1279.3657002633843</v>
      </c>
      <c r="AK141" s="52">
        <f t="shared" si="57"/>
        <v>-41.920637075429887</v>
      </c>
      <c r="AM141" s="52">
        <f t="shared" si="58"/>
        <v>23900.199478394792</v>
      </c>
      <c r="AN141" s="57">
        <f t="shared" si="59"/>
        <v>39217.083357963231</v>
      </c>
      <c r="AO141" s="57">
        <f t="shared" si="60"/>
        <v>15640.529077847317</v>
      </c>
    </row>
    <row r="142" spans="12:41" x14ac:dyDescent="0.25">
      <c r="L142" s="6">
        <v>139</v>
      </c>
      <c r="M142" s="52">
        <f t="shared" si="46"/>
        <v>16226.45209888614</v>
      </c>
      <c r="N142" s="52">
        <f t="shared" si="47"/>
        <v>10780.295144952535</v>
      </c>
      <c r="P142" s="6">
        <v>139</v>
      </c>
      <c r="Q142" s="52">
        <f t="shared" si="61"/>
        <v>-22641.483530779704</v>
      </c>
      <c r="R142" s="52">
        <f t="shared" si="62"/>
        <v>12296.206601466776</v>
      </c>
      <c r="T142" s="6">
        <v>139</v>
      </c>
      <c r="U142" s="52">
        <f t="shared" si="48"/>
        <v>-8773.5479011138596</v>
      </c>
      <c r="V142" s="52">
        <f t="shared" si="49"/>
        <v>-11719.704855047465</v>
      </c>
      <c r="X142" s="6">
        <v>138</v>
      </c>
      <c r="Y142" s="55">
        <v>69</v>
      </c>
      <c r="Z142" s="52">
        <f t="shared" si="63"/>
        <v>7039.5393114379822</v>
      </c>
      <c r="AA142" s="52">
        <f t="shared" si="64"/>
        <v>-13082.765452978987</v>
      </c>
      <c r="AB142" s="52">
        <f t="shared" si="65"/>
        <v>-7456.2814660663644</v>
      </c>
      <c r="AC142" s="52">
        <f t="shared" si="66"/>
        <v>2982.4612321536283</v>
      </c>
      <c r="AD142" s="52">
        <f t="shared" si="50"/>
        <v>-1336.9913821382427</v>
      </c>
      <c r="AE142" s="52">
        <f t="shared" si="51"/>
        <v>423.58370956726208</v>
      </c>
      <c r="AF142" s="52">
        <f t="shared" si="52"/>
        <v>373.09049975371516</v>
      </c>
      <c r="AG142" s="52">
        <f t="shared" si="53"/>
        <v>592.51244486568146</v>
      </c>
      <c r="AH142" s="52">
        <f t="shared" si="54"/>
        <v>-102.07499759637768</v>
      </c>
      <c r="AI142" s="52">
        <f t="shared" si="55"/>
        <v>87.13806847788625</v>
      </c>
      <c r="AJ142" s="52">
        <f t="shared" si="56"/>
        <v>-1608.0068842955802</v>
      </c>
      <c r="AK142" s="52">
        <f t="shared" si="57"/>
        <v>-256.06680377630562</v>
      </c>
      <c r="AM142" s="52">
        <f t="shared" si="58"/>
        <v>24323.317515341256</v>
      </c>
      <c r="AN142" s="57">
        <f t="shared" si="59"/>
        <v>35552.084989941737</v>
      </c>
      <c r="AO142" s="57">
        <f t="shared" si="60"/>
        <v>12191.238458005464</v>
      </c>
    </row>
    <row r="143" spans="12:41" x14ac:dyDescent="0.25">
      <c r="L143" s="6">
        <v>140</v>
      </c>
      <c r="M143" s="52">
        <f t="shared" si="46"/>
        <v>16169.777784405111</v>
      </c>
      <c r="N143" s="52">
        <f t="shared" si="47"/>
        <v>10713.938048432698</v>
      </c>
      <c r="P143" s="6">
        <v>140</v>
      </c>
      <c r="Q143" s="52">
        <f t="shared" si="61"/>
        <v>-22681.155550916425</v>
      </c>
      <c r="R143" s="52">
        <f t="shared" si="62"/>
        <v>12249.756633902889</v>
      </c>
      <c r="T143" s="6">
        <v>140</v>
      </c>
      <c r="U143" s="52">
        <f t="shared" si="48"/>
        <v>-8830.2222155948893</v>
      </c>
      <c r="V143" s="52">
        <f t="shared" si="49"/>
        <v>-11786.061951567302</v>
      </c>
      <c r="X143" s="6">
        <v>139</v>
      </c>
      <c r="Y143" s="55">
        <v>69.5</v>
      </c>
      <c r="Z143" s="52">
        <f t="shared" si="63"/>
        <v>3144.2746556375196</v>
      </c>
      <c r="AA143" s="52">
        <f t="shared" si="64"/>
        <v>-11538.586873206264</v>
      </c>
      <c r="AB143" s="52">
        <f t="shared" si="65"/>
        <v>-8124.777157135486</v>
      </c>
      <c r="AC143" s="52">
        <f t="shared" si="66"/>
        <v>3194.2530869372595</v>
      </c>
      <c r="AD143" s="52">
        <f t="shared" si="50"/>
        <v>-1480.732558503762</v>
      </c>
      <c r="AE143" s="52">
        <f t="shared" si="51"/>
        <v>-158.58398045394154</v>
      </c>
      <c r="AF143" s="52">
        <f t="shared" si="52"/>
        <v>432.6420127919277</v>
      </c>
      <c r="AG143" s="52">
        <f t="shared" si="53"/>
        <v>488.67031096308307</v>
      </c>
      <c r="AH143" s="52">
        <f t="shared" si="54"/>
        <v>-122.41688069763026</v>
      </c>
      <c r="AI143" s="52">
        <f t="shared" si="55"/>
        <v>113.92392541498761</v>
      </c>
      <c r="AJ143" s="52">
        <f t="shared" si="56"/>
        <v>-1790.9576905980596</v>
      </c>
      <c r="AK143" s="52">
        <f t="shared" si="57"/>
        <v>-761.17821683201225</v>
      </c>
      <c r="AM143" s="52">
        <f t="shared" si="58"/>
        <v>25428.001632318759</v>
      </c>
      <c r="AN143" s="57">
        <f t="shared" si="59"/>
        <v>31615.948093173462</v>
      </c>
      <c r="AO143" s="57">
        <f t="shared" si="60"/>
        <v>8849.32712135785</v>
      </c>
    </row>
    <row r="144" spans="12:41" x14ac:dyDescent="0.25">
      <c r="L144" s="6">
        <v>141</v>
      </c>
      <c r="M144" s="52">
        <f t="shared" si="46"/>
        <v>16114.270192715147</v>
      </c>
      <c r="N144" s="52">
        <f t="shared" si="47"/>
        <v>10646.601955249189</v>
      </c>
      <c r="P144" s="6">
        <v>141</v>
      </c>
      <c r="Q144" s="52">
        <f t="shared" si="61"/>
        <v>-22720.010865099397</v>
      </c>
      <c r="R144" s="52">
        <f t="shared" si="62"/>
        <v>12202.621368674432</v>
      </c>
      <c r="T144" s="6">
        <v>141</v>
      </c>
      <c r="U144" s="52">
        <f t="shared" si="48"/>
        <v>-8885.7298072848535</v>
      </c>
      <c r="V144" s="52">
        <f t="shared" si="49"/>
        <v>-11853.398044750811</v>
      </c>
      <c r="X144" s="6">
        <v>140</v>
      </c>
      <c r="Y144" s="55">
        <v>70</v>
      </c>
      <c r="Z144" s="52">
        <f t="shared" si="63"/>
        <v>-1103.2054927431936</v>
      </c>
      <c r="AA144" s="52">
        <f t="shared" si="64"/>
        <v>-9961.2833272943772</v>
      </c>
      <c r="AB144" s="52">
        <f t="shared" si="65"/>
        <v>-8865.1434363873668</v>
      </c>
      <c r="AC144" s="52">
        <f t="shared" si="66"/>
        <v>3114.9610967102885</v>
      </c>
      <c r="AD144" s="52">
        <f t="shared" si="50"/>
        <v>-927.21924295551958</v>
      </c>
      <c r="AE144" s="52">
        <f t="shared" si="51"/>
        <v>-1057.0648255307242</v>
      </c>
      <c r="AF144" s="52">
        <f t="shared" si="52"/>
        <v>445.6905753534258</v>
      </c>
      <c r="AG144" s="52">
        <f t="shared" si="53"/>
        <v>368.77475392196413</v>
      </c>
      <c r="AH144" s="52">
        <f t="shared" si="54"/>
        <v>-148.71612642784669</v>
      </c>
      <c r="AI144" s="52">
        <f t="shared" si="55"/>
        <v>157.09356070014843</v>
      </c>
      <c r="AJ144" s="52">
        <f t="shared" si="56"/>
        <v>-1224.1936918810986</v>
      </c>
      <c r="AK144" s="52">
        <f t="shared" si="57"/>
        <v>-1582.9331401528368</v>
      </c>
      <c r="AM144" s="52">
        <f t="shared" si="58"/>
        <v>27390.54029231616</v>
      </c>
      <c r="AN144" s="57">
        <f t="shared" si="59"/>
        <v>27487.118341543399</v>
      </c>
      <c r="AO144" s="57">
        <f t="shared" si="60"/>
        <v>6369.7467092175993</v>
      </c>
    </row>
    <row r="145" spans="12:41" x14ac:dyDescent="0.25">
      <c r="L145" s="6">
        <v>142</v>
      </c>
      <c r="M145" s="52">
        <f t="shared" si="46"/>
        <v>16059.946231966391</v>
      </c>
      <c r="N145" s="52">
        <f t="shared" si="47"/>
        <v>10578.307376628292</v>
      </c>
      <c r="P145" s="6">
        <v>142</v>
      </c>
      <c r="Q145" s="52">
        <f t="shared" si="61"/>
        <v>-22758.037637623525</v>
      </c>
      <c r="R145" s="52">
        <f t="shared" si="62"/>
        <v>12154.815163639803</v>
      </c>
      <c r="T145" s="6">
        <v>142</v>
      </c>
      <c r="U145" s="52">
        <f t="shared" si="48"/>
        <v>-8940.0537680336092</v>
      </c>
      <c r="V145" s="52">
        <f t="shared" si="49"/>
        <v>-11921.692623371708</v>
      </c>
      <c r="X145" s="6">
        <v>141</v>
      </c>
      <c r="Y145" s="55">
        <v>70.5</v>
      </c>
      <c r="Z145" s="52">
        <f t="shared" si="63"/>
        <v>-5651.6796163063173</v>
      </c>
      <c r="AA145" s="52">
        <f t="shared" si="64"/>
        <v>-8535.9358821305723</v>
      </c>
      <c r="AB145" s="52">
        <f t="shared" si="65"/>
        <v>-9328.7530578651258</v>
      </c>
      <c r="AC145" s="52">
        <f t="shared" si="66"/>
        <v>2586.4286839449264</v>
      </c>
      <c r="AD145" s="52">
        <f t="shared" si="50"/>
        <v>440.44628771856355</v>
      </c>
      <c r="AE145" s="52">
        <f t="shared" si="51"/>
        <v>-1508.8126141297507</v>
      </c>
      <c r="AF145" s="52">
        <f t="shared" si="52"/>
        <v>415.25296642470812</v>
      </c>
      <c r="AG145" s="52">
        <f t="shared" si="53"/>
        <v>259.59196606440344</v>
      </c>
      <c r="AH145" s="52">
        <f t="shared" si="54"/>
        <v>-176.01363908585799</v>
      </c>
      <c r="AI145" s="52">
        <f t="shared" si="55"/>
        <v>227.38393353578374</v>
      </c>
      <c r="AJ145" s="52">
        <f t="shared" si="56"/>
        <v>201.20696037971345</v>
      </c>
      <c r="AK145" s="52">
        <f t="shared" si="57"/>
        <v>-1995.7885137299379</v>
      </c>
      <c r="AM145" s="52">
        <f t="shared" si="58"/>
        <v>30251.609986138392</v>
      </c>
      <c r="AN145" s="57">
        <f t="shared" si="59"/>
        <v>23440.461105950439</v>
      </c>
      <c r="AO145" s="57">
        <f t="shared" si="60"/>
        <v>6496.8308614459256</v>
      </c>
    </row>
    <row r="146" spans="12:41" x14ac:dyDescent="0.25">
      <c r="L146" s="6">
        <v>143</v>
      </c>
      <c r="M146" s="52">
        <f t="shared" si="46"/>
        <v>16006.822449763535</v>
      </c>
      <c r="N146" s="52">
        <f t="shared" si="47"/>
        <v>10509.075115760241</v>
      </c>
      <c r="P146" s="6">
        <v>143</v>
      </c>
      <c r="Q146" s="52">
        <f t="shared" si="61"/>
        <v>-22795.224285165525</v>
      </c>
      <c r="R146" s="52">
        <f t="shared" si="62"/>
        <v>12106.352581032168</v>
      </c>
      <c r="T146" s="6">
        <v>143</v>
      </c>
      <c r="U146" s="52">
        <f t="shared" si="48"/>
        <v>-8993.1775502364653</v>
      </c>
      <c r="V146" s="52">
        <f t="shared" si="49"/>
        <v>-11990.924884239759</v>
      </c>
      <c r="X146" s="6">
        <v>142</v>
      </c>
      <c r="Y146" s="55">
        <v>71</v>
      </c>
      <c r="Z146" s="52">
        <f t="shared" si="63"/>
        <v>-10261.00035927406</v>
      </c>
      <c r="AA146" s="52">
        <f t="shared" si="64"/>
        <v>-7431.3231169243281</v>
      </c>
      <c r="AB146" s="52">
        <f t="shared" si="65"/>
        <v>-9108.5299140058432</v>
      </c>
      <c r="AC146" s="52">
        <f t="shared" si="66"/>
        <v>1832.0223768800511</v>
      </c>
      <c r="AD146" s="52">
        <f t="shared" si="50"/>
        <v>1273.8756984397967</v>
      </c>
      <c r="AE146" s="52">
        <f t="shared" si="51"/>
        <v>-1065.5890459703992</v>
      </c>
      <c r="AF146" s="52">
        <f t="shared" si="52"/>
        <v>363.45205729307122</v>
      </c>
      <c r="AG146" s="52">
        <f t="shared" si="53"/>
        <v>179.33379731415877</v>
      </c>
      <c r="AH146" s="52">
        <f t="shared" si="54"/>
        <v>-184.64081248717349</v>
      </c>
      <c r="AI146" s="52">
        <f t="shared" si="55"/>
        <v>330.47887686290636</v>
      </c>
      <c r="AJ146" s="52">
        <f t="shared" si="56"/>
        <v>1095.0644536338989</v>
      </c>
      <c r="AK146" s="52">
        <f t="shared" si="57"/>
        <v>-1575.4017201474644</v>
      </c>
      <c r="AM146" s="52">
        <f t="shared" si="58"/>
        <v>33744.222509430911</v>
      </c>
      <c r="AN146" s="57">
        <f t="shared" si="59"/>
        <v>19967.452005919047</v>
      </c>
      <c r="AO146" s="57">
        <f t="shared" si="60"/>
        <v>9217.5373360071535</v>
      </c>
    </row>
    <row r="147" spans="12:41" x14ac:dyDescent="0.25">
      <c r="L147" s="6">
        <v>144</v>
      </c>
      <c r="M147" s="52">
        <f t="shared" si="46"/>
        <v>15954.915028125262</v>
      </c>
      <c r="N147" s="52">
        <f t="shared" si="47"/>
        <v>10438.926261462366</v>
      </c>
      <c r="P147" s="6">
        <v>144</v>
      </c>
      <c r="Q147" s="52">
        <f t="shared" si="61"/>
        <v>-22831.559480312317</v>
      </c>
      <c r="R147" s="52">
        <f t="shared" si="62"/>
        <v>12057.248383023656</v>
      </c>
      <c r="T147" s="6">
        <v>144</v>
      </c>
      <c r="U147" s="52">
        <f t="shared" si="48"/>
        <v>-9045.0849718747377</v>
      </c>
      <c r="V147" s="52">
        <f t="shared" si="49"/>
        <v>-12061.073738537634</v>
      </c>
      <c r="X147" s="6">
        <v>143</v>
      </c>
      <c r="Y147" s="55">
        <v>71.5</v>
      </c>
      <c r="Z147" s="52">
        <f t="shared" si="63"/>
        <v>-14656.030853972008</v>
      </c>
      <c r="AA147" s="52">
        <f t="shared" si="64"/>
        <v>-6648.5105592306027</v>
      </c>
      <c r="AB147" s="52">
        <f t="shared" si="65"/>
        <v>-8471.5920647859457</v>
      </c>
      <c r="AC147" s="52">
        <f t="shared" si="66"/>
        <v>1299.2278538948515</v>
      </c>
      <c r="AD147" s="52">
        <f t="shared" si="50"/>
        <v>1353.8066355521446</v>
      </c>
      <c r="AE147" s="52">
        <f t="shared" si="51"/>
        <v>-450.4379713112512</v>
      </c>
      <c r="AF147" s="52">
        <f t="shared" si="52"/>
        <v>311.9683767182392</v>
      </c>
      <c r="AG147" s="52">
        <f t="shared" si="53"/>
        <v>127.36276380704317</v>
      </c>
      <c r="AH147" s="52">
        <f t="shared" si="54"/>
        <v>-143.65082837474841</v>
      </c>
      <c r="AI147" s="52">
        <f t="shared" si="55"/>
        <v>447.5273467506459</v>
      </c>
      <c r="AJ147" s="52">
        <f t="shared" si="56"/>
        <v>1185.4890872086539</v>
      </c>
      <c r="AK147" s="52">
        <f t="shared" si="57"/>
        <v>-1025.3280818689402</v>
      </c>
      <c r="AM147" s="52">
        <f t="shared" si="58"/>
        <v>37432.884281018465</v>
      </c>
      <c r="AN147" s="57">
        <f t="shared" si="59"/>
        <v>17485.16256929034</v>
      </c>
      <c r="AO147" s="57">
        <f t="shared" si="60"/>
        <v>12766.609092947983</v>
      </c>
    </row>
    <row r="148" spans="12:41" x14ac:dyDescent="0.25">
      <c r="L148" s="6">
        <v>145</v>
      </c>
      <c r="M148" s="52">
        <f t="shared" si="46"/>
        <v>15904.239778555042</v>
      </c>
      <c r="N148" s="52">
        <f t="shared" si="47"/>
        <v>10367.882181755233</v>
      </c>
      <c r="P148" s="6">
        <v>145</v>
      </c>
      <c r="Q148" s="52">
        <f t="shared" si="61"/>
        <v>-22867.032155011471</v>
      </c>
      <c r="R148" s="52">
        <f t="shared" si="62"/>
        <v>12007.517527228661</v>
      </c>
      <c r="T148" s="6">
        <v>145</v>
      </c>
      <c r="U148" s="52">
        <f t="shared" si="48"/>
        <v>-9095.760221444958</v>
      </c>
      <c r="V148" s="52">
        <f t="shared" si="49"/>
        <v>-12132.117818244767</v>
      </c>
      <c r="X148" s="6">
        <v>144</v>
      </c>
      <c r="Y148" s="55">
        <v>72</v>
      </c>
      <c r="Z148" s="52">
        <f t="shared" si="63"/>
        <v>-18722.601056920961</v>
      </c>
      <c r="AA148" s="52">
        <f t="shared" si="64"/>
        <v>-6055.2013786970829</v>
      </c>
      <c r="AB148" s="52">
        <f t="shared" si="65"/>
        <v>-7794.6887470098736</v>
      </c>
      <c r="AC148" s="52">
        <f t="shared" si="66"/>
        <v>1074.0088682392259</v>
      </c>
      <c r="AD148" s="52">
        <f t="shared" si="50"/>
        <v>1243.3786426763731</v>
      </c>
      <c r="AE148" s="52">
        <f t="shared" si="51"/>
        <v>-35.919554409465263</v>
      </c>
      <c r="AF148" s="52">
        <f t="shared" si="52"/>
        <v>269.25833480846495</v>
      </c>
      <c r="AG148" s="52">
        <f t="shared" si="53"/>
        <v>94.256347755571028</v>
      </c>
      <c r="AH148" s="52">
        <f t="shared" si="54"/>
        <v>-42.358943817135589</v>
      </c>
      <c r="AI148" s="52">
        <f t="shared" si="55"/>
        <v>532.39544063952428</v>
      </c>
      <c r="AJ148" s="52">
        <f t="shared" si="56"/>
        <v>1016.4792516850439</v>
      </c>
      <c r="AK148" s="52">
        <f t="shared" si="57"/>
        <v>-662.57134280456057</v>
      </c>
      <c r="AM148" s="52">
        <f t="shared" si="58"/>
        <v>41026.617177516448</v>
      </c>
      <c r="AN148" s="57">
        <f t="shared" si="59"/>
        <v>16105.938015846707</v>
      </c>
      <c r="AO148" s="57">
        <f t="shared" si="60"/>
        <v>16380.451829637388</v>
      </c>
    </row>
    <row r="149" spans="12:41" x14ac:dyDescent="0.25">
      <c r="L149" s="6">
        <v>146</v>
      </c>
      <c r="M149" s="52">
        <f t="shared" si="46"/>
        <v>15854.812137224792</v>
      </c>
      <c r="N149" s="52">
        <f t="shared" si="47"/>
        <v>10295.964517353736</v>
      </c>
      <c r="P149" s="6">
        <v>146</v>
      </c>
      <c r="Q149" s="52">
        <f t="shared" si="61"/>
        <v>-22901.631503942644</v>
      </c>
      <c r="R149" s="52">
        <f t="shared" si="62"/>
        <v>11957.175162147614</v>
      </c>
      <c r="T149" s="6">
        <v>146</v>
      </c>
      <c r="U149" s="52">
        <f t="shared" si="48"/>
        <v>-9145.1878627752085</v>
      </c>
      <c r="V149" s="52">
        <f t="shared" si="49"/>
        <v>-12204.035482646264</v>
      </c>
      <c r="X149" s="6">
        <v>145</v>
      </c>
      <c r="Y149" s="55">
        <v>72.5</v>
      </c>
      <c r="Z149" s="52">
        <f t="shared" si="63"/>
        <v>-22464.523100091352</v>
      </c>
      <c r="AA149" s="52">
        <f t="shared" si="64"/>
        <v>-5522.686888878653</v>
      </c>
      <c r="AB149" s="52">
        <f t="shared" si="65"/>
        <v>-7172.9994256716873</v>
      </c>
      <c r="AC149" s="52">
        <f t="shared" si="66"/>
        <v>1056.0490910344934</v>
      </c>
      <c r="AD149" s="52">
        <f t="shared" si="50"/>
        <v>1153.2586400325142</v>
      </c>
      <c r="AE149" s="52">
        <f t="shared" si="51"/>
        <v>168.77999492402586</v>
      </c>
      <c r="AF149" s="52">
        <f t="shared" si="52"/>
        <v>235.60286756529464</v>
      </c>
      <c r="AG149" s="52">
        <f t="shared" si="53"/>
        <v>72.252839557220312</v>
      </c>
      <c r="AH149" s="52">
        <f t="shared" si="54"/>
        <v>86.901475017546645</v>
      </c>
      <c r="AI149" s="52">
        <f t="shared" si="55"/>
        <v>547.34499621005227</v>
      </c>
      <c r="AJ149" s="52">
        <f t="shared" si="56"/>
        <v>830.75429744967289</v>
      </c>
      <c r="AK149" s="52">
        <f t="shared" si="57"/>
        <v>-450.81784084324676</v>
      </c>
      <c r="AM149" s="52">
        <f t="shared" si="58"/>
        <v>44416.507020745827</v>
      </c>
      <c r="AN149" s="57">
        <f t="shared" si="59"/>
        <v>15717.114314054254</v>
      </c>
      <c r="AO149" s="57">
        <f t="shared" si="60"/>
        <v>19870.305254823263</v>
      </c>
    </row>
    <row r="150" spans="12:41" x14ac:dyDescent="0.25">
      <c r="L150" s="6">
        <v>147</v>
      </c>
      <c r="M150" s="52">
        <f t="shared" si="46"/>
        <v>15806.647160272878</v>
      </c>
      <c r="N150" s="52">
        <f t="shared" si="47"/>
        <v>10223.195175075136</v>
      </c>
      <c r="P150" s="6">
        <v>147</v>
      </c>
      <c r="Q150" s="52">
        <f t="shared" si="61"/>
        <v>-22935.346987808985</v>
      </c>
      <c r="R150" s="52">
        <f t="shared" si="62"/>
        <v>11906.236622552595</v>
      </c>
      <c r="T150" s="6">
        <v>147</v>
      </c>
      <c r="U150" s="52">
        <f t="shared" si="48"/>
        <v>-9193.352839727122</v>
      </c>
      <c r="V150" s="52">
        <f t="shared" si="49"/>
        <v>-12276.804824924864</v>
      </c>
      <c r="X150" s="6">
        <v>146</v>
      </c>
      <c r="Y150" s="55">
        <v>73</v>
      </c>
      <c r="Z150" s="52">
        <f t="shared" si="63"/>
        <v>-25906.865482923131</v>
      </c>
      <c r="AA150" s="52">
        <f t="shared" si="64"/>
        <v>-4973.5648439959023</v>
      </c>
      <c r="AB150" s="52">
        <f t="shared" si="65"/>
        <v>-6596.3701056554301</v>
      </c>
      <c r="AC150" s="52">
        <f t="shared" si="66"/>
        <v>1140.4390884965062</v>
      </c>
      <c r="AD150" s="52">
        <f t="shared" si="50"/>
        <v>1085.3045010258681</v>
      </c>
      <c r="AE150" s="52">
        <f t="shared" si="51"/>
        <v>228.05810528503486</v>
      </c>
      <c r="AF150" s="52">
        <f t="shared" si="52"/>
        <v>209.25332950631801</v>
      </c>
      <c r="AG150" s="52">
        <f t="shared" si="53"/>
        <v>56.857181316159377</v>
      </c>
      <c r="AH150" s="52">
        <f t="shared" si="54"/>
        <v>196.16206106252415</v>
      </c>
      <c r="AI150" s="52">
        <f t="shared" si="55"/>
        <v>497.25956173256799</v>
      </c>
      <c r="AJ150" s="52">
        <f t="shared" si="56"/>
        <v>679.88911045702594</v>
      </c>
      <c r="AK150" s="52">
        <f t="shared" si="57"/>
        <v>-326.0586377636925</v>
      </c>
      <c r="AM150" s="52">
        <f t="shared" si="58"/>
        <v>47571.316130464264</v>
      </c>
      <c r="AN150" s="57">
        <f t="shared" si="59"/>
        <v>16096.543230479603</v>
      </c>
      <c r="AO150" s="57">
        <f t="shared" si="60"/>
        <v>23186.772657241403</v>
      </c>
    </row>
    <row r="151" spans="12:41" x14ac:dyDescent="0.25">
      <c r="L151" s="6">
        <v>148</v>
      </c>
      <c r="M151" s="52">
        <f t="shared" si="46"/>
        <v>15759.759519217871</v>
      </c>
      <c r="N151" s="52">
        <f t="shared" si="47"/>
        <v>10149.596321166024</v>
      </c>
      <c r="P151" s="6">
        <v>148</v>
      </c>
      <c r="Q151" s="52">
        <f t="shared" si="61"/>
        <v>-22968.168336547489</v>
      </c>
      <c r="R151" s="52">
        <f t="shared" si="62"/>
        <v>11854.717424816217</v>
      </c>
      <c r="T151" s="6">
        <v>148</v>
      </c>
      <c r="U151" s="52">
        <f t="shared" si="48"/>
        <v>-9240.2404807821295</v>
      </c>
      <c r="V151" s="52">
        <f t="shared" si="49"/>
        <v>-12350.403678833976</v>
      </c>
      <c r="X151" s="6">
        <v>147</v>
      </c>
      <c r="Y151" s="55">
        <v>73.5</v>
      </c>
      <c r="Z151" s="52">
        <f t="shared" si="63"/>
        <v>-29069.38747312261</v>
      </c>
      <c r="AA151" s="52">
        <f t="shared" si="64"/>
        <v>-4374.8380365870198</v>
      </c>
      <c r="AB151" s="52">
        <f t="shared" si="65"/>
        <v>-6053.7178551424959</v>
      </c>
      <c r="AC151" s="52">
        <f t="shared" si="66"/>
        <v>1254.4681411390236</v>
      </c>
      <c r="AD151" s="52">
        <f t="shared" si="50"/>
        <v>1015.89137327376</v>
      </c>
      <c r="AE151" s="52">
        <f t="shared" si="51"/>
        <v>211.77132171238742</v>
      </c>
      <c r="AF151" s="52">
        <f t="shared" si="52"/>
        <v>188.46531444245281</v>
      </c>
      <c r="AG151" s="52">
        <f t="shared" si="53"/>
        <v>45.608783801192075</v>
      </c>
      <c r="AH151" s="52">
        <f t="shared" si="54"/>
        <v>262.24556841666794</v>
      </c>
      <c r="AI151" s="52">
        <f t="shared" si="55"/>
        <v>415.65514572776027</v>
      </c>
      <c r="AJ151" s="52">
        <f t="shared" si="56"/>
        <v>565.18049041463928</v>
      </c>
      <c r="AK151" s="52">
        <f t="shared" si="57"/>
        <v>-249.49260781656494</v>
      </c>
      <c r="AM151" s="52">
        <f t="shared" si="58"/>
        <v>50485.805583179674</v>
      </c>
      <c r="AN151" s="57">
        <f t="shared" si="59"/>
        <v>16996.757270601422</v>
      </c>
      <c r="AO151" s="57">
        <f t="shared" si="60"/>
        <v>26310.25427623362</v>
      </c>
    </row>
    <row r="152" spans="12:41" x14ac:dyDescent="0.25">
      <c r="L152" s="6">
        <v>149</v>
      </c>
      <c r="M152" s="52">
        <f t="shared" si="46"/>
        <v>15714.16349648944</v>
      </c>
      <c r="N152" s="52">
        <f t="shared" si="47"/>
        <v>10075.190374550271</v>
      </c>
      <c r="P152" s="6">
        <v>149</v>
      </c>
      <c r="Q152" s="52">
        <f t="shared" si="61"/>
        <v>-23000.085552457393</v>
      </c>
      <c r="R152" s="52">
        <f t="shared" si="62"/>
        <v>11802.633262185191</v>
      </c>
      <c r="T152" s="6">
        <v>149</v>
      </c>
      <c r="U152" s="52">
        <f t="shared" si="48"/>
        <v>-9285.8365035105599</v>
      </c>
      <c r="V152" s="52">
        <f t="shared" si="49"/>
        <v>-12424.809625449729</v>
      </c>
      <c r="X152" s="6">
        <v>148</v>
      </c>
      <c r="Y152" s="55">
        <v>74</v>
      </c>
      <c r="Z152" s="52">
        <f t="shared" si="63"/>
        <v>-31969.259979034636</v>
      </c>
      <c r="AA152" s="52">
        <f t="shared" si="64"/>
        <v>-3721.1325508034593</v>
      </c>
      <c r="AB152" s="52">
        <f t="shared" si="65"/>
        <v>-5545.7721685056158</v>
      </c>
      <c r="AC152" s="52">
        <f t="shared" si="66"/>
        <v>1360.3538019952173</v>
      </c>
      <c r="AD152" s="52">
        <f t="shared" si="50"/>
        <v>940.25620263270889</v>
      </c>
      <c r="AE152" s="52">
        <f t="shared" si="51"/>
        <v>168.82877987532294</v>
      </c>
      <c r="AF152" s="52">
        <f t="shared" si="52"/>
        <v>171.85963376731937</v>
      </c>
      <c r="AG152" s="52">
        <f t="shared" si="53"/>
        <v>37.107700425474697</v>
      </c>
      <c r="AH152" s="52">
        <f t="shared" si="54"/>
        <v>289.58237934791913</v>
      </c>
      <c r="AI152" s="52">
        <f t="shared" si="55"/>
        <v>331.96690675694697</v>
      </c>
      <c r="AJ152" s="52">
        <f t="shared" si="56"/>
        <v>478.81418951747031</v>
      </c>
      <c r="AK152" s="52">
        <f t="shared" si="57"/>
        <v>-200.24582730709875</v>
      </c>
      <c r="AM152" s="52">
        <f t="shared" si="58"/>
        <v>53166.886296746699</v>
      </c>
      <c r="AN152" s="57">
        <f t="shared" si="59"/>
        <v>18208.038415008861</v>
      </c>
      <c r="AO152" s="57">
        <f t="shared" si="60"/>
        <v>29232.752774128276</v>
      </c>
    </row>
    <row r="153" spans="12:41" x14ac:dyDescent="0.25">
      <c r="L153" s="6">
        <v>150</v>
      </c>
      <c r="M153" s="52">
        <f t="shared" si="46"/>
        <v>15669.872981077806</v>
      </c>
      <c r="N153" s="52">
        <f t="shared" si="47"/>
        <v>10000</v>
      </c>
      <c r="P153" s="6">
        <v>150</v>
      </c>
      <c r="Q153" s="52">
        <f t="shared" si="61"/>
        <v>-23031.088913245534</v>
      </c>
      <c r="R153" s="52">
        <f t="shared" si="62"/>
        <v>11750</v>
      </c>
      <c r="T153" s="6">
        <v>150</v>
      </c>
      <c r="U153" s="52">
        <f t="shared" si="48"/>
        <v>-9330.1270189221941</v>
      </c>
      <c r="V153" s="52">
        <f t="shared" si="49"/>
        <v>-12500</v>
      </c>
      <c r="X153" s="6">
        <v>149</v>
      </c>
      <c r="Y153" s="55">
        <v>74.5</v>
      </c>
      <c r="Z153" s="52">
        <f t="shared" si="63"/>
        <v>-34624.614037958352</v>
      </c>
      <c r="AA153" s="52">
        <f t="shared" si="64"/>
        <v>-3019.8520523214352</v>
      </c>
      <c r="AB153" s="52">
        <f t="shared" si="65"/>
        <v>-5075.6440671892615</v>
      </c>
      <c r="AC153" s="52">
        <f t="shared" si="66"/>
        <v>1444.7681919328788</v>
      </c>
      <c r="AD153" s="52">
        <f t="shared" si="50"/>
        <v>863.72474620513344</v>
      </c>
      <c r="AE153" s="52">
        <f t="shared" si="51"/>
        <v>123.47129059255286</v>
      </c>
      <c r="AF153" s="52">
        <f t="shared" si="52"/>
        <v>158.40885468699614</v>
      </c>
      <c r="AG153" s="52">
        <f t="shared" si="53"/>
        <v>30.507084478928959</v>
      </c>
      <c r="AH153" s="52">
        <f t="shared" si="54"/>
        <v>292.11565351456602</v>
      </c>
      <c r="AI153" s="52">
        <f t="shared" si="55"/>
        <v>260.06174118888367</v>
      </c>
      <c r="AJ153" s="52">
        <f t="shared" si="56"/>
        <v>413.20023800357131</v>
      </c>
      <c r="AK153" s="52">
        <f t="shared" si="57"/>
        <v>-167.09753507525977</v>
      </c>
      <c r="AM153" s="52">
        <f t="shared" si="58"/>
        <v>55628.37177195328</v>
      </c>
      <c r="AN153" s="57">
        <f t="shared" si="59"/>
        <v>19580.497522371261</v>
      </c>
      <c r="AO153" s="57">
        <f t="shared" si="60"/>
        <v>31955.30788063645</v>
      </c>
    </row>
    <row r="154" spans="12:41" x14ac:dyDescent="0.25">
      <c r="L154" s="6">
        <v>151</v>
      </c>
      <c r="M154" s="52">
        <f t="shared" si="46"/>
        <v>15626.90146430302</v>
      </c>
      <c r="N154" s="52">
        <f t="shared" si="47"/>
        <v>9924.048101231685</v>
      </c>
      <c r="P154" s="6">
        <v>151</v>
      </c>
      <c r="Q154" s="52">
        <f t="shared" si="61"/>
        <v>-23061.168974987886</v>
      </c>
      <c r="R154" s="52">
        <f t="shared" si="62"/>
        <v>11696.833670862179</v>
      </c>
      <c r="T154" s="6">
        <v>151</v>
      </c>
      <c r="U154" s="52">
        <f t="shared" si="48"/>
        <v>-9373.0985356969795</v>
      </c>
      <c r="V154" s="52">
        <f t="shared" si="49"/>
        <v>-12575.951898768315</v>
      </c>
      <c r="X154" s="6">
        <v>150</v>
      </c>
      <c r="Y154" s="55">
        <v>75</v>
      </c>
      <c r="Z154" s="52">
        <f t="shared" si="63"/>
        <v>-37054.470478277341</v>
      </c>
      <c r="AA154" s="52">
        <f t="shared" si="64"/>
        <v>-2282.0340450309268</v>
      </c>
      <c r="AB154" s="52">
        <f t="shared" si="65"/>
        <v>-4643.7816940866951</v>
      </c>
      <c r="AC154" s="52">
        <f t="shared" si="66"/>
        <v>1506.5038372291554</v>
      </c>
      <c r="AD154" s="52">
        <f t="shared" si="50"/>
        <v>791.70577992808239</v>
      </c>
      <c r="AE154" s="52">
        <f t="shared" si="51"/>
        <v>84.337474188617506</v>
      </c>
      <c r="AF154" s="52">
        <f t="shared" si="52"/>
        <v>147.3633854251984</v>
      </c>
      <c r="AG154" s="52">
        <f t="shared" si="53"/>
        <v>25.265568870175397</v>
      </c>
      <c r="AH154" s="52">
        <f t="shared" si="54"/>
        <v>281.77501573128751</v>
      </c>
      <c r="AI154" s="52">
        <f t="shared" si="55"/>
        <v>202.92452589828918</v>
      </c>
      <c r="AJ154" s="52">
        <f t="shared" si="56"/>
        <v>362.56737877159645</v>
      </c>
      <c r="AK154" s="52">
        <f t="shared" si="57"/>
        <v>-143.85262057984707</v>
      </c>
      <c r="AM154" s="52">
        <f t="shared" si="58"/>
        <v>57886.965645253549</v>
      </c>
      <c r="AN154" s="57">
        <f t="shared" si="59"/>
        <v>21016.739128079123</v>
      </c>
      <c r="AO154" s="57">
        <f t="shared" si="60"/>
        <v>34485.297384168021</v>
      </c>
    </row>
    <row r="155" spans="12:41" x14ac:dyDescent="0.25">
      <c r="L155" s="6">
        <v>152</v>
      </c>
      <c r="M155" s="52">
        <f t="shared" si="46"/>
        <v>15585.262035705367</v>
      </c>
      <c r="N155" s="52">
        <f t="shared" si="47"/>
        <v>9847.357813929455</v>
      </c>
      <c r="P155" s="6">
        <v>152</v>
      </c>
      <c r="Q155" s="52">
        <f t="shared" si="61"/>
        <v>-23090.316575006244</v>
      </c>
      <c r="R155" s="52">
        <f t="shared" si="62"/>
        <v>11643.150469750619</v>
      </c>
      <c r="T155" s="6">
        <v>152</v>
      </c>
      <c r="U155" s="52">
        <f t="shared" si="48"/>
        <v>-9414.7379642946325</v>
      </c>
      <c r="V155" s="52">
        <f t="shared" si="49"/>
        <v>-12652.642186070545</v>
      </c>
      <c r="X155" s="6">
        <v>151</v>
      </c>
      <c r="Y155" s="55">
        <v>75.5</v>
      </c>
      <c r="Z155" s="52">
        <f t="shared" si="63"/>
        <v>-39277.398102829677</v>
      </c>
      <c r="AA155" s="52">
        <f t="shared" si="64"/>
        <v>-1518.2399421427717</v>
      </c>
      <c r="AB155" s="52">
        <f t="shared" si="65"/>
        <v>-4247.9288041226537</v>
      </c>
      <c r="AC155" s="52">
        <f t="shared" si="66"/>
        <v>1548.672574323464</v>
      </c>
      <c r="AD155" s="52">
        <f t="shared" si="50"/>
        <v>727.01283452434132</v>
      </c>
      <c r="AE155" s="52">
        <f t="shared" si="51"/>
        <v>53.001879389877303</v>
      </c>
      <c r="AF155" s="52">
        <f t="shared" si="52"/>
        <v>138.1788772631611</v>
      </c>
      <c r="AG155" s="52">
        <f t="shared" si="53"/>
        <v>21.022013616950531</v>
      </c>
      <c r="AH155" s="52">
        <f t="shared" si="54"/>
        <v>266.02004678345736</v>
      </c>
      <c r="AI155" s="52">
        <f t="shared" si="55"/>
        <v>158.9469031000682</v>
      </c>
      <c r="AJ155" s="52">
        <f t="shared" si="56"/>
        <v>322.8139104777228</v>
      </c>
      <c r="AK155" s="52">
        <f t="shared" si="57"/>
        <v>-126.96703732714141</v>
      </c>
      <c r="AM155" s="52">
        <f t="shared" si="58"/>
        <v>59959.474459800054</v>
      </c>
      <c r="AN155" s="57">
        <f t="shared" si="59"/>
        <v>22456.356093092094</v>
      </c>
      <c r="AO155" s="57">
        <f t="shared" si="60"/>
        <v>36833.379901354507</v>
      </c>
    </row>
    <row r="156" spans="12:41" x14ac:dyDescent="0.25">
      <c r="L156" s="6">
        <v>153</v>
      </c>
      <c r="M156" s="52">
        <f t="shared" si="46"/>
        <v>15544.967379058162</v>
      </c>
      <c r="N156" s="52">
        <f t="shared" si="47"/>
        <v>9769.952498697734</v>
      </c>
      <c r="P156" s="6">
        <v>153</v>
      </c>
      <c r="Q156" s="52">
        <f t="shared" si="61"/>
        <v>-23118.522834659288</v>
      </c>
      <c r="R156" s="52">
        <f t="shared" si="62"/>
        <v>11588.966749088413</v>
      </c>
      <c r="T156" s="6">
        <v>153</v>
      </c>
      <c r="U156" s="52">
        <f t="shared" si="48"/>
        <v>-9455.0326209418381</v>
      </c>
      <c r="V156" s="52">
        <f t="shared" si="49"/>
        <v>-12730.047501302266</v>
      </c>
      <c r="X156" s="6">
        <v>152</v>
      </c>
      <c r="Y156" s="55">
        <v>76</v>
      </c>
      <c r="Z156" s="52">
        <f t="shared" si="63"/>
        <v>-41310.485900575462</v>
      </c>
      <c r="AA156" s="52">
        <f t="shared" si="64"/>
        <v>-737.27842005730508</v>
      </c>
      <c r="AB156" s="52">
        <f t="shared" si="65"/>
        <v>-3884.4223868604831</v>
      </c>
      <c r="AC156" s="52">
        <f t="shared" si="66"/>
        <v>1575.1735140184026</v>
      </c>
      <c r="AD156" s="52">
        <f t="shared" si="50"/>
        <v>670.39197650150459</v>
      </c>
      <c r="AE156" s="52">
        <f t="shared" si="51"/>
        <v>28.58159793829185</v>
      </c>
      <c r="AF156" s="52">
        <f t="shared" si="52"/>
        <v>130.45793181662637</v>
      </c>
      <c r="AG156" s="52">
        <f t="shared" si="53"/>
        <v>17.527479854279171</v>
      </c>
      <c r="AH156" s="52">
        <f t="shared" si="54"/>
        <v>248.85967500903675</v>
      </c>
      <c r="AI156" s="52">
        <f t="shared" si="55"/>
        <v>125.38783163197834</v>
      </c>
      <c r="AJ156" s="52">
        <f t="shared" si="56"/>
        <v>291.07436967584141</v>
      </c>
      <c r="AK156" s="52">
        <f t="shared" si="57"/>
        <v>-114.33371354796566</v>
      </c>
      <c r="AM156" s="52">
        <f t="shared" si="58"/>
        <v>61861.364656255399</v>
      </c>
      <c r="AN156" s="57">
        <f t="shared" si="59"/>
        <v>23862.647740526489</v>
      </c>
      <c r="AO156" s="57">
        <f t="shared" si="60"/>
        <v>39011.237011954036</v>
      </c>
    </row>
    <row r="157" spans="12:41" x14ac:dyDescent="0.25">
      <c r="L157" s="6">
        <v>154</v>
      </c>
      <c r="M157" s="52">
        <f t="shared" si="46"/>
        <v>15506.029768504166</v>
      </c>
      <c r="N157" s="52">
        <f t="shared" si="47"/>
        <v>9691.8557339453873</v>
      </c>
      <c r="P157" s="6">
        <v>154</v>
      </c>
      <c r="Q157" s="52">
        <f t="shared" si="61"/>
        <v>-23145.779162047085</v>
      </c>
      <c r="R157" s="52">
        <f t="shared" si="62"/>
        <v>11534.299013761771</v>
      </c>
      <c r="T157" s="6">
        <v>154</v>
      </c>
      <c r="U157" s="52">
        <f t="shared" si="48"/>
        <v>-9493.970231495834</v>
      </c>
      <c r="V157" s="52">
        <f t="shared" si="49"/>
        <v>-12808.144266054613</v>
      </c>
      <c r="X157" s="6">
        <v>153</v>
      </c>
      <c r="Y157" s="55">
        <v>76.5</v>
      </c>
      <c r="Z157" s="52">
        <f t="shared" si="63"/>
        <v>-43168.898096943019</v>
      </c>
      <c r="AA157" s="52">
        <f t="shared" si="64"/>
        <v>53.881036694182676</v>
      </c>
      <c r="AB157" s="52">
        <f t="shared" si="65"/>
        <v>-3549.2263986097309</v>
      </c>
      <c r="AC157" s="52">
        <f t="shared" si="66"/>
        <v>1589.4643129875485</v>
      </c>
      <c r="AD157" s="52">
        <f t="shared" si="50"/>
        <v>621.48212587158491</v>
      </c>
      <c r="AE157" s="52">
        <f t="shared" si="51"/>
        <v>9.6498854478732596</v>
      </c>
      <c r="AF157" s="52">
        <f t="shared" si="52"/>
        <v>123.90720826377297</v>
      </c>
      <c r="AG157" s="52">
        <f t="shared" si="53"/>
        <v>14.605729099900394</v>
      </c>
      <c r="AH157" s="52">
        <f t="shared" si="54"/>
        <v>232.23390879574347</v>
      </c>
      <c r="AI157" s="52">
        <f t="shared" si="55"/>
        <v>99.695120351914511</v>
      </c>
      <c r="AJ157" s="52">
        <f t="shared" si="56"/>
        <v>265.34100881206842</v>
      </c>
      <c r="AK157" s="52">
        <f t="shared" si="57"/>
        <v>-104.65096400394165</v>
      </c>
      <c r="AM157" s="52">
        <f t="shared" si="58"/>
        <v>63606.244775160827</v>
      </c>
      <c r="AN157" s="57">
        <f t="shared" si="59"/>
        <v>25213.550354100502</v>
      </c>
      <c r="AO157" s="57">
        <f t="shared" si="60"/>
        <v>41030.282916423588</v>
      </c>
    </row>
    <row r="158" spans="12:41" x14ac:dyDescent="0.25">
      <c r="L158" s="6">
        <v>155</v>
      </c>
      <c r="M158" s="52">
        <f t="shared" si="46"/>
        <v>15468.461064816751</v>
      </c>
      <c r="N158" s="52">
        <f t="shared" si="47"/>
        <v>9613.0913087034969</v>
      </c>
      <c r="P158" s="6">
        <v>155</v>
      </c>
      <c r="Q158" s="52">
        <f t="shared" si="61"/>
        <v>-23172.077254628275</v>
      </c>
      <c r="R158" s="52">
        <f t="shared" si="62"/>
        <v>11479.163916092448</v>
      </c>
      <c r="T158" s="6">
        <v>155</v>
      </c>
      <c r="U158" s="52">
        <f t="shared" si="48"/>
        <v>-9531.5389351832491</v>
      </c>
      <c r="V158" s="52">
        <f t="shared" si="49"/>
        <v>-12886.908691296503</v>
      </c>
      <c r="X158" s="6">
        <v>154</v>
      </c>
      <c r="Y158" s="55">
        <v>77</v>
      </c>
      <c r="Z158" s="52">
        <f t="shared" si="63"/>
        <v>-44865.826030513934</v>
      </c>
      <c r="AA158" s="52">
        <f t="shared" si="64"/>
        <v>849.81942886894103</v>
      </c>
      <c r="AB158" s="52">
        <f t="shared" si="65"/>
        <v>-3238.4853356739386</v>
      </c>
      <c r="AC158" s="52">
        <f t="shared" si="66"/>
        <v>1594.2892557114851</v>
      </c>
      <c r="AD158" s="52">
        <f t="shared" si="50"/>
        <v>579.47040507144379</v>
      </c>
      <c r="AE158" s="52">
        <f t="shared" si="51"/>
        <v>-5.113791294742569</v>
      </c>
      <c r="AF158" s="52">
        <f t="shared" si="52"/>
        <v>118.3071903034991</v>
      </c>
      <c r="AG158" s="52">
        <f t="shared" si="53"/>
        <v>12.129101354715315</v>
      </c>
      <c r="AH158" s="52">
        <f t="shared" si="54"/>
        <v>216.97279025735716</v>
      </c>
      <c r="AI158" s="52">
        <f t="shared" si="55"/>
        <v>79.842117749905711</v>
      </c>
      <c r="AJ158" s="52">
        <f t="shared" si="56"/>
        <v>244.19042451058758</v>
      </c>
      <c r="AK158" s="52">
        <f t="shared" si="57"/>
        <v>-97.085010399363597</v>
      </c>
      <c r="AM158" s="52">
        <f t="shared" si="58"/>
        <v>65205.830170695233</v>
      </c>
      <c r="AN158" s="57">
        <f t="shared" si="59"/>
        <v>26495.945136267335</v>
      </c>
      <c r="AO158" s="57">
        <f t="shared" si="60"/>
        <v>42901.0589732113</v>
      </c>
    </row>
    <row r="159" spans="12:41" x14ac:dyDescent="0.25">
      <c r="L159" s="6">
        <v>156</v>
      </c>
      <c r="M159" s="52">
        <f t="shared" si="46"/>
        <v>15432.272711786996</v>
      </c>
      <c r="N159" s="52">
        <f t="shared" si="47"/>
        <v>9533.6832153790019</v>
      </c>
      <c r="P159" s="6">
        <v>156</v>
      </c>
      <c r="Q159" s="52">
        <f t="shared" si="61"/>
        <v>-23197.409101749101</v>
      </c>
      <c r="R159" s="52">
        <f t="shared" si="62"/>
        <v>11423.578250765302</v>
      </c>
      <c r="T159" s="6">
        <v>156</v>
      </c>
      <c r="U159" s="52">
        <f t="shared" si="48"/>
        <v>-9567.7272882130037</v>
      </c>
      <c r="V159" s="52">
        <f t="shared" si="49"/>
        <v>-12966.316784620998</v>
      </c>
      <c r="X159" s="6">
        <v>155</v>
      </c>
      <c r="Y159" s="55">
        <v>77.5</v>
      </c>
      <c r="Z159" s="52">
        <f t="shared" si="63"/>
        <v>-46412.634897716969</v>
      </c>
      <c r="AA159" s="52">
        <f t="shared" si="64"/>
        <v>1646.3248328128407</v>
      </c>
      <c r="AB159" s="52">
        <f t="shared" si="65"/>
        <v>-2948.7501331382168</v>
      </c>
      <c r="AC159" s="52">
        <f t="shared" si="66"/>
        <v>1591.7323600641139</v>
      </c>
      <c r="AD159" s="52">
        <f t="shared" si="50"/>
        <v>543.43764252632729</v>
      </c>
      <c r="AE159" s="52">
        <f t="shared" si="51"/>
        <v>-16.766400593881784</v>
      </c>
      <c r="AF159" s="52">
        <f t="shared" si="52"/>
        <v>113.4912347941073</v>
      </c>
      <c r="AG159" s="52">
        <f t="shared" si="53"/>
        <v>10.003229413060236</v>
      </c>
      <c r="AH159" s="52">
        <f t="shared" si="54"/>
        <v>203.34854188183419</v>
      </c>
      <c r="AI159" s="52">
        <f t="shared" si="55"/>
        <v>64.314206862747639</v>
      </c>
      <c r="AJ159" s="52">
        <f t="shared" si="56"/>
        <v>226.59786585038583</v>
      </c>
      <c r="AK159" s="52">
        <f t="shared" si="57"/>
        <v>-91.083836869689662</v>
      </c>
      <c r="AM159" s="52">
        <f t="shared" si="58"/>
        <v>66670.110147054642</v>
      </c>
      <c r="AN159" s="57">
        <f t="shared" si="59"/>
        <v>27702.187116525216</v>
      </c>
      <c r="AO159" s="57">
        <f t="shared" si="60"/>
        <v>44633.019835219835</v>
      </c>
    </row>
    <row r="160" spans="12:41" x14ac:dyDescent="0.25">
      <c r="L160" s="6">
        <v>157</v>
      </c>
      <c r="M160" s="52">
        <f t="shared" si="46"/>
        <v>15397.475732737799</v>
      </c>
      <c r="N160" s="52">
        <f t="shared" si="47"/>
        <v>9453.6556424463706</v>
      </c>
      <c r="P160" s="6">
        <v>157</v>
      </c>
      <c r="Q160" s="52">
        <f t="shared" si="61"/>
        <v>-23221.766987083542</v>
      </c>
      <c r="R160" s="52">
        <f t="shared" si="62"/>
        <v>11367.55894971246</v>
      </c>
      <c r="T160" s="6">
        <v>157</v>
      </c>
      <c r="U160" s="52">
        <f t="shared" si="48"/>
        <v>-9602.5242672622007</v>
      </c>
      <c r="V160" s="52">
        <f t="shared" si="49"/>
        <v>-13046.344357553629</v>
      </c>
      <c r="X160" s="6">
        <v>156</v>
      </c>
      <c r="Y160" s="55">
        <v>78</v>
      </c>
      <c r="Z160" s="52">
        <f t="shared" si="63"/>
        <v>-47819.080258970287</v>
      </c>
      <c r="AA160" s="52">
        <f t="shared" si="64"/>
        <v>2440.0952127706623</v>
      </c>
      <c r="AB160" s="52">
        <f t="shared" si="65"/>
        <v>-2677.0313118750532</v>
      </c>
      <c r="AC160" s="52">
        <f t="shared" si="66"/>
        <v>1583.349159767173</v>
      </c>
      <c r="AD160" s="52">
        <f t="shared" si="50"/>
        <v>512.51362554948344</v>
      </c>
      <c r="AE160" s="52">
        <f t="shared" si="51"/>
        <v>-26.108892691996388</v>
      </c>
      <c r="AF160" s="52">
        <f t="shared" si="52"/>
        <v>109.33107630798455</v>
      </c>
      <c r="AG160" s="52">
        <f t="shared" si="53"/>
        <v>8.1570678088123394</v>
      </c>
      <c r="AH160" s="52">
        <f t="shared" si="54"/>
        <v>191.36917378390828</v>
      </c>
      <c r="AI160" s="52">
        <f t="shared" si="55"/>
        <v>52.005052631119646</v>
      </c>
      <c r="AJ160" s="52">
        <f t="shared" si="56"/>
        <v>211.81337545759058</v>
      </c>
      <c r="AK160" s="52">
        <f t="shared" si="57"/>
        <v>-86.27101313192837</v>
      </c>
      <c r="AM160" s="52">
        <f t="shared" si="58"/>
        <v>68007.575192977441</v>
      </c>
      <c r="AN160" s="57">
        <f t="shared" si="59"/>
        <v>28827.996580529201</v>
      </c>
      <c r="AO160" s="57">
        <f t="shared" si="60"/>
        <v>46234.516924638083</v>
      </c>
    </row>
    <row r="161" spans="12:41" x14ac:dyDescent="0.25">
      <c r="L161" s="6">
        <v>158</v>
      </c>
      <c r="M161" s="52">
        <f t="shared" si="46"/>
        <v>15364.080727166063</v>
      </c>
      <c r="N161" s="52">
        <f t="shared" si="47"/>
        <v>9373.0329670795618</v>
      </c>
      <c r="P161" s="6">
        <v>158</v>
      </c>
      <c r="Q161" s="52">
        <f t="shared" si="61"/>
        <v>-23245.143490983755</v>
      </c>
      <c r="R161" s="52">
        <f t="shared" si="62"/>
        <v>11311.123076955693</v>
      </c>
      <c r="T161" s="6">
        <v>158</v>
      </c>
      <c r="U161" s="52">
        <f t="shared" si="48"/>
        <v>-9635.9192728339367</v>
      </c>
      <c r="V161" s="52">
        <f t="shared" si="49"/>
        <v>-13126.967032920438</v>
      </c>
      <c r="X161" s="6">
        <v>157</v>
      </c>
      <c r="Y161" s="55">
        <v>78.5</v>
      </c>
      <c r="Z161" s="52">
        <f t="shared" si="63"/>
        <v>-49093.531711714124</v>
      </c>
      <c r="AA161" s="52">
        <f t="shared" si="64"/>
        <v>3228.5061810677494</v>
      </c>
      <c r="AB161" s="52">
        <f t="shared" si="65"/>
        <v>-2420.7744991003115</v>
      </c>
      <c r="AC161" s="52">
        <f t="shared" si="66"/>
        <v>1570.2947134211747</v>
      </c>
      <c r="AD161" s="52">
        <f t="shared" si="50"/>
        <v>485.93408725078149</v>
      </c>
      <c r="AE161" s="52">
        <f t="shared" si="51"/>
        <v>-33.735974579915528</v>
      </c>
      <c r="AF161" s="52">
        <f t="shared" si="52"/>
        <v>105.72672956170514</v>
      </c>
      <c r="AG161" s="52">
        <f t="shared" si="53"/>
        <v>6.5362279309016582</v>
      </c>
      <c r="AH161" s="52">
        <f t="shared" si="54"/>
        <v>180.92821225328169</v>
      </c>
      <c r="AI161" s="52">
        <f t="shared" si="55"/>
        <v>42.110881658628848</v>
      </c>
      <c r="AJ161" s="52">
        <f t="shared" si="56"/>
        <v>199.27914543579465</v>
      </c>
      <c r="AK161" s="52">
        <f t="shared" si="57"/>
        <v>-82.383084169446036</v>
      </c>
      <c r="AM161" s="52">
        <f t="shared" si="58"/>
        <v>69225.441738155932</v>
      </c>
      <c r="AN161" s="57">
        <f t="shared" si="59"/>
        <v>29871.168641356384</v>
      </c>
      <c r="AO161" s="57">
        <f t="shared" si="60"/>
        <v>47712.870133803146</v>
      </c>
    </row>
    <row r="162" spans="12:41" x14ac:dyDescent="0.25">
      <c r="L162" s="6">
        <v>159</v>
      </c>
      <c r="M162" s="52">
        <f t="shared" si="46"/>
        <v>15332.097867513992</v>
      </c>
      <c r="N162" s="52">
        <f t="shared" si="47"/>
        <v>9291.8397477265007</v>
      </c>
      <c r="P162" s="6">
        <v>159</v>
      </c>
      <c r="Q162" s="52">
        <f t="shared" si="61"/>
        <v>-23267.531492740207</v>
      </c>
      <c r="R162" s="52">
        <f t="shared" si="62"/>
        <v>11254.287823408551</v>
      </c>
      <c r="T162" s="6">
        <v>159</v>
      </c>
      <c r="U162" s="52">
        <f t="shared" si="48"/>
        <v>-9667.9021324860078</v>
      </c>
      <c r="V162" s="52">
        <f t="shared" si="49"/>
        <v>-13208.160252273499</v>
      </c>
      <c r="X162" s="6">
        <v>158</v>
      </c>
      <c r="Y162" s="55">
        <v>79</v>
      </c>
      <c r="Z162" s="52">
        <f t="shared" si="63"/>
        <v>-50243.177200357932</v>
      </c>
      <c r="AA162" s="52">
        <f t="shared" si="64"/>
        <v>4009.4365409558472</v>
      </c>
      <c r="AB162" s="52">
        <f t="shared" si="65"/>
        <v>-2177.8074554749205</v>
      </c>
      <c r="AC162" s="52">
        <f t="shared" si="66"/>
        <v>1553.426726131217</v>
      </c>
      <c r="AD162" s="52">
        <f t="shared" si="50"/>
        <v>463.05196419923152</v>
      </c>
      <c r="AE162" s="52">
        <f t="shared" si="51"/>
        <v>-40.0873299914781</v>
      </c>
      <c r="AF162" s="52">
        <f t="shared" si="52"/>
        <v>102.59937690336193</v>
      </c>
      <c r="AG162" s="52">
        <f t="shared" si="53"/>
        <v>5.0984259285149323</v>
      </c>
      <c r="AH162" s="52">
        <f t="shared" si="54"/>
        <v>171.87871293808706</v>
      </c>
      <c r="AI162" s="52">
        <f t="shared" si="55"/>
        <v>34.045706583442488</v>
      </c>
      <c r="AJ162" s="52">
        <f t="shared" si="56"/>
        <v>188.57387435778253</v>
      </c>
      <c r="AK162" s="52">
        <f t="shared" si="57"/>
        <v>-79.231462503435523</v>
      </c>
      <c r="AM162" s="52">
        <f t="shared" si="58"/>
        <v>70329.851247265527</v>
      </c>
      <c r="AN162" s="57">
        <f t="shared" si="59"/>
        <v>30830.773874962739</v>
      </c>
      <c r="AO162" s="57">
        <f t="shared" si="60"/>
        <v>49074.471579300938</v>
      </c>
    </row>
    <row r="163" spans="12:41" x14ac:dyDescent="0.25">
      <c r="L163" s="6">
        <v>160</v>
      </c>
      <c r="M163" s="52">
        <f t="shared" si="46"/>
        <v>15301.536896070458</v>
      </c>
      <c r="N163" s="52">
        <f t="shared" si="47"/>
        <v>9210.1007166283453</v>
      </c>
      <c r="P163" s="6">
        <v>160</v>
      </c>
      <c r="Q163" s="52">
        <f t="shared" si="61"/>
        <v>-23288.924172750678</v>
      </c>
      <c r="R163" s="52">
        <f t="shared" si="62"/>
        <v>11197.070501639841</v>
      </c>
      <c r="T163" s="6">
        <v>160</v>
      </c>
      <c r="U163" s="52">
        <f t="shared" si="48"/>
        <v>-9698.4631039295418</v>
      </c>
      <c r="V163" s="52">
        <f t="shared" si="49"/>
        <v>-13289.899283371655</v>
      </c>
      <c r="X163" s="6">
        <v>159</v>
      </c>
      <c r="Y163" s="55">
        <v>79.5</v>
      </c>
      <c r="Z163" s="52">
        <f t="shared" si="63"/>
        <v>-51274.199432570487</v>
      </c>
      <c r="AA163" s="52">
        <f t="shared" si="64"/>
        <v>4781.1389877725214</v>
      </c>
      <c r="AB163" s="52">
        <f t="shared" si="65"/>
        <v>-1946.2814733753048</v>
      </c>
      <c r="AC163" s="52">
        <f t="shared" si="66"/>
        <v>1533.3830611354779</v>
      </c>
      <c r="AD163" s="52">
        <f t="shared" si="50"/>
        <v>443.32959616636504</v>
      </c>
      <c r="AE163" s="52">
        <f t="shared" si="51"/>
        <v>-45.489409711359187</v>
      </c>
      <c r="AF163" s="52">
        <f t="shared" si="52"/>
        <v>99.886293454335743</v>
      </c>
      <c r="AG163" s="52">
        <f t="shared" si="53"/>
        <v>3.810312161918195</v>
      </c>
      <c r="AH163" s="52">
        <f t="shared" si="54"/>
        <v>164.06849030376168</v>
      </c>
      <c r="AI163" s="52">
        <f t="shared" si="55"/>
        <v>27.378819055863104</v>
      </c>
      <c r="AJ163" s="52">
        <f t="shared" si="56"/>
        <v>179.37481240826767</v>
      </c>
      <c r="AK163" s="52">
        <f t="shared" si="57"/>
        <v>-76.678540929140482</v>
      </c>
      <c r="AM163" s="52">
        <f t="shared" si="58"/>
        <v>71326.03809239401</v>
      </c>
      <c r="AN163" s="57">
        <f t="shared" si="59"/>
        <v>31706.656405448055</v>
      </c>
      <c r="AO163" s="57">
        <f t="shared" si="60"/>
        <v>50324.894364309213</v>
      </c>
    </row>
    <row r="164" spans="12:41" x14ac:dyDescent="0.25">
      <c r="L164" s="6">
        <v>161</v>
      </c>
      <c r="M164" s="52">
        <f t="shared" si="46"/>
        <v>15272.407122003417</v>
      </c>
      <c r="N164" s="52">
        <f t="shared" si="47"/>
        <v>9127.8407722857846</v>
      </c>
      <c r="P164" s="6">
        <v>161</v>
      </c>
      <c r="Q164" s="52">
        <f t="shared" si="61"/>
        <v>-23309.315014597611</v>
      </c>
      <c r="R164" s="52">
        <f t="shared" si="62"/>
        <v>11139.48854060005</v>
      </c>
      <c r="T164" s="6">
        <v>161</v>
      </c>
      <c r="U164" s="52">
        <f t="shared" si="48"/>
        <v>-9727.5928779965834</v>
      </c>
      <c r="V164" s="52">
        <f t="shared" si="49"/>
        <v>-13372.159227714215</v>
      </c>
      <c r="X164" s="6">
        <v>160</v>
      </c>
      <c r="Y164" s="55">
        <v>80</v>
      </c>
      <c r="Z164" s="52">
        <f t="shared" si="63"/>
        <v>-52191.923969737341</v>
      </c>
      <c r="AA164" s="52">
        <f t="shared" si="64"/>
        <v>5542.1443421263411</v>
      </c>
      <c r="AB164" s="52">
        <f t="shared" si="65"/>
        <v>-1724.6166752921222</v>
      </c>
      <c r="AC164" s="52">
        <f t="shared" si="66"/>
        <v>1510.6383562797982</v>
      </c>
      <c r="AD164" s="52">
        <f t="shared" si="50"/>
        <v>426.32448864086194</v>
      </c>
      <c r="AE164" s="52">
        <f t="shared" si="51"/>
        <v>-50.186854249510056</v>
      </c>
      <c r="AF164" s="52">
        <f t="shared" si="52"/>
        <v>97.537178069464446</v>
      </c>
      <c r="AG164" s="52">
        <f t="shared" si="53"/>
        <v>2.6452226985442717</v>
      </c>
      <c r="AH164" s="52">
        <f t="shared" si="54"/>
        <v>157.35582126216352</v>
      </c>
      <c r="AI164" s="52">
        <f t="shared" si="55"/>
        <v>21.79023343781261</v>
      </c>
      <c r="AJ164" s="52">
        <f t="shared" si="56"/>
        <v>171.431489309234</v>
      </c>
      <c r="AK164" s="52">
        <f t="shared" si="57"/>
        <v>-74.622310385866939</v>
      </c>
      <c r="AM164" s="52">
        <f t="shared" si="58"/>
        <v>72218.467757419261</v>
      </c>
      <c r="AN164" s="57">
        <f t="shared" si="59"/>
        <v>32499.114540857659</v>
      </c>
      <c r="AO164" s="57">
        <f t="shared" si="60"/>
        <v>51468.994376597482</v>
      </c>
    </row>
    <row r="165" spans="12:41" x14ac:dyDescent="0.25">
      <c r="L165" s="6">
        <v>162</v>
      </c>
      <c r="M165" s="52">
        <f t="shared" si="46"/>
        <v>15244.717418524233</v>
      </c>
      <c r="N165" s="52">
        <f t="shared" si="47"/>
        <v>9045.0849718747377</v>
      </c>
      <c r="P165" s="6">
        <v>162</v>
      </c>
      <c r="Q165" s="52">
        <f t="shared" si="61"/>
        <v>-23328.697807033037</v>
      </c>
      <c r="R165" s="52">
        <f t="shared" si="62"/>
        <v>11081.559480312317</v>
      </c>
      <c r="T165" s="6">
        <v>162</v>
      </c>
      <c r="U165" s="52">
        <f t="shared" si="48"/>
        <v>-9755.2825814757671</v>
      </c>
      <c r="V165" s="52">
        <f t="shared" si="49"/>
        <v>-13454.915028125262</v>
      </c>
      <c r="X165" s="6">
        <v>161</v>
      </c>
      <c r="Y165" s="55">
        <v>80.5</v>
      </c>
      <c r="Z165" s="52">
        <f t="shared" si="63"/>
        <v>-53000.941746303295</v>
      </c>
      <c r="AA165" s="52">
        <f t="shared" si="64"/>
        <v>6291.1901634850519</v>
      </c>
      <c r="AB165" s="52">
        <f t="shared" si="65"/>
        <v>-1511.4544309716912</v>
      </c>
      <c r="AC165" s="52">
        <f t="shared" si="66"/>
        <v>1485.5449291550433</v>
      </c>
      <c r="AD165" s="52">
        <f t="shared" si="50"/>
        <v>411.6742224382445</v>
      </c>
      <c r="AE165" s="52">
        <f t="shared" si="51"/>
        <v>-54.365349663333902</v>
      </c>
      <c r="AF165" s="52">
        <f t="shared" si="52"/>
        <v>95.511467093449426</v>
      </c>
      <c r="AG165" s="52">
        <f t="shared" si="53"/>
        <v>1.5815576917318606</v>
      </c>
      <c r="AH165" s="52">
        <f t="shared" si="54"/>
        <v>151.61550207361464</v>
      </c>
      <c r="AI165" s="52">
        <f t="shared" si="55"/>
        <v>17.039303598715136</v>
      </c>
      <c r="AJ165" s="52">
        <f t="shared" si="56"/>
        <v>164.54725327118044</v>
      </c>
      <c r="AK165" s="52">
        <f t="shared" si="57"/>
        <v>-72.986210953780898</v>
      </c>
      <c r="AM165" s="52">
        <f t="shared" si="58"/>
        <v>73010.949295759885</v>
      </c>
      <c r="AN165" s="57">
        <f t="shared" si="59"/>
        <v>33208.695044315333</v>
      </c>
      <c r="AO165" s="57">
        <f t="shared" si="60"/>
        <v>52511.000629484151</v>
      </c>
    </row>
    <row r="166" spans="12:41" x14ac:dyDescent="0.25">
      <c r="L166" s="6">
        <v>163</v>
      </c>
      <c r="M166" s="52">
        <f t="shared" si="46"/>
        <v>15218.476220184823</v>
      </c>
      <c r="N166" s="52">
        <f t="shared" si="47"/>
        <v>8961.858523613686</v>
      </c>
      <c r="P166" s="6">
        <v>163</v>
      </c>
      <c r="Q166" s="52">
        <f t="shared" si="61"/>
        <v>-23347.066645870626</v>
      </c>
      <c r="R166" s="52">
        <f t="shared" si="62"/>
        <v>11023.300966529579</v>
      </c>
      <c r="T166" s="6">
        <v>163</v>
      </c>
      <c r="U166" s="52">
        <f t="shared" si="48"/>
        <v>-9781.5237798151775</v>
      </c>
      <c r="V166" s="52">
        <f t="shared" si="49"/>
        <v>-13538.141476386314</v>
      </c>
      <c r="X166" s="6">
        <v>162</v>
      </c>
      <c r="Y166" s="55">
        <v>81</v>
      </c>
      <c r="Z166" s="52">
        <f t="shared" si="63"/>
        <v>-53705.209683984358</v>
      </c>
      <c r="AA166" s="52">
        <f t="shared" si="64"/>
        <v>7027.1669593546567</v>
      </c>
      <c r="AB166" s="52">
        <f t="shared" si="65"/>
        <v>-1305.6173197525688</v>
      </c>
      <c r="AC166" s="52">
        <f t="shared" si="66"/>
        <v>1458.3622543233764</v>
      </c>
      <c r="AD166" s="52">
        <f t="shared" si="50"/>
        <v>399.08273769003489</v>
      </c>
      <c r="AE166" s="52">
        <f t="shared" si="51"/>
        <v>-58.168056832553432</v>
      </c>
      <c r="AF166" s="52">
        <f t="shared" si="52"/>
        <v>93.77634523004842</v>
      </c>
      <c r="AG166" s="52">
        <f t="shared" si="53"/>
        <v>0.60159322042287233</v>
      </c>
      <c r="AH166" s="52">
        <f t="shared" si="54"/>
        <v>146.74028647376008</v>
      </c>
      <c r="AI166" s="52">
        <f t="shared" si="55"/>
        <v>12.942639316385607</v>
      </c>
      <c r="AJ166" s="52">
        <f t="shared" si="56"/>
        <v>158.56610598622638</v>
      </c>
      <c r="AK166" s="52">
        <f t="shared" si="57"/>
        <v>-71.712289369361912</v>
      </c>
      <c r="AM166" s="52">
        <f t="shared" si="58"/>
        <v>73706.726325651092</v>
      </c>
      <c r="AN166" s="57">
        <f t="shared" si="59"/>
        <v>33836.059110494913</v>
      </c>
      <c r="AO166" s="57">
        <f t="shared" si="60"/>
        <v>53454.593204103323</v>
      </c>
    </row>
    <row r="167" spans="12:41" x14ac:dyDescent="0.25">
      <c r="L167" s="6">
        <v>164</v>
      </c>
      <c r="M167" s="52">
        <f t="shared" si="46"/>
        <v>15193.691520308406</v>
      </c>
      <c r="N167" s="52">
        <f t="shared" si="47"/>
        <v>8878.1867790849974</v>
      </c>
      <c r="P167" s="6">
        <v>164</v>
      </c>
      <c r="Q167" s="52">
        <f t="shared" si="61"/>
        <v>-23364.415935784116</v>
      </c>
      <c r="R167" s="52">
        <f t="shared" si="62"/>
        <v>10964.730745359499</v>
      </c>
      <c r="T167" s="6">
        <v>164</v>
      </c>
      <c r="U167" s="52">
        <f t="shared" si="48"/>
        <v>-9806.3084796915937</v>
      </c>
      <c r="V167" s="52">
        <f t="shared" si="49"/>
        <v>-13621.813220915003</v>
      </c>
      <c r="X167" s="6">
        <v>163</v>
      </c>
      <c r="Y167" s="55">
        <v>81.5</v>
      </c>
      <c r="Z167" s="52">
        <f t="shared" si="63"/>
        <v>-54308.133001649388</v>
      </c>
      <c r="AA167" s="52">
        <f t="shared" si="64"/>
        <v>7749.0770794122755</v>
      </c>
      <c r="AB167" s="52">
        <f t="shared" si="65"/>
        <v>-1106.0759509075515</v>
      </c>
      <c r="AC167" s="52">
        <f t="shared" si="66"/>
        <v>1429.2782259070998</v>
      </c>
      <c r="AD167" s="52">
        <f t="shared" si="50"/>
        <v>388.30868666847584</v>
      </c>
      <c r="AE167" s="52">
        <f t="shared" si="51"/>
        <v>-61.707414412305006</v>
      </c>
      <c r="AF167" s="52">
        <f t="shared" si="52"/>
        <v>92.305258493221345</v>
      </c>
      <c r="AG167" s="52">
        <f t="shared" si="53"/>
        <v>-0.30940252797599399</v>
      </c>
      <c r="AH167" s="52">
        <f t="shared" si="54"/>
        <v>142.64024676900317</v>
      </c>
      <c r="AI167" s="52">
        <f t="shared" si="55"/>
        <v>9.3584865383144749</v>
      </c>
      <c r="AJ167" s="52">
        <f t="shared" si="56"/>
        <v>153.36318140625136</v>
      </c>
      <c r="AK167" s="52">
        <f t="shared" si="57"/>
        <v>-70.756498422643489</v>
      </c>
      <c r="AM167" s="52">
        <f t="shared" si="58"/>
        <v>74308.550447322705</v>
      </c>
      <c r="AN167" s="57">
        <f t="shared" si="59"/>
        <v>34381.894131261746</v>
      </c>
      <c r="AO167" s="57">
        <f t="shared" si="60"/>
        <v>54302.969422246024</v>
      </c>
    </row>
    <row r="168" spans="12:41" x14ac:dyDescent="0.25">
      <c r="L168" s="6">
        <v>165</v>
      </c>
      <c r="M168" s="52">
        <f t="shared" si="46"/>
        <v>15170.370868554659</v>
      </c>
      <c r="N168" s="52">
        <f t="shared" si="47"/>
        <v>8794.0952255126049</v>
      </c>
      <c r="P168" s="6">
        <v>165</v>
      </c>
      <c r="Q168" s="52">
        <f t="shared" si="61"/>
        <v>-23380.740392011739</v>
      </c>
      <c r="R168" s="52">
        <f t="shared" si="62"/>
        <v>10905.866657858824</v>
      </c>
      <c r="T168" s="6">
        <v>165</v>
      </c>
      <c r="U168" s="52">
        <f t="shared" si="48"/>
        <v>-9829.629131445341</v>
      </c>
      <c r="V168" s="52">
        <f t="shared" si="49"/>
        <v>-13705.904774487395</v>
      </c>
      <c r="X168" s="6">
        <v>164</v>
      </c>
      <c r="Y168" s="55">
        <v>82</v>
      </c>
      <c r="Z168" s="52">
        <f t="shared" si="63"/>
        <v>-54812.63239126961</v>
      </c>
      <c r="AA168" s="52">
        <f t="shared" si="64"/>
        <v>8456.002765564288</v>
      </c>
      <c r="AB168" s="52">
        <f t="shared" si="65"/>
        <v>-911.92160757331362</v>
      </c>
      <c r="AC168" s="52">
        <f t="shared" si="66"/>
        <v>1398.4245187009474</v>
      </c>
      <c r="AD168" s="52">
        <f t="shared" si="50"/>
        <v>379.15589212147569</v>
      </c>
      <c r="AE168" s="52">
        <f t="shared" si="51"/>
        <v>-65.073672503818528</v>
      </c>
      <c r="AF168" s="52">
        <f t="shared" si="52"/>
        <v>91.07679458257914</v>
      </c>
      <c r="AG168" s="52">
        <f t="shared" si="53"/>
        <v>-1.1638364366635623</v>
      </c>
      <c r="AH168" s="52">
        <f t="shared" si="54"/>
        <v>139.24132900817531</v>
      </c>
      <c r="AI168" s="52">
        <f t="shared" si="55"/>
        <v>6.1755808779829877</v>
      </c>
      <c r="AJ168" s="52">
        <f t="shared" si="56"/>
        <v>148.83776853072123</v>
      </c>
      <c r="AK168" s="52">
        <f t="shared" si="57"/>
        <v>-70.085416945137951</v>
      </c>
      <c r="AM168" s="52">
        <f t="shared" si="58"/>
        <v>74818.740343573081</v>
      </c>
      <c r="AN168" s="57">
        <f t="shared" si="59"/>
        <v>34846.854972430716</v>
      </c>
      <c r="AO168" s="57">
        <f t="shared" si="60"/>
        <v>55058.899475797021</v>
      </c>
    </row>
    <row r="169" spans="12:41" x14ac:dyDescent="0.25">
      <c r="L169" s="6">
        <v>166</v>
      </c>
      <c r="M169" s="52">
        <f t="shared" si="46"/>
        <v>15148.521368620019</v>
      </c>
      <c r="N169" s="52">
        <f t="shared" si="47"/>
        <v>8709.6094779983396</v>
      </c>
      <c r="P169" s="6">
        <v>166</v>
      </c>
      <c r="Q169" s="52">
        <f t="shared" si="61"/>
        <v>-23396.035041965988</v>
      </c>
      <c r="R169" s="52">
        <f t="shared" si="62"/>
        <v>10846.726634598837</v>
      </c>
      <c r="T169" s="6">
        <v>166</v>
      </c>
      <c r="U169" s="52">
        <f t="shared" si="48"/>
        <v>-9851.4786313799814</v>
      </c>
      <c r="V169" s="52">
        <f t="shared" si="49"/>
        <v>-13790.39052200166</v>
      </c>
      <c r="X169" s="6">
        <v>165</v>
      </c>
      <c r="Y169" s="55">
        <v>82.5</v>
      </c>
      <c r="Z169" s="52">
        <f t="shared" si="63"/>
        <v>-55221.19870854108</v>
      </c>
      <c r="AA169" s="52">
        <f t="shared" si="64"/>
        <v>9147.0808158517848</v>
      </c>
      <c r="AB169" s="52">
        <f t="shared" si="65"/>
        <v>-722.34366151257575</v>
      </c>
      <c r="AC169" s="52">
        <f t="shared" si="66"/>
        <v>1365.887682449038</v>
      </c>
      <c r="AD169" s="52">
        <f t="shared" si="50"/>
        <v>371.46569809070752</v>
      </c>
      <c r="AE169" s="52">
        <f t="shared" si="51"/>
        <v>-68.341135223832453</v>
      </c>
      <c r="AF169" s="52">
        <f t="shared" si="52"/>
        <v>90.073836722666101</v>
      </c>
      <c r="AG169" s="52">
        <f t="shared" si="53"/>
        <v>-1.9723015722059183</v>
      </c>
      <c r="AH169" s="52">
        <f t="shared" si="54"/>
        <v>136.48372531555214</v>
      </c>
      <c r="AI169" s="52">
        <f t="shared" si="55"/>
        <v>3.3051001077206581</v>
      </c>
      <c r="AJ169" s="52">
        <f t="shared" si="56"/>
        <v>144.90813605248928</v>
      </c>
      <c r="AK169" s="52">
        <f t="shared" si="57"/>
        <v>-69.673933759347193</v>
      </c>
      <c r="AM169" s="52">
        <f t="shared" si="58"/>
        <v>75239.229198362795</v>
      </c>
      <c r="AN169" s="57">
        <f t="shared" si="59"/>
        <v>35231.524372374581</v>
      </c>
      <c r="AO169" s="57">
        <f t="shared" si="60"/>
        <v>55724.772872126137</v>
      </c>
    </row>
    <row r="170" spans="12:41" x14ac:dyDescent="0.25">
      <c r="L170" s="6">
        <v>167</v>
      </c>
      <c r="M170" s="52">
        <f t="shared" si="46"/>
        <v>15128.149676073823</v>
      </c>
      <c r="N170" s="52">
        <f t="shared" si="47"/>
        <v>8624.7552717193248</v>
      </c>
      <c r="P170" s="6">
        <v>167</v>
      </c>
      <c r="Q170" s="52">
        <f t="shared" si="61"/>
        <v>-23410.295226748323</v>
      </c>
      <c r="R170" s="52">
        <f t="shared" si="62"/>
        <v>10787.328690203527</v>
      </c>
      <c r="T170" s="6">
        <v>167</v>
      </c>
      <c r="U170" s="52">
        <f t="shared" si="48"/>
        <v>-9871.8503239261772</v>
      </c>
      <c r="V170" s="52">
        <f t="shared" si="49"/>
        <v>-13875.244728280675</v>
      </c>
      <c r="X170" s="6">
        <v>166</v>
      </c>
      <c r="Y170" s="55">
        <v>83</v>
      </c>
      <c r="Z170" s="52">
        <f t="shared" si="63"/>
        <v>-55535.93732703603</v>
      </c>
      <c r="AA170" s="52">
        <f t="shared" si="64"/>
        <v>9821.4820151733256</v>
      </c>
      <c r="AB170" s="52">
        <f t="shared" si="65"/>
        <v>-536.61081246722199</v>
      </c>
      <c r="AC170" s="52">
        <f t="shared" si="66"/>
        <v>1331.7171148371217</v>
      </c>
      <c r="AD170" s="52">
        <f t="shared" si="50"/>
        <v>365.1109339989635</v>
      </c>
      <c r="AE170" s="52">
        <f t="shared" si="51"/>
        <v>-71.572805181995307</v>
      </c>
      <c r="AF170" s="52">
        <f t="shared" si="52"/>
        <v>89.282924836231004</v>
      </c>
      <c r="AG170" s="52">
        <f t="shared" si="53"/>
        <v>-2.7439747437303055</v>
      </c>
      <c r="AH170" s="52">
        <f t="shared" si="54"/>
        <v>134.32035803892001</v>
      </c>
      <c r="AI170" s="52">
        <f t="shared" si="55"/>
        <v>0.674770427965109</v>
      </c>
      <c r="AJ170" s="52">
        <f t="shared" si="56"/>
        <v>141.50765112381248</v>
      </c>
      <c r="AK170" s="52">
        <f t="shared" si="57"/>
        <v>-69.503600866230116</v>
      </c>
      <c r="AM170" s="52">
        <f t="shared" si="58"/>
        <v>75571.60251457346</v>
      </c>
      <c r="AN170" s="57">
        <f t="shared" si="59"/>
        <v>35536.385724802392</v>
      </c>
      <c r="AO170" s="57">
        <f t="shared" si="60"/>
        <v>56302.636980444229</v>
      </c>
    </row>
    <row r="171" spans="12:41" x14ac:dyDescent="0.25">
      <c r="L171" s="6">
        <v>168</v>
      </c>
      <c r="M171" s="52">
        <f t="shared" si="46"/>
        <v>15109.261996330972</v>
      </c>
      <c r="N171" s="52">
        <f t="shared" si="47"/>
        <v>8539.5584540887976</v>
      </c>
      <c r="P171" s="6">
        <v>168</v>
      </c>
      <c r="Q171" s="52">
        <f t="shared" si="61"/>
        <v>-23423.516602568321</v>
      </c>
      <c r="R171" s="52">
        <f t="shared" si="62"/>
        <v>10727.690917862157</v>
      </c>
      <c r="T171" s="6">
        <v>168</v>
      </c>
      <c r="U171" s="52">
        <f t="shared" si="48"/>
        <v>-9890.7380036690283</v>
      </c>
      <c r="V171" s="52">
        <f t="shared" si="49"/>
        <v>-13960.441545911202</v>
      </c>
      <c r="X171" s="6">
        <v>167</v>
      </c>
      <c r="Y171" s="55">
        <v>83.5</v>
      </c>
      <c r="Z171" s="52">
        <f t="shared" si="63"/>
        <v>-55758.60386651977</v>
      </c>
      <c r="AA171" s="52">
        <f t="shared" si="64"/>
        <v>10478.393971944137</v>
      </c>
      <c r="AB171" s="52">
        <f t="shared" si="65"/>
        <v>-354.05534546774027</v>
      </c>
      <c r="AC171" s="52">
        <f t="shared" si="66"/>
        <v>1295.9307122461241</v>
      </c>
      <c r="AD171" s="52">
        <f t="shared" si="50"/>
        <v>359.9912242100267</v>
      </c>
      <c r="AE171" s="52">
        <f t="shared" si="51"/>
        <v>-74.823919820644093</v>
      </c>
      <c r="AF171" s="52">
        <f t="shared" si="52"/>
        <v>88.693777272529132</v>
      </c>
      <c r="AG171" s="52">
        <f t="shared" si="53"/>
        <v>-3.4869308315513967</v>
      </c>
      <c r="AH171" s="52">
        <f t="shared" si="54"/>
        <v>132.71560671867513</v>
      </c>
      <c r="AI171" s="52">
        <f t="shared" si="55"/>
        <v>-1.7755264292230382</v>
      </c>
      <c r="AJ171" s="52">
        <f t="shared" si="56"/>
        <v>138.58184021882244</v>
      </c>
      <c r="AK171" s="52">
        <f t="shared" si="57"/>
        <v>-69.561462559869653</v>
      </c>
      <c r="AM171" s="52">
        <f t="shared" si="58"/>
        <v>75817.127949140733</v>
      </c>
      <c r="AN171" s="57">
        <f t="shared" si="59"/>
        <v>35761.803803430768</v>
      </c>
      <c r="AO171" s="57">
        <f t="shared" si="60"/>
        <v>56794.228807757179</v>
      </c>
    </row>
    <row r="172" spans="12:41" x14ac:dyDescent="0.25">
      <c r="L172" s="6">
        <v>169</v>
      </c>
      <c r="M172" s="52">
        <f t="shared" si="46"/>
        <v>15091.86408276168</v>
      </c>
      <c r="N172" s="52">
        <f t="shared" si="47"/>
        <v>8454.0449768827257</v>
      </c>
      <c r="P172" s="6">
        <v>169</v>
      </c>
      <c r="Q172" s="52">
        <f t="shared" si="61"/>
        <v>-23435.695142066823</v>
      </c>
      <c r="R172" s="52">
        <f t="shared" si="62"/>
        <v>10667.831483817907</v>
      </c>
      <c r="T172" s="6">
        <v>169</v>
      </c>
      <c r="U172" s="52">
        <f t="shared" si="48"/>
        <v>-9908.13591723832</v>
      </c>
      <c r="V172" s="52">
        <f t="shared" si="49"/>
        <v>-14045.955023117274</v>
      </c>
      <c r="X172" s="6">
        <v>168</v>
      </c>
      <c r="Y172" s="55">
        <v>84</v>
      </c>
      <c r="Z172" s="52">
        <f t="shared" si="63"/>
        <v>-55890.63263622739</v>
      </c>
      <c r="AA172" s="52">
        <f t="shared" si="64"/>
        <v>11117.006338089619</v>
      </c>
      <c r="AB172" s="52">
        <f t="shared" si="65"/>
        <v>-174.05973336272692</v>
      </c>
      <c r="AC172" s="52">
        <f t="shared" si="66"/>
        <v>1258.518752335802</v>
      </c>
      <c r="AD172" s="52">
        <f t="shared" si="50"/>
        <v>356.0294156384623</v>
      </c>
      <c r="AE172" s="52">
        <f t="shared" si="51"/>
        <v>-78.144729211739133</v>
      </c>
      <c r="AF172" s="52">
        <f t="shared" si="52"/>
        <v>88.298940034864728</v>
      </c>
      <c r="AG172" s="52">
        <f t="shared" si="53"/>
        <v>-4.208395880471838</v>
      </c>
      <c r="AH172" s="52">
        <f t="shared" si="54"/>
        <v>131.64433069005474</v>
      </c>
      <c r="AI172" s="52">
        <f t="shared" si="55"/>
        <v>-4.097101136242709</v>
      </c>
      <c r="AJ172" s="52">
        <f t="shared" si="56"/>
        <v>136.08614491354285</v>
      </c>
      <c r="AK172" s="52">
        <f t="shared" si="57"/>
        <v>-69.839232195024593</v>
      </c>
      <c r="AM172" s="52">
        <f t="shared" si="58"/>
        <v>75976.778404829733</v>
      </c>
      <c r="AN172" s="57">
        <f t="shared" si="59"/>
        <v>35908.010445971006</v>
      </c>
      <c r="AO172" s="57">
        <f t="shared" si="60"/>
        <v>57201.000954347517</v>
      </c>
    </row>
    <row r="173" spans="12:41" x14ac:dyDescent="0.25">
      <c r="L173" s="6">
        <v>170</v>
      </c>
      <c r="M173" s="52">
        <f t="shared" si="46"/>
        <v>15075.961234938961</v>
      </c>
      <c r="N173" s="52">
        <f t="shared" si="47"/>
        <v>8368.2408883346507</v>
      </c>
      <c r="P173" s="6">
        <v>170</v>
      </c>
      <c r="Q173" s="52">
        <f t="shared" si="61"/>
        <v>-23446.827135542728</v>
      </c>
      <c r="R173" s="52">
        <f t="shared" si="62"/>
        <v>10607.768621834257</v>
      </c>
      <c r="T173" s="6">
        <v>170</v>
      </c>
      <c r="U173" s="52">
        <f t="shared" si="48"/>
        <v>-9924.0387650610392</v>
      </c>
      <c r="V173" s="52">
        <f t="shared" si="49"/>
        <v>-14131.759111665349</v>
      </c>
      <c r="X173" s="6">
        <v>169</v>
      </c>
      <c r="Y173" s="55">
        <v>84.5</v>
      </c>
      <c r="Z173" s="52">
        <f t="shared" si="63"/>
        <v>-55933.158825953942</v>
      </c>
      <c r="AA173" s="52">
        <f t="shared" si="64"/>
        <v>11736.497623106054</v>
      </c>
      <c r="AB173" s="52">
        <f t="shared" si="65"/>
        <v>3.9549744565042317</v>
      </c>
      <c r="AC173" s="52">
        <f t="shared" si="66"/>
        <v>1219.4463877299324</v>
      </c>
      <c r="AD173" s="52">
        <f t="shared" si="50"/>
        <v>353.1689440358665</v>
      </c>
      <c r="AE173" s="52">
        <f t="shared" si="51"/>
        <v>-81.582770001540041</v>
      </c>
      <c r="AF173" s="52">
        <f t="shared" si="52"/>
        <v>88.093540428046566</v>
      </c>
      <c r="AG173" s="52">
        <f t="shared" si="53"/>
        <v>-4.9149552106721242</v>
      </c>
      <c r="AH173" s="52">
        <f t="shared" si="54"/>
        <v>131.09120665692441</v>
      </c>
      <c r="AI173" s="52">
        <f t="shared" si="55"/>
        <v>-6.3350837000568205</v>
      </c>
      <c r="AJ173" s="52">
        <f t="shared" si="56"/>
        <v>133.98419695089549</v>
      </c>
      <c r="AK173" s="52">
        <f t="shared" si="57"/>
        <v>-70.332731090811095</v>
      </c>
      <c r="AM173" s="52">
        <f t="shared" si="58"/>
        <v>76051.24930859539</v>
      </c>
      <c r="AN173" s="57">
        <f t="shared" si="59"/>
        <v>35975.093150765919</v>
      </c>
      <c r="AO173" s="57">
        <f t="shared" si="60"/>
        <v>57524.142524162897</v>
      </c>
    </row>
    <row r="174" spans="12:41" x14ac:dyDescent="0.25">
      <c r="L174" s="6">
        <v>171</v>
      </c>
      <c r="M174" s="52">
        <f t="shared" si="46"/>
        <v>15061.558297024312</v>
      </c>
      <c r="N174" s="52">
        <f t="shared" si="47"/>
        <v>8282.1723252011543</v>
      </c>
      <c r="P174" s="6">
        <v>171</v>
      </c>
      <c r="Q174" s="52">
        <f t="shared" si="61"/>
        <v>-23456.909192082981</v>
      </c>
      <c r="R174" s="52">
        <f t="shared" si="62"/>
        <v>10547.520627640808</v>
      </c>
      <c r="T174" s="6">
        <v>171</v>
      </c>
      <c r="U174" s="52">
        <f t="shared" si="48"/>
        <v>-9938.4417029756878</v>
      </c>
      <c r="V174" s="52">
        <f t="shared" si="49"/>
        <v>-14217.827674798846</v>
      </c>
      <c r="X174" s="6">
        <v>170</v>
      </c>
      <c r="Y174" s="55">
        <v>85</v>
      </c>
      <c r="Z174" s="52">
        <f t="shared" si="63"/>
        <v>-55887.035220721205</v>
      </c>
      <c r="AA174" s="52">
        <f t="shared" si="64"/>
        <v>12336.022970720827</v>
      </c>
      <c r="AB174" s="52">
        <f t="shared" si="65"/>
        <v>180.53944647443748</v>
      </c>
      <c r="AC174" s="52">
        <f t="shared" si="66"/>
        <v>1178.6550027291623</v>
      </c>
      <c r="AD174" s="52">
        <f t="shared" si="50"/>
        <v>351.37200697858532</v>
      </c>
      <c r="AE174" s="52">
        <f t="shared" si="51"/>
        <v>-85.184827830091976</v>
      </c>
      <c r="AF174" s="52">
        <f t="shared" si="52"/>
        <v>88.075129542486778</v>
      </c>
      <c r="AG174" s="52">
        <f t="shared" si="53"/>
        <v>-5.6127288195912559</v>
      </c>
      <c r="AH174" s="52">
        <f t="shared" si="54"/>
        <v>131.05039101170212</v>
      </c>
      <c r="AI174" s="52">
        <f t="shared" si="55"/>
        <v>-8.5305660342908123</v>
      </c>
      <c r="AJ174" s="52">
        <f t="shared" si="56"/>
        <v>132.24648642439641</v>
      </c>
      <c r="AK174" s="52">
        <f t="shared" si="57"/>
        <v>-71.041532976209908</v>
      </c>
      <c r="AM174" s="52">
        <f t="shared" si="58"/>
        <v>76040.97075106499</v>
      </c>
      <c r="AN174" s="57">
        <f t="shared" si="59"/>
        <v>35962.98514101714</v>
      </c>
      <c r="AO174" s="57">
        <f t="shared" si="60"/>
        <v>57764.595605013092</v>
      </c>
    </row>
    <row r="175" spans="12:41" x14ac:dyDescent="0.25">
      <c r="L175" s="6">
        <v>172</v>
      </c>
      <c r="M175" s="52">
        <f t="shared" si="46"/>
        <v>15048.659656292148</v>
      </c>
      <c r="N175" s="52">
        <f t="shared" si="47"/>
        <v>8195.8655048003293</v>
      </c>
      <c r="P175" s="6">
        <v>172</v>
      </c>
      <c r="Q175" s="52">
        <f t="shared" si="61"/>
        <v>-23465.938240595497</v>
      </c>
      <c r="R175" s="52">
        <f t="shared" si="62"/>
        <v>10487.10585336023</v>
      </c>
      <c r="T175" s="6">
        <v>172</v>
      </c>
      <c r="U175" s="52">
        <f t="shared" si="48"/>
        <v>-9951.3403437078523</v>
      </c>
      <c r="V175" s="52">
        <f t="shared" si="49"/>
        <v>-14304.134495199671</v>
      </c>
      <c r="X175" s="6">
        <v>171</v>
      </c>
      <c r="Y175" s="55">
        <v>85.5</v>
      </c>
      <c r="Z175" s="52">
        <f t="shared" si="63"/>
        <v>-55752.843996611664</v>
      </c>
      <c r="AA175" s="52">
        <f t="shared" si="64"/>
        <v>12914.702368606648</v>
      </c>
      <c r="AB175" s="52">
        <f t="shared" si="65"/>
        <v>356.22544996373017</v>
      </c>
      <c r="AC175" s="52">
        <f t="shared" si="66"/>
        <v>1136.0625888141165</v>
      </c>
      <c r="AD175" s="52">
        <f t="shared" si="50"/>
        <v>350.61845609780443</v>
      </c>
      <c r="AE175" s="52">
        <f t="shared" si="51"/>
        <v>-88.998741874253881</v>
      </c>
      <c r="AF175" s="52">
        <f t="shared" si="52"/>
        <v>88.24360388585194</v>
      </c>
      <c r="AG175" s="52">
        <f t="shared" si="53"/>
        <v>-6.3075235960313414</v>
      </c>
      <c r="AH175" s="52">
        <f t="shared" si="54"/>
        <v>131.52552066321911</v>
      </c>
      <c r="AI175" s="52">
        <f t="shared" si="55"/>
        <v>-10.722440616070671</v>
      </c>
      <c r="AJ175" s="52">
        <f t="shared" si="56"/>
        <v>130.84933154873337</v>
      </c>
      <c r="AK175" s="52">
        <f t="shared" si="57"/>
        <v>-71.968777662151865</v>
      </c>
      <c r="AM175" s="52">
        <f t="shared" si="58"/>
        <v>75946.114945503155</v>
      </c>
      <c r="AN175" s="57">
        <f t="shared" si="59"/>
        <v>35871.455835296285</v>
      </c>
      <c r="AO175" s="57">
        <f t="shared" si="60"/>
        <v>57923.06778885502</v>
      </c>
    </row>
    <row r="176" spans="12:41" x14ac:dyDescent="0.25">
      <c r="L176" s="6">
        <v>173</v>
      </c>
      <c r="M176" s="52">
        <f t="shared" si="46"/>
        <v>15037.26924179339</v>
      </c>
      <c r="N176" s="52">
        <f t="shared" si="47"/>
        <v>8109.3467170257372</v>
      </c>
      <c r="P176" s="6">
        <v>173</v>
      </c>
      <c r="Q176" s="52">
        <f t="shared" si="61"/>
        <v>-23473.911530744626</v>
      </c>
      <c r="R176" s="52">
        <f t="shared" si="62"/>
        <v>10426.542701918017</v>
      </c>
      <c r="T176" s="6">
        <v>173</v>
      </c>
      <c r="U176" s="52">
        <f t="shared" si="48"/>
        <v>-9962.7307582066096</v>
      </c>
      <c r="V176" s="52">
        <f t="shared" si="49"/>
        <v>-14390.653282974263</v>
      </c>
      <c r="X176" s="6">
        <v>172</v>
      </c>
      <c r="Y176" s="55">
        <v>86</v>
      </c>
      <c r="Z176" s="52">
        <f t="shared" si="63"/>
        <v>-55530.903964617573</v>
      </c>
      <c r="AA176" s="52">
        <f t="shared" si="64"/>
        <v>13471.608820279424</v>
      </c>
      <c r="AB176" s="52">
        <f t="shared" si="65"/>
        <v>531.53467801263241</v>
      </c>
      <c r="AC176" s="52">
        <f t="shared" si="66"/>
        <v>1091.5632178769895</v>
      </c>
      <c r="AD176" s="52">
        <f t="shared" si="50"/>
        <v>350.90536339977103</v>
      </c>
      <c r="AE176" s="52">
        <f t="shared" si="51"/>
        <v>-93.075184607476217</v>
      </c>
      <c r="AF176" s="52">
        <f t="shared" si="52"/>
        <v>88.601201404936901</v>
      </c>
      <c r="AG176" s="52">
        <f t="shared" si="53"/>
        <v>-7.0049699927453233</v>
      </c>
      <c r="AH176" s="52">
        <f t="shared" si="54"/>
        <v>132.53007896946701</v>
      </c>
      <c r="AI176" s="52">
        <f t="shared" si="55"/>
        <v>-12.949082059969545</v>
      </c>
      <c r="AJ176" s="52">
        <f t="shared" si="56"/>
        <v>129.77408302536713</v>
      </c>
      <c r="AK176" s="52">
        <f t="shared" si="57"/>
        <v>-73.121132554761346</v>
      </c>
      <c r="AM176" s="52">
        <f t="shared" si="58"/>
        <v>75766.599274447595</v>
      </c>
      <c r="AN176" s="57">
        <f t="shared" si="59"/>
        <v>35700.10090103274</v>
      </c>
      <c r="AO176" s="57">
        <f t="shared" si="60"/>
        <v>58000.04107150629</v>
      </c>
    </row>
    <row r="177" spans="12:41" x14ac:dyDescent="0.25">
      <c r="L177" s="6">
        <v>174</v>
      </c>
      <c r="M177" s="52">
        <f t="shared" si="46"/>
        <v>15027.390523158632</v>
      </c>
      <c r="N177" s="52">
        <f t="shared" si="47"/>
        <v>8022.6423163382688</v>
      </c>
      <c r="P177" s="6">
        <v>174</v>
      </c>
      <c r="Q177" s="52">
        <f t="shared" si="61"/>
        <v>-23480.826633788958</v>
      </c>
      <c r="R177" s="52">
        <f t="shared" si="62"/>
        <v>10365.849621436788</v>
      </c>
      <c r="T177" s="6">
        <v>174</v>
      </c>
      <c r="U177" s="52">
        <f t="shared" si="48"/>
        <v>-9972.6094768413677</v>
      </c>
      <c r="V177" s="52">
        <f t="shared" si="49"/>
        <v>-14477.357683661732</v>
      </c>
      <c r="X177" s="6">
        <v>173</v>
      </c>
      <c r="Y177" s="55">
        <v>86.5</v>
      </c>
      <c r="Z177" s="52">
        <f t="shared" si="63"/>
        <v>-55221.273455186289</v>
      </c>
      <c r="AA177" s="52">
        <f t="shared" si="64"/>
        <v>14005.756031141984</v>
      </c>
      <c r="AB177" s="52">
        <f t="shared" si="65"/>
        <v>706.9873597125179</v>
      </c>
      <c r="AC177" s="52">
        <f t="shared" si="66"/>
        <v>1045.0256255732513</v>
      </c>
      <c r="AD177" s="52">
        <f t="shared" si="50"/>
        <v>352.24725882739449</v>
      </c>
      <c r="AE177" s="52">
        <f t="shared" si="51"/>
        <v>-97.469544523227796</v>
      </c>
      <c r="AF177" s="52">
        <f t="shared" si="52"/>
        <v>89.152571610159114</v>
      </c>
      <c r="AG177" s="52">
        <f t="shared" si="53"/>
        <v>-7.7106495782759259</v>
      </c>
      <c r="AH177" s="52">
        <f t="shared" si="54"/>
        <v>134.08817363169732</v>
      </c>
      <c r="AI177" s="52">
        <f t="shared" si="55"/>
        <v>-15.25000255636396</v>
      </c>
      <c r="AJ177" s="52">
        <f t="shared" si="56"/>
        <v>129.0065135855381</v>
      </c>
      <c r="AK177" s="52">
        <f t="shared" si="57"/>
        <v>-74.50889238858791</v>
      </c>
      <c r="AM177" s="52">
        <f t="shared" si="58"/>
        <v>75502.085015956036</v>
      </c>
      <c r="AN177" s="57">
        <f t="shared" si="59"/>
        <v>35448.331204529793</v>
      </c>
      <c r="AO177" s="57">
        <f t="shared" si="60"/>
        <v>57995.777349723736</v>
      </c>
    </row>
    <row r="178" spans="12:41" x14ac:dyDescent="0.25">
      <c r="L178" s="6">
        <v>175</v>
      </c>
      <c r="M178" s="52">
        <f t="shared" si="46"/>
        <v>15019.026509541272</v>
      </c>
      <c r="N178" s="52">
        <f t="shared" si="47"/>
        <v>7935.7787137382929</v>
      </c>
      <c r="P178" s="6">
        <v>175</v>
      </c>
      <c r="Q178" s="52">
        <f t="shared" si="61"/>
        <v>-23486.681443321111</v>
      </c>
      <c r="R178" s="52">
        <f t="shared" si="62"/>
        <v>10305.045099616806</v>
      </c>
      <c r="T178" s="6">
        <v>175</v>
      </c>
      <c r="U178" s="52">
        <f t="shared" si="48"/>
        <v>-9980.9734904587276</v>
      </c>
      <c r="V178" s="52">
        <f t="shared" si="49"/>
        <v>-14564.221286261707</v>
      </c>
      <c r="X178" s="6">
        <v>174</v>
      </c>
      <c r="Y178" s="55">
        <v>87</v>
      </c>
      <c r="Z178" s="52">
        <f t="shared" si="63"/>
        <v>-54823.74886797661</v>
      </c>
      <c r="AA178" s="52">
        <f t="shared" si="64"/>
        <v>14516.085150863208</v>
      </c>
      <c r="AB178" s="52">
        <f t="shared" si="65"/>
        <v>883.11098912621515</v>
      </c>
      <c r="AC178" s="52">
        <f t="shared" si="66"/>
        <v>996.29085331163742</v>
      </c>
      <c r="AD178" s="52">
        <f t="shared" si="50"/>
        <v>354.67708181443976</v>
      </c>
      <c r="AE178" s="52">
        <f t="shared" si="51"/>
        <v>-102.24404882904378</v>
      </c>
      <c r="AF178" s="52">
        <f t="shared" si="52"/>
        <v>89.904923959316591</v>
      </c>
      <c r="AG178" s="52">
        <f t="shared" si="53"/>
        <v>-8.43021916869513</v>
      </c>
      <c r="AH178" s="52">
        <f t="shared" si="54"/>
        <v>136.23580187322219</v>
      </c>
      <c r="AI178" s="52">
        <f t="shared" si="55"/>
        <v>-17.667611956086024</v>
      </c>
      <c r="AJ178" s="52">
        <f t="shared" si="56"/>
        <v>128.53635598190098</v>
      </c>
      <c r="AK178" s="52">
        <f t="shared" si="57"/>
        <v>-76.146217704262625</v>
      </c>
      <c r="AM178" s="52">
        <f t="shared" si="58"/>
        <v>75151.971667429956</v>
      </c>
      <c r="AN178" s="57">
        <f t="shared" si="59"/>
        <v>35115.360033890429</v>
      </c>
      <c r="AO178" s="57">
        <f t="shared" si="60"/>
        <v>57910.320616382429</v>
      </c>
    </row>
    <row r="179" spans="12:41" x14ac:dyDescent="0.25">
      <c r="L179" s="6">
        <v>176</v>
      </c>
      <c r="M179" s="52">
        <f t="shared" si="46"/>
        <v>15012.179748700879</v>
      </c>
      <c r="N179" s="52">
        <f t="shared" si="47"/>
        <v>7848.7823687206273</v>
      </c>
      <c r="P179" s="6">
        <v>176</v>
      </c>
      <c r="Q179" s="52">
        <f t="shared" si="61"/>
        <v>-23491.474175909385</v>
      </c>
      <c r="R179" s="52">
        <f t="shared" si="62"/>
        <v>10244.147658104439</v>
      </c>
      <c r="T179" s="6">
        <v>176</v>
      </c>
      <c r="U179" s="52">
        <f t="shared" si="48"/>
        <v>-9987.8202512991211</v>
      </c>
      <c r="V179" s="52">
        <f t="shared" si="49"/>
        <v>-14651.217631279373</v>
      </c>
      <c r="X179" s="6">
        <v>175</v>
      </c>
      <c r="Y179" s="55">
        <v>87.5</v>
      </c>
      <c r="Z179" s="52">
        <f t="shared" si="63"/>
        <v>-54337.858738186696</v>
      </c>
      <c r="AA179" s="52">
        <f t="shared" si="64"/>
        <v>15001.450071415396</v>
      </c>
      <c r="AB179" s="52">
        <f t="shared" si="65"/>
        <v>1060.4495300334349</v>
      </c>
      <c r="AC179" s="52">
        <f t="shared" si="66"/>
        <v>945.16882889711553</v>
      </c>
      <c r="AD179" s="52">
        <f t="shared" si="50"/>
        <v>358.2479429888582</v>
      </c>
      <c r="AE179" s="52">
        <f t="shared" si="51"/>
        <v>-107.47028873953724</v>
      </c>
      <c r="AF179" s="52">
        <f t="shared" si="52"/>
        <v>90.868263510488489</v>
      </c>
      <c r="AG179" s="52">
        <f t="shared" si="53"/>
        <v>-9.1695369408050027</v>
      </c>
      <c r="AH179" s="52">
        <f t="shared" si="54"/>
        <v>139.02271759245573</v>
      </c>
      <c r="AI179" s="52">
        <f t="shared" si="55"/>
        <v>-20.249229462229078</v>
      </c>
      <c r="AJ179" s="52">
        <f t="shared" si="56"/>
        <v>128.35696188591393</v>
      </c>
      <c r="AK179" s="52">
        <f t="shared" si="57"/>
        <v>-78.051522336503155</v>
      </c>
      <c r="AM179" s="52">
        <f t="shared" si="58"/>
        <v>74715.386601104707</v>
      </c>
      <c r="AN179" s="57">
        <f t="shared" si="59"/>
        <v>34700.187975579116</v>
      </c>
      <c r="AO179" s="57">
        <f t="shared" si="60"/>
        <v>57743.495835088615</v>
      </c>
    </row>
    <row r="180" spans="12:41" x14ac:dyDescent="0.25">
      <c r="L180" s="6">
        <v>177</v>
      </c>
      <c r="M180" s="52">
        <f t="shared" si="46"/>
        <v>15006.85232622713</v>
      </c>
      <c r="N180" s="52">
        <f t="shared" si="47"/>
        <v>7761.6797812147188</v>
      </c>
      <c r="P180" s="6">
        <v>177</v>
      </c>
      <c r="Q180" s="52">
        <f t="shared" si="61"/>
        <v>-23495.203371641008</v>
      </c>
      <c r="R180" s="52">
        <f t="shared" si="62"/>
        <v>10183.175846850303</v>
      </c>
      <c r="T180" s="6">
        <v>177</v>
      </c>
      <c r="U180" s="52">
        <f t="shared" si="48"/>
        <v>-9993.1476737728699</v>
      </c>
      <c r="V180" s="52">
        <f t="shared" si="49"/>
        <v>-14738.32021878528</v>
      </c>
      <c r="X180" s="6">
        <v>176</v>
      </c>
      <c r="Y180" s="55">
        <v>88</v>
      </c>
      <c r="Z180" s="52">
        <f t="shared" si="63"/>
        <v>-53762.852980296368</v>
      </c>
      <c r="AA180" s="52">
        <f t="shared" si="64"/>
        <v>15460.600699771512</v>
      </c>
      <c r="AB180" s="52">
        <f t="shared" si="65"/>
        <v>1239.573501527864</v>
      </c>
      <c r="AC180" s="52">
        <f t="shared" si="66"/>
        <v>891.43368452734694</v>
      </c>
      <c r="AD180" s="52">
        <f t="shared" si="50"/>
        <v>363.03585965791876</v>
      </c>
      <c r="AE180" s="52">
        <f t="shared" si="51"/>
        <v>-113.23235662695167</v>
      </c>
      <c r="AF180" s="52">
        <f t="shared" si="52"/>
        <v>92.055728612128988</v>
      </c>
      <c r="AG180" s="52">
        <f t="shared" si="53"/>
        <v>-9.9347960118007101</v>
      </c>
      <c r="AH180" s="52">
        <f t="shared" si="54"/>
        <v>142.51507031492537</v>
      </c>
      <c r="AI180" s="52">
        <f t="shared" si="55"/>
        <v>-23.04953000102886</v>
      </c>
      <c r="AJ180" s="52">
        <f t="shared" si="56"/>
        <v>128.46506073086439</v>
      </c>
      <c r="AK180" s="52">
        <f t="shared" si="57"/>
        <v>-80.248030614122101</v>
      </c>
      <c r="AM180" s="52">
        <f t="shared" si="58"/>
        <v>74191.169577612251</v>
      </c>
      <c r="AN180" s="57">
        <f t="shared" si="59"/>
        <v>34201.584778653931</v>
      </c>
      <c r="AO180" s="57">
        <f t="shared" si="60"/>
        <v>57494.90434611505</v>
      </c>
    </row>
    <row r="181" spans="12:41" x14ac:dyDescent="0.25">
      <c r="L181" s="6">
        <v>178</v>
      </c>
      <c r="M181" s="52">
        <f t="shared" si="46"/>
        <v>15003.045864904521</v>
      </c>
      <c r="N181" s="52">
        <f t="shared" si="47"/>
        <v>7674.4974835125031</v>
      </c>
      <c r="P181" s="6">
        <v>178</v>
      </c>
      <c r="Q181" s="52">
        <f t="shared" si="61"/>
        <v>-23497.867894566836</v>
      </c>
      <c r="R181" s="52">
        <f t="shared" si="62"/>
        <v>10122.148238458753</v>
      </c>
      <c r="T181" s="6">
        <v>178</v>
      </c>
      <c r="U181" s="52">
        <f t="shared" si="48"/>
        <v>-9996.9541350954787</v>
      </c>
      <c r="V181" s="52">
        <f t="shared" si="49"/>
        <v>-14825.502516487497</v>
      </c>
      <c r="X181" s="6">
        <v>177</v>
      </c>
      <c r="Y181" s="55">
        <v>88.5</v>
      </c>
      <c r="Z181" s="52">
        <f t="shared" si="63"/>
        <v>-53097.686747075197</v>
      </c>
      <c r="AA181" s="52">
        <f t="shared" si="64"/>
        <v>15892.163497456817</v>
      </c>
      <c r="AB181" s="52">
        <f t="shared" si="65"/>
        <v>1421.0914313568233</v>
      </c>
      <c r="AC181" s="52">
        <f t="shared" si="66"/>
        <v>834.81750621387107</v>
      </c>
      <c r="AD181" s="52">
        <f t="shared" si="50"/>
        <v>369.1437193123154</v>
      </c>
      <c r="AE181" s="52">
        <f t="shared" si="51"/>
        <v>-119.63088071190226</v>
      </c>
      <c r="AF181" s="52">
        <f t="shared" si="52"/>
        <v>93.484052695157715</v>
      </c>
      <c r="AG181" s="52">
        <f t="shared" si="53"/>
        <v>-10.732671436473645</v>
      </c>
      <c r="AH181" s="52">
        <f t="shared" si="54"/>
        <v>146.79906455372927</v>
      </c>
      <c r="AI181" s="52">
        <f t="shared" si="55"/>
        <v>-26.133672006570865</v>
      </c>
      <c r="AJ181" s="52">
        <f t="shared" si="56"/>
        <v>128.86060206342839</v>
      </c>
      <c r="AK181" s="52">
        <f t="shared" si="57"/>
        <v>-82.764537268857751</v>
      </c>
      <c r="AM181" s="52">
        <f t="shared" si="58"/>
        <v>73577.851395250604</v>
      </c>
      <c r="AN181" s="57">
        <f t="shared" si="59"/>
        <v>33618.067444281798</v>
      </c>
      <c r="AO181" s="57">
        <f t="shared" si="60"/>
        <v>57163.915505967365</v>
      </c>
    </row>
    <row r="182" spans="12:41" x14ac:dyDescent="0.25">
      <c r="L182" s="6">
        <v>179</v>
      </c>
      <c r="M182" s="52">
        <f t="shared" si="46"/>
        <v>15000.761524218044</v>
      </c>
      <c r="N182" s="52">
        <f t="shared" si="47"/>
        <v>7587.2620321864169</v>
      </c>
      <c r="P182" s="6">
        <v>179</v>
      </c>
      <c r="Q182" s="52">
        <f t="shared" si="61"/>
        <v>-23499.46693304737</v>
      </c>
      <c r="R182" s="52">
        <f t="shared" si="62"/>
        <v>10061.083422530492</v>
      </c>
      <c r="T182" s="6">
        <v>179</v>
      </c>
      <c r="U182" s="52">
        <f t="shared" si="48"/>
        <v>-9999.2384757819564</v>
      </c>
      <c r="V182" s="52">
        <f t="shared" si="49"/>
        <v>-14912.737967813582</v>
      </c>
      <c r="X182" s="6">
        <v>178</v>
      </c>
      <c r="Y182" s="55">
        <v>89</v>
      </c>
      <c r="Z182" s="52">
        <f t="shared" si="63"/>
        <v>-52340.998066482745</v>
      </c>
      <c r="AA182" s="52">
        <f t="shared" si="64"/>
        <v>16294.618390474765</v>
      </c>
      <c r="AB182" s="52">
        <f t="shared" si="65"/>
        <v>1605.6632910129811</v>
      </c>
      <c r="AC182" s="52">
        <f t="shared" si="66"/>
        <v>775.00206585791989</v>
      </c>
      <c r="AD182" s="52">
        <f t="shared" si="50"/>
        <v>376.70685270893</v>
      </c>
      <c r="AE182" s="52">
        <f t="shared" si="51"/>
        <v>-126.7883645236159</v>
      </c>
      <c r="AF182" s="52">
        <f t="shared" si="52"/>
        <v>95.174181944151982</v>
      </c>
      <c r="AG182" s="52">
        <f t="shared" si="53"/>
        <v>-11.570487457958384</v>
      </c>
      <c r="AH182" s="52">
        <f t="shared" si="54"/>
        <v>151.9860030883886</v>
      </c>
      <c r="AI182" s="52">
        <f t="shared" si="55"/>
        <v>-29.58145843762362</v>
      </c>
      <c r="AJ182" s="52">
        <f t="shared" si="56"/>
        <v>129.5466676763894</v>
      </c>
      <c r="AK182" s="52">
        <f t="shared" si="57"/>
        <v>-85.636418628033894</v>
      </c>
      <c r="AM182" s="52">
        <f t="shared" si="58"/>
        <v>72873.625639794656</v>
      </c>
      <c r="AN182" s="57">
        <f t="shared" si="59"/>
        <v>32947.87362817127</v>
      </c>
      <c r="AO182" s="57">
        <f t="shared" si="60"/>
        <v>56749.654079440559</v>
      </c>
    </row>
    <row r="183" spans="12:41" x14ac:dyDescent="0.25">
      <c r="L183" s="6">
        <v>180</v>
      </c>
      <c r="M183" s="52">
        <f t="shared" si="46"/>
        <v>15000</v>
      </c>
      <c r="N183" s="52">
        <f t="shared" si="47"/>
        <v>7500.0000000000009</v>
      </c>
      <c r="P183" s="6">
        <v>180</v>
      </c>
      <c r="Q183" s="52">
        <f t="shared" si="61"/>
        <v>-23500</v>
      </c>
      <c r="R183" s="52">
        <f t="shared" si="62"/>
        <v>10000</v>
      </c>
      <c r="T183" s="6">
        <v>180</v>
      </c>
      <c r="U183" s="52">
        <f t="shared" si="48"/>
        <v>-10000</v>
      </c>
      <c r="V183" s="52">
        <f t="shared" si="49"/>
        <v>-15000</v>
      </c>
      <c r="X183" s="6">
        <v>179</v>
      </c>
      <c r="Y183" s="55">
        <v>89.5</v>
      </c>
      <c r="Z183" s="52">
        <f t="shared" si="63"/>
        <v>-51491.078064387635</v>
      </c>
      <c r="AA183" s="52">
        <f t="shared" si="64"/>
        <v>16666.270877838273</v>
      </c>
      <c r="AB183" s="52">
        <f t="shared" si="65"/>
        <v>1794.0167173674461</v>
      </c>
      <c r="AC183" s="52">
        <f t="shared" si="66"/>
        <v>711.60788359611195</v>
      </c>
      <c r="AD183" s="52">
        <f t="shared" si="50"/>
        <v>385.90078312086575</v>
      </c>
      <c r="AE183" s="52">
        <f t="shared" si="51"/>
        <v>-134.85643136394404</v>
      </c>
      <c r="AF183" s="52">
        <f t="shared" si="52"/>
        <v>97.152094034421083</v>
      </c>
      <c r="AG183" s="52">
        <f t="shared" si="53"/>
        <v>-12.45641322497166</v>
      </c>
      <c r="AH183" s="52">
        <f t="shared" si="54"/>
        <v>158.21924844531924</v>
      </c>
      <c r="AI183" s="52">
        <f t="shared" si="55"/>
        <v>-33.493053685489954</v>
      </c>
      <c r="AJ183" s="52">
        <f t="shared" si="56"/>
        <v>130.5294406411254</v>
      </c>
      <c r="AK183" s="52">
        <f t="shared" si="57"/>
        <v>-88.906964453482431</v>
      </c>
      <c r="AM183" s="52">
        <f t="shared" si="58"/>
        <v>72076.312090826847</v>
      </c>
      <c r="AN183" s="57">
        <f t="shared" si="59"/>
        <v>32188.92923155523</v>
      </c>
      <c r="AO183" s="57">
        <f t="shared" si="60"/>
        <v>56250.982666062053</v>
      </c>
    </row>
    <row r="184" spans="12:41" x14ac:dyDescent="0.25">
      <c r="L184" s="6">
        <v>181</v>
      </c>
      <c r="M184" s="52">
        <f t="shared" si="46"/>
        <v>15000.761524218044</v>
      </c>
      <c r="N184" s="52">
        <f t="shared" si="47"/>
        <v>7412.737967813584</v>
      </c>
      <c r="P184" s="6">
        <v>181</v>
      </c>
      <c r="Q184" s="52">
        <f t="shared" si="61"/>
        <v>-23499.46693304737</v>
      </c>
      <c r="R184" s="52">
        <f t="shared" si="62"/>
        <v>9938.9165774695084</v>
      </c>
      <c r="T184" s="6">
        <v>181</v>
      </c>
      <c r="U184" s="52">
        <f t="shared" si="48"/>
        <v>-9999.2384757819564</v>
      </c>
      <c r="V184" s="52">
        <f t="shared" si="49"/>
        <v>-15087.262032186416</v>
      </c>
      <c r="X184" s="6">
        <v>180</v>
      </c>
      <c r="Y184" s="55">
        <v>90</v>
      </c>
      <c r="Z184" s="52">
        <f t="shared" si="63"/>
        <v>-50545.832107813803</v>
      </c>
      <c r="AA184" s="52">
        <f t="shared" si="64"/>
        <v>17005.217765715835</v>
      </c>
      <c r="AB184" s="52">
        <f t="shared" si="65"/>
        <v>1986.9671089278791</v>
      </c>
      <c r="AC184" s="52">
        <f t="shared" si="66"/>
        <v>644.17966791413994</v>
      </c>
      <c r="AD184" s="52">
        <f t="shared" si="50"/>
        <v>396.9519941950781</v>
      </c>
      <c r="AE184" s="52">
        <f t="shared" si="51"/>
        <v>-144.02588410628385</v>
      </c>
      <c r="AF184" s="52">
        <f t="shared" si="52"/>
        <v>99.449882173537176</v>
      </c>
      <c r="AG184" s="52">
        <f t="shared" si="53"/>
        <v>-13.399697169771558</v>
      </c>
      <c r="AH184" s="52">
        <f t="shared" si="54"/>
        <v>165.68389509581979</v>
      </c>
      <c r="AI184" s="52">
        <f t="shared" si="55"/>
        <v>-37.997058365332073</v>
      </c>
      <c r="AJ184" s="52">
        <f t="shared" si="56"/>
        <v>131.81821692572112</v>
      </c>
      <c r="AK184" s="52">
        <f t="shared" si="57"/>
        <v>-92.629128571180232</v>
      </c>
      <c r="AM184" s="52">
        <f t="shared" si="58"/>
        <v>71183.309789286504</v>
      </c>
      <c r="AN184" s="57">
        <f t="shared" si="59"/>
        <v>31338.808769700379</v>
      </c>
      <c r="AO184" s="57">
        <f t="shared" si="60"/>
        <v>55666.47812305046</v>
      </c>
    </row>
    <row r="185" spans="12:41" x14ac:dyDescent="0.25">
      <c r="L185" s="6">
        <v>182</v>
      </c>
      <c r="M185" s="52">
        <f t="shared" si="46"/>
        <v>15003.045864904521</v>
      </c>
      <c r="N185" s="52">
        <f t="shared" si="47"/>
        <v>7325.5025164874951</v>
      </c>
      <c r="P185" s="6">
        <v>182</v>
      </c>
      <c r="Q185" s="52">
        <f t="shared" si="61"/>
        <v>-23497.867894566836</v>
      </c>
      <c r="R185" s="52">
        <f t="shared" si="62"/>
        <v>9877.8517615412475</v>
      </c>
      <c r="T185" s="6">
        <v>182</v>
      </c>
      <c r="U185" s="52">
        <f t="shared" si="48"/>
        <v>-9996.9541350954787</v>
      </c>
      <c r="V185" s="52">
        <f t="shared" si="49"/>
        <v>-15174.497483512505</v>
      </c>
      <c r="X185" s="6">
        <v>181</v>
      </c>
      <c r="Y185" s="55">
        <v>90.5</v>
      </c>
      <c r="Z185" s="52">
        <f t="shared" si="63"/>
        <v>-49502.729554075479</v>
      </c>
      <c r="AA185" s="52">
        <f t="shared" si="64"/>
        <v>17309.30436415962</v>
      </c>
      <c r="AB185" s="52">
        <f t="shared" si="65"/>
        <v>2185.4431060254183</v>
      </c>
      <c r="AC185" s="52">
        <f t="shared" si="66"/>
        <v>572.16672586099799</v>
      </c>
      <c r="AD185" s="52">
        <f t="shared" si="50"/>
        <v>410.15297856719951</v>
      </c>
      <c r="AE185" s="52">
        <f t="shared" si="51"/>
        <v>-154.5409984586444</v>
      </c>
      <c r="AF185" s="52">
        <f t="shared" si="52"/>
        <v>102.10719641760862</v>
      </c>
      <c r="AG185" s="52">
        <f t="shared" si="53"/>
        <v>-14.410952977783015</v>
      </c>
      <c r="AH185" s="52">
        <f t="shared" si="54"/>
        <v>174.62034152236828</v>
      </c>
      <c r="AI185" s="52">
        <f t="shared" si="55"/>
        <v>-43.262208061835935</v>
      </c>
      <c r="AJ185" s="52">
        <f t="shared" si="56"/>
        <v>133.42544062722257</v>
      </c>
      <c r="AK185" s="52">
        <f t="shared" si="57"/>
        <v>-96.867837419025449</v>
      </c>
      <c r="AM185" s="52">
        <f t="shared" si="58"/>
        <v>70191.537008215455</v>
      </c>
      <c r="AN185" s="57">
        <f t="shared" si="59"/>
        <v>30394.686730230362</v>
      </c>
      <c r="AO185" s="57">
        <f t="shared" si="60"/>
        <v>54994.40049913343</v>
      </c>
    </row>
    <row r="186" spans="12:41" x14ac:dyDescent="0.25">
      <c r="L186" s="6">
        <v>183</v>
      </c>
      <c r="M186" s="52">
        <f t="shared" si="46"/>
        <v>15006.85232622713</v>
      </c>
      <c r="N186" s="52">
        <f t="shared" si="47"/>
        <v>7238.3202187852821</v>
      </c>
      <c r="P186" s="6">
        <v>183</v>
      </c>
      <c r="Q186" s="52">
        <f t="shared" si="61"/>
        <v>-23495.203371641008</v>
      </c>
      <c r="R186" s="52">
        <f t="shared" si="62"/>
        <v>9816.8241531496969</v>
      </c>
      <c r="T186" s="6">
        <v>183</v>
      </c>
      <c r="U186" s="52">
        <f t="shared" si="48"/>
        <v>-9993.1476737728699</v>
      </c>
      <c r="V186" s="52">
        <f t="shared" si="49"/>
        <v>-15261.679781214718</v>
      </c>
      <c r="X186" s="6">
        <v>182</v>
      </c>
      <c r="Y186" s="55">
        <v>91</v>
      </c>
      <c r="Z186" s="52">
        <f t="shared" si="63"/>
        <v>-48358.738878741875</v>
      </c>
      <c r="AA186" s="52">
        <f t="shared" si="64"/>
        <v>17576.070102282785</v>
      </c>
      <c r="AB186" s="52">
        <f t="shared" si="65"/>
        <v>2390.5195953090179</v>
      </c>
      <c r="AC186" s="52">
        <f t="shared" si="66"/>
        <v>494.8962266316758</v>
      </c>
      <c r="AD186" s="52">
        <f t="shared" si="50"/>
        <v>425.88347857013116</v>
      </c>
      <c r="AE186" s="52">
        <f t="shared" si="51"/>
        <v>-166.72031931113085</v>
      </c>
      <c r="AF186" s="52">
        <f t="shared" si="52"/>
        <v>105.17317551219837</v>
      </c>
      <c r="AG186" s="52">
        <f t="shared" si="53"/>
        <v>-15.502513749125884</v>
      </c>
      <c r="AH186" s="52">
        <f t="shared" si="54"/>
        <v>185.34356889792778</v>
      </c>
      <c r="AI186" s="52">
        <f t="shared" si="55"/>
        <v>-49.514750179196817</v>
      </c>
      <c r="AJ186" s="52">
        <f t="shared" si="56"/>
        <v>135.36673416000502</v>
      </c>
      <c r="AK186" s="52">
        <f t="shared" si="57"/>
        <v>-101.70305538280815</v>
      </c>
      <c r="AM186" s="52">
        <f t="shared" si="58"/>
        <v>69097.354289423645</v>
      </c>
      <c r="AN186" s="57">
        <f t="shared" si="59"/>
        <v>29353.277653225869</v>
      </c>
      <c r="AO186" s="57">
        <f t="shared" si="60"/>
        <v>54232.65234583096</v>
      </c>
    </row>
    <row r="187" spans="12:41" x14ac:dyDescent="0.25">
      <c r="L187" s="6">
        <v>184</v>
      </c>
      <c r="M187" s="52">
        <f t="shared" si="46"/>
        <v>15012.179748700877</v>
      </c>
      <c r="N187" s="52">
        <f t="shared" si="47"/>
        <v>7151.2176312793763</v>
      </c>
      <c r="P187" s="6">
        <v>184</v>
      </c>
      <c r="Q187" s="52">
        <f t="shared" si="61"/>
        <v>-23491.474175909385</v>
      </c>
      <c r="R187" s="52">
        <f t="shared" si="62"/>
        <v>9755.8523418955629</v>
      </c>
      <c r="T187" s="6">
        <v>184</v>
      </c>
      <c r="U187" s="52">
        <f t="shared" si="48"/>
        <v>-9987.8202512991229</v>
      </c>
      <c r="V187" s="52">
        <f t="shared" si="49"/>
        <v>-15348.782368720624</v>
      </c>
      <c r="X187" s="6">
        <v>183</v>
      </c>
      <c r="Y187" s="55">
        <v>91.5</v>
      </c>
      <c r="Z187" s="52">
        <f t="shared" si="63"/>
        <v>-47110.243646266099</v>
      </c>
      <c r="AA187" s="52">
        <f t="shared" si="64"/>
        <v>17802.67817568473</v>
      </c>
      <c r="AB187" s="52">
        <f t="shared" si="65"/>
        <v>2603.4613345940834</v>
      </c>
      <c r="AC187" s="52">
        <f t="shared" si="66"/>
        <v>411.53606697611036</v>
      </c>
      <c r="AD187" s="52">
        <f t="shared" si="50"/>
        <v>444.64084695901931</v>
      </c>
      <c r="AE187" s="52">
        <f t="shared" si="51"/>
        <v>-180.9876970571068</v>
      </c>
      <c r="AF187" s="52">
        <f t="shared" si="52"/>
        <v>108.70906533109753</v>
      </c>
      <c r="AG187" s="52">
        <f t="shared" si="53"/>
        <v>-16.68887570710077</v>
      </c>
      <c r="AH187" s="52">
        <f t="shared" si="54"/>
        <v>198.27090488514327</v>
      </c>
      <c r="AI187" s="52">
        <f t="shared" si="55"/>
        <v>-57.064926549770981</v>
      </c>
      <c r="AJ187" s="52">
        <f t="shared" si="56"/>
        <v>137.66087674277847</v>
      </c>
      <c r="AK187" s="52">
        <f t="shared" si="57"/>
        <v>-107.23389480023505</v>
      </c>
      <c r="AM187" s="52">
        <f t="shared" si="58"/>
        <v>67896.465149909898</v>
      </c>
      <c r="AN187" s="57">
        <f t="shared" si="59"/>
        <v>28210.76208246098</v>
      </c>
      <c r="AO187" s="57">
        <f t="shared" si="60"/>
        <v>53378.725307424102</v>
      </c>
    </row>
    <row r="188" spans="12:41" x14ac:dyDescent="0.25">
      <c r="L188" s="6">
        <v>185</v>
      </c>
      <c r="M188" s="52">
        <f t="shared" si="46"/>
        <v>15019.026509541272</v>
      </c>
      <c r="N188" s="52">
        <f t="shared" si="47"/>
        <v>7064.2212862617107</v>
      </c>
      <c r="P188" s="6">
        <v>185</v>
      </c>
      <c r="Q188" s="52">
        <f t="shared" si="61"/>
        <v>-23486.681443321111</v>
      </c>
      <c r="R188" s="52">
        <f t="shared" si="62"/>
        <v>9694.954900383198</v>
      </c>
      <c r="T188" s="6">
        <v>185</v>
      </c>
      <c r="U188" s="52">
        <f t="shared" si="48"/>
        <v>-9980.9734904587276</v>
      </c>
      <c r="V188" s="52">
        <f t="shared" si="49"/>
        <v>-15435.778713738289</v>
      </c>
      <c r="X188" s="6">
        <v>184</v>
      </c>
      <c r="Y188" s="55">
        <v>92</v>
      </c>
      <c r="Z188" s="52">
        <f t="shared" si="63"/>
        <v>-45752.932873099177</v>
      </c>
      <c r="AA188" s="52">
        <f t="shared" si="64"/>
        <v>17985.822747040649</v>
      </c>
      <c r="AB188" s="52">
        <f t="shared" si="65"/>
        <v>2825.7817580735932</v>
      </c>
      <c r="AC188" s="52">
        <f t="shared" si="66"/>
        <v>321.04221844755693</v>
      </c>
      <c r="AD188" s="52">
        <f t="shared" si="50"/>
        <v>467.0840568805254</v>
      </c>
      <c r="AE188" s="52">
        <f t="shared" si="51"/>
        <v>-197.91990709919588</v>
      </c>
      <c r="AF188" s="52">
        <f t="shared" si="52"/>
        <v>112.79181782573649</v>
      </c>
      <c r="AG188" s="52">
        <f t="shared" si="53"/>
        <v>-17.987258626467213</v>
      </c>
      <c r="AH188" s="52">
        <f t="shared" si="54"/>
        <v>213.96258677011829</v>
      </c>
      <c r="AI188" s="52">
        <f t="shared" si="55"/>
        <v>-66.348454401840087</v>
      </c>
      <c r="AJ188" s="52">
        <f t="shared" si="56"/>
        <v>140.3296522846706</v>
      </c>
      <c r="AK188" s="52">
        <f t="shared" si="57"/>
        <v>-113.58419407088859</v>
      </c>
      <c r="AM188" s="52">
        <f t="shared" si="58"/>
        <v>66583.786765973593</v>
      </c>
      <c r="AN188" s="57">
        <f t="shared" si="59"/>
        <v>26962.694904506563</v>
      </c>
      <c r="AO188" s="57">
        <f t="shared" si="60"/>
        <v>52429.629409891044</v>
      </c>
    </row>
    <row r="189" spans="12:41" x14ac:dyDescent="0.25">
      <c r="L189" s="6">
        <v>186</v>
      </c>
      <c r="M189" s="52">
        <f t="shared" si="46"/>
        <v>15027.390523158632</v>
      </c>
      <c r="N189" s="52">
        <f t="shared" si="47"/>
        <v>6977.3576836617349</v>
      </c>
      <c r="P189" s="6">
        <v>186</v>
      </c>
      <c r="Q189" s="52">
        <f t="shared" si="61"/>
        <v>-23480.826633788958</v>
      </c>
      <c r="R189" s="52">
        <f t="shared" si="62"/>
        <v>9634.150378563214</v>
      </c>
      <c r="T189" s="6">
        <v>186</v>
      </c>
      <c r="U189" s="52">
        <f t="shared" si="48"/>
        <v>-9972.6094768413677</v>
      </c>
      <c r="V189" s="52">
        <f t="shared" si="49"/>
        <v>-15522.642316338266</v>
      </c>
      <c r="X189" s="6">
        <v>185</v>
      </c>
      <c r="Y189" s="55">
        <v>92.5</v>
      </c>
      <c r="Z189" s="52">
        <f t="shared" si="63"/>
        <v>-44281.656486952321</v>
      </c>
      <c r="AA189" s="52">
        <f t="shared" si="64"/>
        <v>18121.603867877027</v>
      </c>
      <c r="AB189" s="52">
        <f t="shared" si="65"/>
        <v>3059.3237865138558</v>
      </c>
      <c r="AC189" s="52">
        <f t="shared" si="66"/>
        <v>222.08226489795899</v>
      </c>
      <c r="AD189" s="52">
        <f t="shared" si="50"/>
        <v>494.09839572319243</v>
      </c>
      <c r="AE189" s="52">
        <f t="shared" si="51"/>
        <v>-218.32198194557003</v>
      </c>
      <c r="AF189" s="52">
        <f t="shared" si="52"/>
        <v>117.51912057495946</v>
      </c>
      <c r="AG189" s="52">
        <f t="shared" si="53"/>
        <v>-19.418316419737256</v>
      </c>
      <c r="AH189" s="52">
        <f t="shared" si="54"/>
        <v>233.1818446670641</v>
      </c>
      <c r="AI189" s="52">
        <f t="shared" si="55"/>
        <v>-77.993466903065766</v>
      </c>
      <c r="AJ189" s="52">
        <f t="shared" si="56"/>
        <v>143.39743048116887</v>
      </c>
      <c r="AK189" s="52">
        <f t="shared" si="57"/>
        <v>-120.91019862276703</v>
      </c>
      <c r="AM189" s="52">
        <f t="shared" si="58"/>
        <v>65153.279498676347</v>
      </c>
      <c r="AN189" s="57">
        <f t="shared" si="59"/>
        <v>25603.892109151468</v>
      </c>
      <c r="AO189" s="57">
        <f t="shared" si="60"/>
        <v>51381.798130656054</v>
      </c>
    </row>
    <row r="190" spans="12:41" x14ac:dyDescent="0.25">
      <c r="L190" s="6">
        <v>187</v>
      </c>
      <c r="M190" s="52">
        <f t="shared" si="46"/>
        <v>15037.26924179339</v>
      </c>
      <c r="N190" s="52">
        <f t="shared" si="47"/>
        <v>6890.6532829742609</v>
      </c>
      <c r="P190" s="6">
        <v>187</v>
      </c>
      <c r="Q190" s="52">
        <f t="shared" si="61"/>
        <v>-23473.911530744626</v>
      </c>
      <c r="R190" s="52">
        <f t="shared" si="62"/>
        <v>9573.457298081983</v>
      </c>
      <c r="T190" s="6">
        <v>187</v>
      </c>
      <c r="U190" s="52">
        <f t="shared" si="48"/>
        <v>-9962.7307582066096</v>
      </c>
      <c r="V190" s="52">
        <f t="shared" si="49"/>
        <v>-15609.346717025739</v>
      </c>
      <c r="X190" s="6">
        <v>186</v>
      </c>
      <c r="Y190" s="55">
        <v>93</v>
      </c>
      <c r="Z190" s="52">
        <f t="shared" si="63"/>
        <v>-42690.232294229994</v>
      </c>
      <c r="AA190" s="52">
        <f t="shared" si="64"/>
        <v>18205.354752582811</v>
      </c>
      <c r="AB190" s="52">
        <f t="shared" si="65"/>
        <v>3306.3729843754518</v>
      </c>
      <c r="AC190" s="52">
        <f t="shared" si="66"/>
        <v>112.92127392517398</v>
      </c>
      <c r="AD190" s="52">
        <f t="shared" si="50"/>
        <v>526.8916606385942</v>
      </c>
      <c r="AE190" s="52">
        <f t="shared" si="51"/>
        <v>-243.35049561088607</v>
      </c>
      <c r="AF190" s="52">
        <f t="shared" si="52"/>
        <v>123.01656309531108</v>
      </c>
      <c r="AG190" s="52">
        <f t="shared" si="53"/>
        <v>-21.007035708495888</v>
      </c>
      <c r="AH190" s="52">
        <f t="shared" si="54"/>
        <v>256.98485497920893</v>
      </c>
      <c r="AI190" s="52">
        <f t="shared" si="55"/>
        <v>-92.9321425096946</v>
      </c>
      <c r="AJ190" s="52">
        <f t="shared" si="56"/>
        <v>146.89024256407419</v>
      </c>
      <c r="AK190" s="52">
        <f t="shared" si="57"/>
        <v>-129.41131739269559</v>
      </c>
      <c r="AM190" s="52">
        <f t="shared" si="58"/>
        <v>63597.718870122728</v>
      </c>
      <c r="AN190" s="57">
        <f t="shared" si="59"/>
        <v>24128.292276534019</v>
      </c>
      <c r="AO190" s="57">
        <f t="shared" si="60"/>
        <v>50230.958527962524</v>
      </c>
    </row>
    <row r="191" spans="12:41" x14ac:dyDescent="0.25">
      <c r="L191" s="6">
        <v>188</v>
      </c>
      <c r="M191" s="52">
        <f t="shared" si="46"/>
        <v>15048.659656292148</v>
      </c>
      <c r="N191" s="52">
        <f t="shared" si="47"/>
        <v>6804.1344951996725</v>
      </c>
      <c r="P191" s="6">
        <v>188</v>
      </c>
      <c r="Q191" s="52">
        <f t="shared" si="61"/>
        <v>-23465.938240595497</v>
      </c>
      <c r="R191" s="52">
        <f t="shared" si="62"/>
        <v>9512.89414663977</v>
      </c>
      <c r="T191" s="6">
        <v>188</v>
      </c>
      <c r="U191" s="52">
        <f t="shared" si="48"/>
        <v>-9951.3403437078523</v>
      </c>
      <c r="V191" s="52">
        <f t="shared" si="49"/>
        <v>-15695.865504800327</v>
      </c>
      <c r="X191" s="6">
        <v>187</v>
      </c>
      <c r="Y191" s="55">
        <v>93.5</v>
      </c>
      <c r="Z191" s="52">
        <f t="shared" si="63"/>
        <v>-40971.184344462439</v>
      </c>
      <c r="AA191" s="52">
        <f t="shared" si="64"/>
        <v>18231.396577594038</v>
      </c>
      <c r="AB191" s="52">
        <f t="shared" si="65"/>
        <v>3569.8188146947487</v>
      </c>
      <c r="AC191" s="52">
        <f t="shared" si="66"/>
        <v>-8.7539738802690579</v>
      </c>
      <c r="AD191" s="52">
        <f t="shared" si="50"/>
        <v>567.13775656829989</v>
      </c>
      <c r="AE191" s="52">
        <f t="shared" si="51"/>
        <v>-274.72304877617978</v>
      </c>
      <c r="AF191" s="52">
        <f t="shared" si="52"/>
        <v>129.44807840863299</v>
      </c>
      <c r="AG191" s="52">
        <f t="shared" si="53"/>
        <v>-22.783855694230024</v>
      </c>
      <c r="AH191" s="52">
        <f t="shared" si="54"/>
        <v>286.85575041930434</v>
      </c>
      <c r="AI191" s="52">
        <f t="shared" si="55"/>
        <v>-112.59370970567646</v>
      </c>
      <c r="AJ191" s="52">
        <f t="shared" si="56"/>
        <v>150.83392774036261</v>
      </c>
      <c r="AK191" s="52">
        <f t="shared" si="57"/>
        <v>-139.34548337627328</v>
      </c>
      <c r="AM191" s="52">
        <f t="shared" si="58"/>
        <v>61908.385481064026</v>
      </c>
      <c r="AN191" s="57">
        <f t="shared" si="59"/>
        <v>22528.791854581403</v>
      </c>
      <c r="AO191" s="57">
        <f t="shared" si="60"/>
        <v>48971.949334702091</v>
      </c>
    </row>
    <row r="192" spans="12:41" x14ac:dyDescent="0.25">
      <c r="L192" s="6">
        <v>189</v>
      </c>
      <c r="M192" s="52">
        <f t="shared" si="46"/>
        <v>15061.558297024312</v>
      </c>
      <c r="N192" s="52">
        <f t="shared" si="47"/>
        <v>6717.8276747988466</v>
      </c>
      <c r="P192" s="6">
        <v>189</v>
      </c>
      <c r="Q192" s="52">
        <f t="shared" si="61"/>
        <v>-23456.909192082981</v>
      </c>
      <c r="R192" s="52">
        <f t="shared" si="62"/>
        <v>9452.479372359192</v>
      </c>
      <c r="T192" s="6">
        <v>189</v>
      </c>
      <c r="U192" s="52">
        <f t="shared" si="48"/>
        <v>-9938.4417029756878</v>
      </c>
      <c r="V192" s="52">
        <f t="shared" si="49"/>
        <v>-15782.172325201154</v>
      </c>
      <c r="X192" s="6">
        <v>188</v>
      </c>
      <c r="Y192" s="55">
        <v>94</v>
      </c>
      <c r="Z192" s="52">
        <f t="shared" si="63"/>
        <v>-39115.382717544024</v>
      </c>
      <c r="AA192" s="52">
        <f t="shared" si="64"/>
        <v>18192.679209556882</v>
      </c>
      <c r="AB192" s="52">
        <f t="shared" si="65"/>
        <v>3853.3876929788985</v>
      </c>
      <c r="AC192" s="52">
        <f t="shared" si="66"/>
        <v>-146.11549826835895</v>
      </c>
      <c r="AD192" s="52">
        <f t="shared" si="50"/>
        <v>617.18770432476936</v>
      </c>
      <c r="AE192" s="52">
        <f t="shared" si="51"/>
        <v>-315.08917230295646</v>
      </c>
      <c r="AF192" s="52">
        <f t="shared" si="52"/>
        <v>137.03155194329531</v>
      </c>
      <c r="AG192" s="52">
        <f t="shared" si="53"/>
        <v>-24.786009311964438</v>
      </c>
      <c r="AH192" s="52">
        <f t="shared" si="54"/>
        <v>324.9055683409909</v>
      </c>
      <c r="AI192" s="52">
        <f t="shared" si="55"/>
        <v>-139.25157210550987</v>
      </c>
      <c r="AJ192" s="52">
        <f t="shared" si="56"/>
        <v>155.25058404048312</v>
      </c>
      <c r="AK192" s="52">
        <f t="shared" si="57"/>
        <v>-151.05159088548214</v>
      </c>
      <c r="AM192" s="52">
        <f t="shared" si="58"/>
        <v>60074.635766854153</v>
      </c>
      <c r="AN192" s="57">
        <f t="shared" si="59"/>
        <v>20797.06347225219</v>
      </c>
      <c r="AO192" s="57">
        <f t="shared" si="60"/>
        <v>47598.458914896088</v>
      </c>
    </row>
    <row r="193" spans="12:41" x14ac:dyDescent="0.25">
      <c r="L193" s="6">
        <v>190</v>
      </c>
      <c r="M193" s="52">
        <f t="shared" si="46"/>
        <v>15075.961234938961</v>
      </c>
      <c r="N193" s="52">
        <f t="shared" si="47"/>
        <v>6631.7591116653475</v>
      </c>
      <c r="P193" s="6">
        <v>190</v>
      </c>
      <c r="Q193" s="52">
        <f t="shared" si="61"/>
        <v>-23446.827135542728</v>
      </c>
      <c r="R193" s="52">
        <f t="shared" si="62"/>
        <v>9392.2313781657431</v>
      </c>
      <c r="T193" s="6">
        <v>190</v>
      </c>
      <c r="U193" s="52">
        <f t="shared" si="48"/>
        <v>-9924.0387650610392</v>
      </c>
      <c r="V193" s="52">
        <f t="shared" si="49"/>
        <v>-15868.240888334652</v>
      </c>
      <c r="X193" s="6">
        <v>189</v>
      </c>
      <c r="Y193" s="55">
        <v>94.5</v>
      </c>
      <c r="Z193" s="52">
        <f t="shared" si="63"/>
        <v>-37111.540408013978</v>
      </c>
      <c r="AA193" s="52">
        <f t="shared" si="64"/>
        <v>18080.235313884834</v>
      </c>
      <c r="AB193" s="52">
        <f t="shared" si="65"/>
        <v>4161.9815451412833</v>
      </c>
      <c r="AC193" s="52">
        <f t="shared" si="66"/>
        <v>-303.66008441983718</v>
      </c>
      <c r="AD193" s="52">
        <f t="shared" si="50"/>
        <v>680.35822779302407</v>
      </c>
      <c r="AE193" s="52">
        <f t="shared" si="51"/>
        <v>-368.71628484104701</v>
      </c>
      <c r="AF193" s="52">
        <f t="shared" si="52"/>
        <v>146.06284883611627</v>
      </c>
      <c r="AG193" s="52">
        <f t="shared" si="53"/>
        <v>-27.058967421681551</v>
      </c>
      <c r="AH193" s="52">
        <f t="shared" si="54"/>
        <v>374.14346882321371</v>
      </c>
      <c r="AI193" s="52">
        <f t="shared" si="55"/>
        <v>-176.67417410467837</v>
      </c>
      <c r="AJ193" s="52">
        <f t="shared" si="56"/>
        <v>160.15191013369403</v>
      </c>
      <c r="AK193" s="52">
        <f t="shared" si="57"/>
        <v>-164.98314331468708</v>
      </c>
      <c r="AM193" s="52">
        <f t="shared" si="58"/>
        <v>58083.297315780801</v>
      </c>
      <c r="AN193" s="57">
        <f t="shared" si="59"/>
        <v>18923.398686886208</v>
      </c>
      <c r="AO193" s="57">
        <f t="shared" si="60"/>
        <v>46102.635453925061</v>
      </c>
    </row>
    <row r="194" spans="12:41" x14ac:dyDescent="0.25">
      <c r="L194" s="6">
        <v>191</v>
      </c>
      <c r="M194" s="52">
        <f t="shared" si="46"/>
        <v>15091.86408276168</v>
      </c>
      <c r="N194" s="52">
        <f t="shared" si="47"/>
        <v>6545.9550231172761</v>
      </c>
      <c r="P194" s="6">
        <v>191</v>
      </c>
      <c r="Q194" s="52">
        <f t="shared" si="61"/>
        <v>-23435.695142066823</v>
      </c>
      <c r="R194" s="52">
        <f t="shared" si="62"/>
        <v>9332.1685161820933</v>
      </c>
      <c r="T194" s="6">
        <v>191</v>
      </c>
      <c r="U194" s="52">
        <f t="shared" si="48"/>
        <v>-9908.13591723832</v>
      </c>
      <c r="V194" s="52">
        <f t="shared" si="49"/>
        <v>-15954.044976882724</v>
      </c>
      <c r="X194" s="6">
        <v>190</v>
      </c>
      <c r="Y194" s="55">
        <v>95</v>
      </c>
      <c r="Z194" s="52">
        <f t="shared" si="63"/>
        <v>-34945.504856969208</v>
      </c>
      <c r="AA194" s="52">
        <f t="shared" si="64"/>
        <v>17882.315736069784</v>
      </c>
      <c r="AB194" s="52">
        <f t="shared" si="65"/>
        <v>4502.1606590377951</v>
      </c>
      <c r="AC194" s="52">
        <f t="shared" si="66"/>
        <v>-488.01822684036068</v>
      </c>
      <c r="AD194" s="52">
        <f t="shared" si="50"/>
        <v>761.2246867617614</v>
      </c>
      <c r="AE194" s="52">
        <f t="shared" si="51"/>
        <v>-442.81296143077395</v>
      </c>
      <c r="AF194" s="52">
        <f t="shared" si="52"/>
        <v>156.95404740546306</v>
      </c>
      <c r="AG194" s="52">
        <f t="shared" si="53"/>
        <v>-29.657503019755993</v>
      </c>
      <c r="AH194" s="52">
        <f t="shared" si="54"/>
        <v>438.74387237457557</v>
      </c>
      <c r="AI194" s="52">
        <f t="shared" si="55"/>
        <v>-231.39517616962058</v>
      </c>
      <c r="AJ194" s="52">
        <f t="shared" si="56"/>
        <v>165.5267669817228</v>
      </c>
      <c r="AK194" s="52">
        <f t="shared" si="57"/>
        <v>-181.76028224139739</v>
      </c>
      <c r="AM194" s="52">
        <f t="shared" si="58"/>
        <v>55917.805608148366</v>
      </c>
      <c r="AN194" s="57">
        <f t="shared" si="59"/>
        <v>16896.716154116559</v>
      </c>
      <c r="AO194" s="57">
        <f t="shared" si="60"/>
        <v>44474.486498501014</v>
      </c>
    </row>
    <row r="195" spans="12:41" x14ac:dyDescent="0.25">
      <c r="L195" s="6">
        <v>192</v>
      </c>
      <c r="M195" s="52">
        <f t="shared" si="46"/>
        <v>15109.261996330972</v>
      </c>
      <c r="N195" s="52">
        <f t="shared" si="47"/>
        <v>6460.4415459112042</v>
      </c>
      <c r="P195" s="6">
        <v>192</v>
      </c>
      <c r="Q195" s="52">
        <f t="shared" si="61"/>
        <v>-23423.516602568321</v>
      </c>
      <c r="R195" s="52">
        <f t="shared" si="62"/>
        <v>9272.3090821378428</v>
      </c>
      <c r="T195" s="6">
        <v>192</v>
      </c>
      <c r="U195" s="52">
        <f t="shared" si="48"/>
        <v>-9890.7380036690283</v>
      </c>
      <c r="V195" s="52">
        <f t="shared" si="49"/>
        <v>-16039.558454088796</v>
      </c>
      <c r="X195" s="6">
        <v>191</v>
      </c>
      <c r="Y195" s="55">
        <v>95.5</v>
      </c>
      <c r="Z195" s="52">
        <f t="shared" si="63"/>
        <v>-32599.271441605091</v>
      </c>
      <c r="AA195" s="52">
        <f t="shared" si="64"/>
        <v>17582.955002470757</v>
      </c>
      <c r="AB195" s="52">
        <f t="shared" si="65"/>
        <v>4882.7730024186758</v>
      </c>
      <c r="AC195" s="52">
        <f t="shared" si="66"/>
        <v>-709.42470755574766</v>
      </c>
      <c r="AD195" s="52">
        <f t="shared" si="50"/>
        <v>865.42294715669709</v>
      </c>
      <c r="AE195" s="52">
        <f t="shared" si="51"/>
        <v>-550.1556258532114</v>
      </c>
      <c r="AF195" s="52">
        <f t="shared" si="52"/>
        <v>170.29654422161957</v>
      </c>
      <c r="AG195" s="52">
        <f t="shared" si="53"/>
        <v>-32.644794222466587</v>
      </c>
      <c r="AH195" s="52">
        <f t="shared" si="54"/>
        <v>523.8086340156807</v>
      </c>
      <c r="AI195" s="52">
        <f t="shared" si="55"/>
        <v>-315.25769724511645</v>
      </c>
      <c r="AJ195" s="52">
        <f t="shared" si="56"/>
        <v>171.3177689193968</v>
      </c>
      <c r="AK195" s="52">
        <f t="shared" si="57"/>
        <v>-202.25313438562836</v>
      </c>
      <c r="AM195" s="52">
        <f t="shared" si="58"/>
        <v>53556.972821188305</v>
      </c>
      <c r="AN195" s="57">
        <f t="shared" si="59"/>
        <v>14705.197973123039</v>
      </c>
      <c r="AO195" s="57">
        <f t="shared" si="60"/>
        <v>42700.922013469833</v>
      </c>
    </row>
    <row r="196" spans="12:41" x14ac:dyDescent="0.25">
      <c r="L196" s="6">
        <v>193</v>
      </c>
      <c r="M196" s="52">
        <f t="shared" si="46"/>
        <v>15128.149676073823</v>
      </c>
      <c r="N196" s="52">
        <f t="shared" si="47"/>
        <v>6375.2447282806752</v>
      </c>
      <c r="P196" s="6">
        <v>193</v>
      </c>
      <c r="Q196" s="52">
        <f t="shared" si="61"/>
        <v>-23410.295226748323</v>
      </c>
      <c r="R196" s="52">
        <f t="shared" si="62"/>
        <v>9212.671309796473</v>
      </c>
      <c r="T196" s="6">
        <v>193</v>
      </c>
      <c r="U196" s="52">
        <f t="shared" si="48"/>
        <v>-9871.8503239261772</v>
      </c>
      <c r="V196" s="52">
        <f t="shared" si="49"/>
        <v>-16124.755271719325</v>
      </c>
      <c r="X196" s="6">
        <v>192</v>
      </c>
      <c r="Y196" s="55">
        <v>96</v>
      </c>
      <c r="Z196" s="52">
        <f t="shared" si="63"/>
        <v>-30049.707072001165</v>
      </c>
      <c r="AA196" s="52">
        <f t="shared" si="64"/>
        <v>17159.473195461229</v>
      </c>
      <c r="AB196" s="52">
        <f t="shared" si="65"/>
        <v>5315.4844759970247</v>
      </c>
      <c r="AC196" s="52">
        <f t="shared" si="66"/>
        <v>-984.50252048235336</v>
      </c>
      <c r="AD196" s="52">
        <f t="shared" si="50"/>
        <v>996.50594815350075</v>
      </c>
      <c r="AE196" s="52">
        <f t="shared" si="51"/>
        <v>-714.1601069526871</v>
      </c>
      <c r="AF196" s="52">
        <f t="shared" si="52"/>
        <v>186.96916079660997</v>
      </c>
      <c r="AG196" s="52">
        <f t="shared" si="53"/>
        <v>-36.084598746893789</v>
      </c>
      <c r="AH196" s="52">
        <f t="shared" si="54"/>
        <v>632.16027280277024</v>
      </c>
      <c r="AI196" s="52">
        <f t="shared" si="55"/>
        <v>-450.35487063859841</v>
      </c>
      <c r="AJ196" s="52">
        <f t="shared" si="56"/>
        <v>177.37651455412049</v>
      </c>
      <c r="AK196" s="52">
        <f t="shared" si="57"/>
        <v>-227.7206375671949</v>
      </c>
      <c r="AM196" s="52">
        <f t="shared" si="58"/>
        <v>50973.312629325534</v>
      </c>
      <c r="AN196" s="57">
        <f t="shared" si="59"/>
        <v>12339.151861840344</v>
      </c>
      <c r="AO196" s="57">
        <f t="shared" si="60"/>
        <v>40764.194345070217</v>
      </c>
    </row>
    <row r="197" spans="12:41" x14ac:dyDescent="0.25">
      <c r="L197" s="6">
        <v>194</v>
      </c>
      <c r="M197" s="52">
        <f t="shared" ref="M197:M260" si="67">$G$20*COS(L197*PI()/180)+$G$19</f>
        <v>15148.521368620019</v>
      </c>
      <c r="N197" s="52">
        <f t="shared" ref="N197:N260" si="68">$G$20*SIN(L197*PI()/180)+$H$19</f>
        <v>6290.3905220016622</v>
      </c>
      <c r="P197" s="6">
        <v>194</v>
      </c>
      <c r="Q197" s="52">
        <f t="shared" si="61"/>
        <v>-23396.035041965988</v>
      </c>
      <c r="R197" s="52">
        <f t="shared" si="62"/>
        <v>9153.2733654011645</v>
      </c>
      <c r="T197" s="6">
        <v>194</v>
      </c>
      <c r="U197" s="52">
        <f t="shared" ref="U197:U260" si="69">$G$40*COS(T197*PI()/180)+$G$39</f>
        <v>-9851.4786313799814</v>
      </c>
      <c r="V197" s="52">
        <f t="shared" ref="V197:V260" si="70">$G$40*SIN(T197*PI()/180)+$H$39</f>
        <v>-16209.609477998338</v>
      </c>
      <c r="X197" s="6">
        <v>193</v>
      </c>
      <c r="Y197" s="55">
        <v>96.5</v>
      </c>
      <c r="Z197" s="52">
        <f t="shared" si="63"/>
        <v>-27267.401590483467</v>
      </c>
      <c r="AA197" s="52">
        <f t="shared" si="64"/>
        <v>16577.951921850967</v>
      </c>
      <c r="AB197" s="52">
        <f t="shared" si="65"/>
        <v>5813.7374500737751</v>
      </c>
      <c r="AC197" s="52">
        <f t="shared" si="66"/>
        <v>-1341.5825739586969</v>
      </c>
      <c r="AD197" s="52">
        <f t="shared" ref="AD197:AD260" si="71">AF197+AH197+AJ197</f>
        <v>1138.5660752277256</v>
      </c>
      <c r="AE197" s="52">
        <f t="shared" ref="AE197:AE260" si="72">AG197+AI197+AK197</f>
        <v>-976.06836222899312</v>
      </c>
      <c r="AF197" s="52">
        <f t="shared" ref="AF197:AF260" si="73">(($G$19-Z197)/(AM197^2+$G$24^2)^(3/2))*$G$23</f>
        <v>208.32853317664552</v>
      </c>
      <c r="AG197" s="52">
        <f t="shared" ref="AG197:AG260" si="74">(($H$19-AA197)/(AM197^2+$G$24^2)^(3/2))*$G$23</f>
        <v>-40.010585403283173</v>
      </c>
      <c r="AH197" s="52">
        <f t="shared" ref="AH197:AH260" si="75">(($G$29-Z197)/(AN197^2+$G$34^2)^(3/2))*$G$33</f>
        <v>746.86142430072516</v>
      </c>
      <c r="AI197" s="52">
        <f t="shared" ref="AI197:AI260" si="76">(($H$29-AA197)/(AN197^2+$G$34^2)^(3/2))*$G$33</f>
        <v>-676.00757714676911</v>
      </c>
      <c r="AJ197" s="52">
        <f t="shared" ref="AJ197:AJ260" si="77">(($G$39-Z197)/(AO197^2+$G$44^2)^(3/2))*$G$43</f>
        <v>183.37611775035501</v>
      </c>
      <c r="AK197" s="52">
        <f t="shared" ref="AK197:AK260" si="78">(($H$39-AA197)/(AO197^2+$G$44^2)^(3/2))*$G$43</f>
        <v>-260.05019967894088</v>
      </c>
      <c r="AM197" s="52">
        <f t="shared" ref="AM197:AM260" si="79">SQRT(($G$19-Z197)^2+($H$19-AA197)^2)</f>
        <v>48131.242080497737</v>
      </c>
      <c r="AN197" s="57">
        <f t="shared" ref="AN197:AN260" si="80">SQRT(($G$29-Z197)^2+($H$29-AA197)^2)</f>
        <v>9802.2740914312562</v>
      </c>
      <c r="AO197" s="57">
        <f t="shared" ref="AO197:AO260" si="81">SQRT(($G$39-Z197)^2+($H$39-AA197)^2)</f>
        <v>38639.412795364748</v>
      </c>
    </row>
    <row r="198" spans="12:41" x14ac:dyDescent="0.25">
      <c r="L198" s="6">
        <v>195</v>
      </c>
      <c r="M198" s="52">
        <f t="shared" si="67"/>
        <v>15170.370868554659</v>
      </c>
      <c r="N198" s="52">
        <f t="shared" si="68"/>
        <v>6205.9047744873988</v>
      </c>
      <c r="P198" s="6">
        <v>195</v>
      </c>
      <c r="Q198" s="52">
        <f t="shared" ref="Q198:Q261" si="82">$G$30*COS(P198*PI()/180)+$G$29</f>
        <v>-23380.740392011739</v>
      </c>
      <c r="R198" s="52">
        <f t="shared" ref="R198:R261" si="83">$G$30*SIN(P198*PI()/180)+$H$29</f>
        <v>9094.1333421411782</v>
      </c>
      <c r="T198" s="6">
        <v>195</v>
      </c>
      <c r="U198" s="52">
        <f t="shared" si="69"/>
        <v>-9829.629131445341</v>
      </c>
      <c r="V198" s="52">
        <f t="shared" si="70"/>
        <v>-16294.095225512601</v>
      </c>
      <c r="X198" s="6">
        <v>194</v>
      </c>
      <c r="Y198" s="55">
        <v>97</v>
      </c>
      <c r="Z198" s="52">
        <f t="shared" ref="Z198:Z261" si="84">Z197+AB197*$G$4+((1/2)*AD197)*$G$4^2</f>
        <v>-24218.212106043113</v>
      </c>
      <c r="AA198" s="52">
        <f t="shared" ref="AA198:AA261" si="85">AA197+AC197*$G$4+((1/2)*AE197)*$G$4^2</f>
        <v>15785.152089592993</v>
      </c>
      <c r="AB198" s="52">
        <f t="shared" ref="AB198:AB261" si="86">AB197+AD197*$G$4</f>
        <v>6383.0204876876378</v>
      </c>
      <c r="AC198" s="52">
        <f t="shared" ref="AC198:AC261" si="87">AC197+AE197*$G$4</f>
        <v>-1829.6167550731934</v>
      </c>
      <c r="AD198" s="52">
        <f t="shared" si="71"/>
        <v>1179.7823602618782</v>
      </c>
      <c r="AE198" s="52">
        <f t="shared" si="72"/>
        <v>-1381.4144625677543</v>
      </c>
      <c r="AF198" s="52">
        <f t="shared" si="73"/>
        <v>236.53779039358682</v>
      </c>
      <c r="AG198" s="52">
        <f t="shared" si="74"/>
        <v>-44.320009222609535</v>
      </c>
      <c r="AH198" s="52">
        <f t="shared" si="75"/>
        <v>754.60759414851452</v>
      </c>
      <c r="AI198" s="52">
        <f t="shared" si="76"/>
        <v>-1034.9218081890363</v>
      </c>
      <c r="AJ198" s="52">
        <f t="shared" si="77"/>
        <v>188.6369757197769</v>
      </c>
      <c r="AK198" s="52">
        <f t="shared" si="78"/>
        <v>-302.17264515610844</v>
      </c>
      <c r="AM198" s="52">
        <f t="shared" si="79"/>
        <v>44987.709732800409</v>
      </c>
      <c r="AN198" s="57">
        <f t="shared" si="80"/>
        <v>7159.6995796814581</v>
      </c>
      <c r="AO198" s="57">
        <f t="shared" si="81"/>
        <v>36291.393824600258</v>
      </c>
    </row>
    <row r="199" spans="12:41" x14ac:dyDescent="0.25">
      <c r="L199" s="6">
        <v>196</v>
      </c>
      <c r="M199" s="52">
        <f t="shared" si="67"/>
        <v>15193.691520308406</v>
      </c>
      <c r="N199" s="52">
        <f t="shared" si="68"/>
        <v>6121.8132209150053</v>
      </c>
      <c r="P199" s="6">
        <v>196</v>
      </c>
      <c r="Q199" s="52">
        <f t="shared" si="82"/>
        <v>-23364.415935784116</v>
      </c>
      <c r="R199" s="52">
        <f t="shared" si="83"/>
        <v>9035.2692546405033</v>
      </c>
      <c r="T199" s="6">
        <v>196</v>
      </c>
      <c r="U199" s="52">
        <f t="shared" si="69"/>
        <v>-9806.3084796915937</v>
      </c>
      <c r="V199" s="52">
        <f t="shared" si="70"/>
        <v>-16378.186779084996</v>
      </c>
      <c r="X199" s="6">
        <v>195</v>
      </c>
      <c r="Y199" s="55">
        <v>97.5</v>
      </c>
      <c r="Z199" s="52">
        <f t="shared" si="84"/>
        <v>-20879.229067166558</v>
      </c>
      <c r="AA199" s="52">
        <f t="shared" si="85"/>
        <v>14697.666904235428</v>
      </c>
      <c r="AB199" s="52">
        <f t="shared" si="86"/>
        <v>6972.9116678185765</v>
      </c>
      <c r="AC199" s="52">
        <f t="shared" si="87"/>
        <v>-2520.3239863570707</v>
      </c>
      <c r="AD199" s="52">
        <f t="shared" si="71"/>
        <v>726.11022155803289</v>
      </c>
      <c r="AE199" s="52">
        <f t="shared" si="72"/>
        <v>-1792.6194909945477</v>
      </c>
      <c r="AF199" s="52">
        <f t="shared" si="73"/>
        <v>275.01140107205583</v>
      </c>
      <c r="AG199" s="52">
        <f t="shared" si="74"/>
        <v>-48.42166804397008</v>
      </c>
      <c r="AH199" s="52">
        <f t="shared" si="75"/>
        <v>259.31948799942188</v>
      </c>
      <c r="AI199" s="52">
        <f t="shared" si="76"/>
        <v>-1385.5280971589966</v>
      </c>
      <c r="AJ199" s="52">
        <f t="shared" si="77"/>
        <v>191.77933248655521</v>
      </c>
      <c r="AK199" s="52">
        <f t="shared" si="78"/>
        <v>-358.66972579158102</v>
      </c>
      <c r="AM199" s="52">
        <f t="shared" si="79"/>
        <v>41508.044738221543</v>
      </c>
      <c r="AN199" s="57">
        <f t="shared" si="80"/>
        <v>4779.2382338296802</v>
      </c>
      <c r="AO199" s="57">
        <f t="shared" si="81"/>
        <v>33676.421058694279</v>
      </c>
    </row>
    <row r="200" spans="12:41" x14ac:dyDescent="0.25">
      <c r="L200" s="6">
        <v>197</v>
      </c>
      <c r="M200" s="52">
        <f t="shared" si="67"/>
        <v>15218.476220184823</v>
      </c>
      <c r="N200" s="52">
        <f t="shared" si="68"/>
        <v>6038.1414763863177</v>
      </c>
      <c r="P200" s="6">
        <v>197</v>
      </c>
      <c r="Q200" s="52">
        <f t="shared" si="82"/>
        <v>-23347.066645870626</v>
      </c>
      <c r="R200" s="52">
        <f t="shared" si="83"/>
        <v>8976.6990334704224</v>
      </c>
      <c r="T200" s="6">
        <v>197</v>
      </c>
      <c r="U200" s="52">
        <f t="shared" si="69"/>
        <v>-9781.5237798151775</v>
      </c>
      <c r="V200" s="52">
        <f t="shared" si="70"/>
        <v>-16461.858523613682</v>
      </c>
      <c r="X200" s="6">
        <v>196</v>
      </c>
      <c r="Y200" s="55">
        <v>98</v>
      </c>
      <c r="Z200" s="52">
        <f t="shared" si="84"/>
        <v>-17302.009455562515</v>
      </c>
      <c r="AA200" s="52">
        <f t="shared" si="85"/>
        <v>13213.427474682574</v>
      </c>
      <c r="AB200" s="52">
        <f t="shared" si="86"/>
        <v>7335.9667785975926</v>
      </c>
      <c r="AC200" s="52">
        <f t="shared" si="87"/>
        <v>-3416.6337318543447</v>
      </c>
      <c r="AD200" s="52">
        <f t="shared" si="71"/>
        <v>-373.09525738450986</v>
      </c>
      <c r="AE200" s="52">
        <f t="shared" si="72"/>
        <v>-1547.8078146172302</v>
      </c>
      <c r="AF200" s="52">
        <f t="shared" si="73"/>
        <v>328.25991460917226</v>
      </c>
      <c r="AG200" s="52">
        <f t="shared" si="74"/>
        <v>-50.278503553521716</v>
      </c>
      <c r="AH200" s="52">
        <f t="shared" si="75"/>
        <v>-891.39518648909041</v>
      </c>
      <c r="AI200" s="52">
        <f t="shared" si="76"/>
        <v>-1061.6915574331847</v>
      </c>
      <c r="AJ200" s="52">
        <f t="shared" si="77"/>
        <v>190.04001449540831</v>
      </c>
      <c r="AK200" s="52">
        <f t="shared" si="78"/>
        <v>-435.83775363052371</v>
      </c>
      <c r="AM200" s="52">
        <f t="shared" si="79"/>
        <v>37737.026418775138</v>
      </c>
      <c r="AN200" s="57">
        <f t="shared" si="80"/>
        <v>4195.8633334415099</v>
      </c>
      <c r="AO200" s="57">
        <f t="shared" si="81"/>
        <v>30778.838940316171</v>
      </c>
    </row>
    <row r="201" spans="12:41" x14ac:dyDescent="0.25">
      <c r="L201" s="6">
        <v>198</v>
      </c>
      <c r="M201" s="52">
        <f t="shared" si="67"/>
        <v>15244.717418524233</v>
      </c>
      <c r="N201" s="52">
        <f t="shared" si="68"/>
        <v>5954.9150281252614</v>
      </c>
      <c r="P201" s="6">
        <v>198</v>
      </c>
      <c r="Q201" s="52">
        <f t="shared" si="82"/>
        <v>-23328.697807033037</v>
      </c>
      <c r="R201" s="52">
        <f t="shared" si="83"/>
        <v>8918.4405196876833</v>
      </c>
      <c r="T201" s="6">
        <v>198</v>
      </c>
      <c r="U201" s="52">
        <f t="shared" si="69"/>
        <v>-9755.2825814757671</v>
      </c>
      <c r="V201" s="52">
        <f t="shared" si="70"/>
        <v>-16545.084971874738</v>
      </c>
      <c r="X201" s="6">
        <v>197</v>
      </c>
      <c r="Y201" s="55">
        <v>98.5</v>
      </c>
      <c r="Z201" s="52">
        <f t="shared" si="84"/>
        <v>-13680.662973436783</v>
      </c>
      <c r="AA201" s="52">
        <f t="shared" si="85"/>
        <v>11311.634631928247</v>
      </c>
      <c r="AB201" s="52">
        <f t="shared" si="86"/>
        <v>7149.4191499053377</v>
      </c>
      <c r="AC201" s="52">
        <f t="shared" si="87"/>
        <v>-4190.5376391629597</v>
      </c>
      <c r="AD201" s="52">
        <f t="shared" si="71"/>
        <v>-737.46607856770697</v>
      </c>
      <c r="AE201" s="52">
        <f t="shared" si="72"/>
        <v>-857.17470080954286</v>
      </c>
      <c r="AF201" s="52">
        <f t="shared" si="73"/>
        <v>399.55779667928562</v>
      </c>
      <c r="AG201" s="52">
        <f t="shared" si="74"/>
        <v>-45.217884709717353</v>
      </c>
      <c r="AH201" s="52">
        <f t="shared" si="75"/>
        <v>-1314.8641562173948</v>
      </c>
      <c r="AI201" s="52">
        <f t="shared" si="76"/>
        <v>-272.91175582603591</v>
      </c>
      <c r="AJ201" s="52">
        <f t="shared" si="77"/>
        <v>177.84028097040218</v>
      </c>
      <c r="AK201" s="52">
        <f t="shared" si="78"/>
        <v>-539.04506027378955</v>
      </c>
      <c r="AM201" s="52">
        <f t="shared" si="79"/>
        <v>33895.657788241115</v>
      </c>
      <c r="AN201" s="57">
        <f t="shared" si="80"/>
        <v>6454.0224560320821</v>
      </c>
      <c r="AO201" s="57">
        <f t="shared" si="81"/>
        <v>27706.606191709627</v>
      </c>
    </row>
    <row r="202" spans="12:41" x14ac:dyDescent="0.25">
      <c r="L202" s="6">
        <v>199</v>
      </c>
      <c r="M202" s="52">
        <f t="shared" si="67"/>
        <v>15272.407122003417</v>
      </c>
      <c r="N202" s="52">
        <f t="shared" si="68"/>
        <v>5872.1592277142163</v>
      </c>
      <c r="P202" s="6">
        <v>199</v>
      </c>
      <c r="Q202" s="52">
        <f t="shared" si="82"/>
        <v>-23309.315014597611</v>
      </c>
      <c r="R202" s="52">
        <f t="shared" si="83"/>
        <v>8860.5114593999515</v>
      </c>
      <c r="T202" s="6">
        <v>199</v>
      </c>
      <c r="U202" s="52">
        <f t="shared" si="69"/>
        <v>-9727.5928779965834</v>
      </c>
      <c r="V202" s="52">
        <f t="shared" si="70"/>
        <v>-16627.840772285785</v>
      </c>
      <c r="X202" s="6">
        <v>198</v>
      </c>
      <c r="Y202" s="55">
        <v>99</v>
      </c>
      <c r="Z202" s="52">
        <f t="shared" si="84"/>
        <v>-10198.136658305079</v>
      </c>
      <c r="AA202" s="52">
        <f t="shared" si="85"/>
        <v>9109.2189747455759</v>
      </c>
      <c r="AB202" s="52">
        <f t="shared" si="86"/>
        <v>6780.6861106214837</v>
      </c>
      <c r="AC202" s="52">
        <f t="shared" si="87"/>
        <v>-4619.1249895677311</v>
      </c>
      <c r="AD202" s="52">
        <f t="shared" si="71"/>
        <v>-365.49134774368031</v>
      </c>
      <c r="AE202" s="52">
        <f t="shared" si="72"/>
        <v>-604.96674627800462</v>
      </c>
      <c r="AF202" s="52">
        <f t="shared" si="73"/>
        <v>489.31637245034125</v>
      </c>
      <c r="AG202" s="52">
        <f t="shared" si="74"/>
        <v>-26.075025757730234</v>
      </c>
      <c r="AH202" s="52">
        <f t="shared" si="75"/>
        <v>-999.19980496070491</v>
      </c>
      <c r="AI202" s="52">
        <f t="shared" si="76"/>
        <v>90.806022862078422</v>
      </c>
      <c r="AJ202" s="52">
        <f t="shared" si="77"/>
        <v>144.39208476668338</v>
      </c>
      <c r="AK202" s="52">
        <f t="shared" si="78"/>
        <v>-669.69774338235277</v>
      </c>
      <c r="AM202" s="52">
        <f t="shared" si="79"/>
        <v>30240.982843524616</v>
      </c>
      <c r="AN202" s="57">
        <f t="shared" si="80"/>
        <v>9842.2566418589213</v>
      </c>
      <c r="AO202" s="57">
        <f t="shared" si="81"/>
        <v>24663.233046189369</v>
      </c>
    </row>
    <row r="203" spans="12:41" x14ac:dyDescent="0.25">
      <c r="L203" s="6">
        <v>200</v>
      </c>
      <c r="M203" s="52">
        <f t="shared" si="67"/>
        <v>15301.536896070458</v>
      </c>
      <c r="N203" s="52">
        <f t="shared" si="68"/>
        <v>5789.8992833716566</v>
      </c>
      <c r="P203" s="6">
        <v>200</v>
      </c>
      <c r="Q203" s="52">
        <f t="shared" si="82"/>
        <v>-23288.924172750681</v>
      </c>
      <c r="R203" s="52">
        <f t="shared" si="83"/>
        <v>8802.9294983601594</v>
      </c>
      <c r="T203" s="6">
        <v>200</v>
      </c>
      <c r="U203" s="52">
        <f t="shared" si="69"/>
        <v>-9698.4631039295418</v>
      </c>
      <c r="V203" s="52">
        <f t="shared" si="70"/>
        <v>-16710.100716628342</v>
      </c>
      <c r="X203" s="6">
        <v>199</v>
      </c>
      <c r="Y203" s="55">
        <v>99.5</v>
      </c>
      <c r="Z203" s="52">
        <f t="shared" si="84"/>
        <v>-6853.4800214622965</v>
      </c>
      <c r="AA203" s="52">
        <f t="shared" si="85"/>
        <v>6724.0356366769593</v>
      </c>
      <c r="AB203" s="52">
        <f t="shared" si="86"/>
        <v>6597.9404367496436</v>
      </c>
      <c r="AC203" s="52">
        <f t="shared" si="87"/>
        <v>-4921.6083627067337</v>
      </c>
      <c r="AD203" s="52">
        <f t="shared" si="71"/>
        <v>1.5216956933088284</v>
      </c>
      <c r="AE203" s="52">
        <f t="shared" si="72"/>
        <v>-641.03549739573646</v>
      </c>
      <c r="AF203" s="52">
        <f t="shared" si="73"/>
        <v>596.92551396643682</v>
      </c>
      <c r="AG203" s="52">
        <f t="shared" si="74"/>
        <v>17.248897574021843</v>
      </c>
      <c r="AH203" s="52">
        <f t="shared" si="75"/>
        <v>-665.72185154956424</v>
      </c>
      <c r="AI203" s="52">
        <f t="shared" si="76"/>
        <v>165.89036985621993</v>
      </c>
      <c r="AJ203" s="52">
        <f t="shared" si="77"/>
        <v>70.318033276436239</v>
      </c>
      <c r="AK203" s="52">
        <f t="shared" si="78"/>
        <v>-824.17476482597817</v>
      </c>
      <c r="AM203" s="52">
        <f t="shared" si="79"/>
        <v>26864.688904884453</v>
      </c>
      <c r="AN203" s="57">
        <f t="shared" si="80"/>
        <v>13548.53977577855</v>
      </c>
      <c r="AO203" s="57">
        <f t="shared" si="81"/>
        <v>21802.961095538616</v>
      </c>
    </row>
    <row r="204" spans="12:41" x14ac:dyDescent="0.25">
      <c r="L204" s="6">
        <v>201</v>
      </c>
      <c r="M204" s="52">
        <f t="shared" si="67"/>
        <v>15332.097867513992</v>
      </c>
      <c r="N204" s="52">
        <f t="shared" si="68"/>
        <v>5708.1602522734975</v>
      </c>
      <c r="P204" s="6">
        <v>201</v>
      </c>
      <c r="Q204" s="52">
        <f t="shared" si="82"/>
        <v>-23267.531492740207</v>
      </c>
      <c r="R204" s="52">
        <f t="shared" si="83"/>
        <v>8745.712176591449</v>
      </c>
      <c r="T204" s="6">
        <v>201</v>
      </c>
      <c r="U204" s="52">
        <f t="shared" si="69"/>
        <v>-9667.9021324860078</v>
      </c>
      <c r="V204" s="52">
        <f t="shared" si="70"/>
        <v>-16791.839747726503</v>
      </c>
      <c r="X204" s="6">
        <v>200</v>
      </c>
      <c r="Y204" s="55">
        <v>100</v>
      </c>
      <c r="Z204" s="52">
        <f t="shared" si="84"/>
        <v>-3554.3195911258113</v>
      </c>
      <c r="AA204" s="52">
        <f t="shared" si="85"/>
        <v>4183.1020181491249</v>
      </c>
      <c r="AB204" s="52">
        <f t="shared" si="86"/>
        <v>6598.7012845962981</v>
      </c>
      <c r="AC204" s="52">
        <f t="shared" si="87"/>
        <v>-5242.1261114046019</v>
      </c>
      <c r="AD204" s="52">
        <f t="shared" si="71"/>
        <v>198.83077734145436</v>
      </c>
      <c r="AE204" s="52">
        <f t="shared" si="72"/>
        <v>-727.09628959588838</v>
      </c>
      <c r="AF204" s="52">
        <f t="shared" si="73"/>
        <v>717.87013111198235</v>
      </c>
      <c r="AG204" s="52">
        <f t="shared" si="74"/>
        <v>101.08982260788579</v>
      </c>
      <c r="AH204" s="52">
        <f t="shared" si="75"/>
        <v>-444.76971291207491</v>
      </c>
      <c r="AI204" s="52">
        <f t="shared" si="76"/>
        <v>157.31669235348778</v>
      </c>
      <c r="AJ204" s="52">
        <f t="shared" si="77"/>
        <v>-74.269640858453073</v>
      </c>
      <c r="AK204" s="52">
        <f t="shared" si="78"/>
        <v>-985.50280455726192</v>
      </c>
      <c r="AM204" s="52">
        <f t="shared" si="79"/>
        <v>23786.714435224123</v>
      </c>
      <c r="AN204" s="57">
        <f t="shared" si="80"/>
        <v>17444.1023340867</v>
      </c>
      <c r="AO204" s="57">
        <f t="shared" si="81"/>
        <v>19237.499704569713</v>
      </c>
    </row>
    <row r="205" spans="12:41" x14ac:dyDescent="0.25">
      <c r="L205" s="6">
        <v>202</v>
      </c>
      <c r="M205" s="52">
        <f t="shared" si="67"/>
        <v>15364.080727166063</v>
      </c>
      <c r="N205" s="52">
        <f t="shared" si="68"/>
        <v>5626.96703292044</v>
      </c>
      <c r="P205" s="6">
        <v>202</v>
      </c>
      <c r="Q205" s="52">
        <f t="shared" si="82"/>
        <v>-23245.143490983755</v>
      </c>
      <c r="R205" s="52">
        <f t="shared" si="83"/>
        <v>8688.8769230443086</v>
      </c>
      <c r="T205" s="6">
        <v>202</v>
      </c>
      <c r="U205" s="52">
        <f t="shared" si="69"/>
        <v>-9635.9192728339367</v>
      </c>
      <c r="V205" s="52">
        <f t="shared" si="70"/>
        <v>-16873.032967079562</v>
      </c>
      <c r="X205" s="6">
        <v>201</v>
      </c>
      <c r="Y205" s="55">
        <v>100.5</v>
      </c>
      <c r="Z205" s="52">
        <f t="shared" si="84"/>
        <v>-230.11510165998038</v>
      </c>
      <c r="AA205" s="52">
        <f t="shared" si="85"/>
        <v>1471.1519262473378</v>
      </c>
      <c r="AB205" s="52">
        <f t="shared" si="86"/>
        <v>6698.1166732670254</v>
      </c>
      <c r="AC205" s="52">
        <f t="shared" si="87"/>
        <v>-5605.6742562025465</v>
      </c>
      <c r="AD205" s="52">
        <f t="shared" si="71"/>
        <v>205.92195934375667</v>
      </c>
      <c r="AE205" s="52">
        <f t="shared" si="72"/>
        <v>-722.85998960165966</v>
      </c>
      <c r="AF205" s="52">
        <f t="shared" si="73"/>
        <v>831.15109561281395</v>
      </c>
      <c r="AG205" s="52">
        <f t="shared" si="74"/>
        <v>247.69427443206001</v>
      </c>
      <c r="AH205" s="52">
        <f t="shared" si="75"/>
        <v>-305.94418250564115</v>
      </c>
      <c r="AI205" s="52">
        <f t="shared" si="76"/>
        <v>131.98617316472919</v>
      </c>
      <c r="AJ205" s="52">
        <f t="shared" si="77"/>
        <v>-319.28495376341613</v>
      </c>
      <c r="AK205" s="52">
        <f t="shared" si="78"/>
        <v>-1102.5404371984489</v>
      </c>
      <c r="AM205" s="52">
        <f t="shared" si="79"/>
        <v>21109.347837458226</v>
      </c>
      <c r="AN205" s="57">
        <f t="shared" si="80"/>
        <v>21531.130912210981</v>
      </c>
      <c r="AO205" s="57">
        <f t="shared" si="81"/>
        <v>17147.905053414939</v>
      </c>
    </row>
    <row r="206" spans="12:41" x14ac:dyDescent="0.25">
      <c r="L206" s="6">
        <v>203</v>
      </c>
      <c r="M206" s="52">
        <f t="shared" si="67"/>
        <v>15397.475732737799</v>
      </c>
      <c r="N206" s="52">
        <f t="shared" si="68"/>
        <v>5546.3443575536321</v>
      </c>
      <c r="P206" s="6">
        <v>203</v>
      </c>
      <c r="Q206" s="52">
        <f t="shared" si="82"/>
        <v>-23221.766987083542</v>
      </c>
      <c r="R206" s="52">
        <f t="shared" si="83"/>
        <v>8632.4410502875435</v>
      </c>
      <c r="T206" s="6">
        <v>203</v>
      </c>
      <c r="U206" s="52">
        <f t="shared" si="69"/>
        <v>-9602.5242672622007</v>
      </c>
      <c r="V206" s="52">
        <f t="shared" si="70"/>
        <v>-16953.655642446367</v>
      </c>
      <c r="X206" s="6">
        <v>202</v>
      </c>
      <c r="Y206" s="55">
        <v>101</v>
      </c>
      <c r="Z206" s="52">
        <f t="shared" si="84"/>
        <v>3144.683479891502</v>
      </c>
      <c r="AA206" s="52">
        <f t="shared" si="85"/>
        <v>-1422.042700554143</v>
      </c>
      <c r="AB206" s="52">
        <f t="shared" si="86"/>
        <v>6801.0776529389041</v>
      </c>
      <c r="AC206" s="52">
        <f t="shared" si="87"/>
        <v>-5967.1042510033767</v>
      </c>
      <c r="AD206" s="52">
        <f t="shared" si="71"/>
        <v>17.146123605193907</v>
      </c>
      <c r="AE206" s="52">
        <f t="shared" si="72"/>
        <v>-507.41166177708033</v>
      </c>
      <c r="AF206" s="52">
        <f t="shared" si="73"/>
        <v>883.83971277168871</v>
      </c>
      <c r="AG206" s="52">
        <f t="shared" si="74"/>
        <v>467.84381938997575</v>
      </c>
      <c r="AH206" s="52">
        <f t="shared" si="75"/>
        <v>-217.34912673953446</v>
      </c>
      <c r="AI206" s="52">
        <f t="shared" si="76"/>
        <v>107.26312194781221</v>
      </c>
      <c r="AJ206" s="52">
        <f t="shared" si="77"/>
        <v>-649.34446242696038</v>
      </c>
      <c r="AK206" s="52">
        <f t="shared" si="78"/>
        <v>-1082.5186031148683</v>
      </c>
      <c r="AM206" s="52">
        <f t="shared" si="79"/>
        <v>19071.039325206006</v>
      </c>
      <c r="AN206" s="57">
        <f t="shared" si="80"/>
        <v>25809.677116105981</v>
      </c>
      <c r="AO206" s="57">
        <f t="shared" si="81"/>
        <v>15833.407511120044</v>
      </c>
    </row>
    <row r="207" spans="12:41" x14ac:dyDescent="0.25">
      <c r="L207" s="6">
        <v>204</v>
      </c>
      <c r="M207" s="52">
        <f t="shared" si="67"/>
        <v>15432.272711786994</v>
      </c>
      <c r="N207" s="52">
        <f t="shared" si="68"/>
        <v>5466.3167846210008</v>
      </c>
      <c r="P207" s="6">
        <v>204</v>
      </c>
      <c r="Q207" s="52">
        <f t="shared" si="82"/>
        <v>-23197.409101749105</v>
      </c>
      <c r="R207" s="52">
        <f t="shared" si="83"/>
        <v>8576.4217492347016</v>
      </c>
      <c r="T207" s="6">
        <v>204</v>
      </c>
      <c r="U207" s="52">
        <f t="shared" si="69"/>
        <v>-9567.7272882130055</v>
      </c>
      <c r="V207" s="52">
        <f t="shared" si="70"/>
        <v>-17033.683215378998</v>
      </c>
      <c r="X207" s="6">
        <v>203</v>
      </c>
      <c r="Y207" s="55">
        <v>101.5</v>
      </c>
      <c r="Z207" s="52">
        <f t="shared" si="84"/>
        <v>6547.3655718116033</v>
      </c>
      <c r="AA207" s="52">
        <f t="shared" si="85"/>
        <v>-4469.0212837779663</v>
      </c>
      <c r="AB207" s="52">
        <f t="shared" si="86"/>
        <v>6809.6507147415014</v>
      </c>
      <c r="AC207" s="52">
        <f t="shared" si="87"/>
        <v>-6220.8100818919165</v>
      </c>
      <c r="AD207" s="52">
        <f t="shared" si="71"/>
        <v>-300.02503928754675</v>
      </c>
      <c r="AE207" s="52">
        <f t="shared" si="72"/>
        <v>-59.15369107999868</v>
      </c>
      <c r="AF207" s="52">
        <f t="shared" si="73"/>
        <v>806.12539360847916</v>
      </c>
      <c r="AG207" s="52">
        <f t="shared" si="74"/>
        <v>717.22249236747439</v>
      </c>
      <c r="AH207" s="52">
        <f t="shared" si="75"/>
        <v>-159.51327072875691</v>
      </c>
      <c r="AI207" s="52">
        <f t="shared" si="76"/>
        <v>86.93898093112827</v>
      </c>
      <c r="AJ207" s="52">
        <f t="shared" si="77"/>
        <v>-946.63716216726903</v>
      </c>
      <c r="AK207" s="52">
        <f t="shared" si="78"/>
        <v>-863.31516437860137</v>
      </c>
      <c r="AM207" s="52">
        <f t="shared" si="79"/>
        <v>18006.411179077571</v>
      </c>
      <c r="AN207" s="57">
        <f t="shared" si="80"/>
        <v>30234.338023410201</v>
      </c>
      <c r="AO207" s="57">
        <f t="shared" si="81"/>
        <v>15628.280915397618</v>
      </c>
    </row>
    <row r="208" spans="12:41" x14ac:dyDescent="0.25">
      <c r="L208" s="6">
        <v>205</v>
      </c>
      <c r="M208" s="52">
        <f t="shared" si="67"/>
        <v>15468.461064816751</v>
      </c>
      <c r="N208" s="52">
        <f t="shared" si="68"/>
        <v>5386.9086912965031</v>
      </c>
      <c r="P208" s="6">
        <v>205</v>
      </c>
      <c r="Q208" s="52">
        <f t="shared" si="82"/>
        <v>-23172.077254628275</v>
      </c>
      <c r="R208" s="52">
        <f t="shared" si="83"/>
        <v>8520.8360839075522</v>
      </c>
      <c r="T208" s="6">
        <v>205</v>
      </c>
      <c r="U208" s="52">
        <f t="shared" si="69"/>
        <v>-9531.5389351832491</v>
      </c>
      <c r="V208" s="52">
        <f t="shared" si="70"/>
        <v>-17113.091308703497</v>
      </c>
      <c r="X208" s="6">
        <v>204</v>
      </c>
      <c r="Y208" s="55">
        <v>102</v>
      </c>
      <c r="Z208" s="52">
        <f t="shared" si="84"/>
        <v>9914.6877992714108</v>
      </c>
      <c r="AA208" s="52">
        <f t="shared" si="85"/>
        <v>-7586.8205361089249</v>
      </c>
      <c r="AB208" s="52">
        <f t="shared" si="86"/>
        <v>6659.6381950977284</v>
      </c>
      <c r="AC208" s="52">
        <f t="shared" si="87"/>
        <v>-6250.3869274319159</v>
      </c>
      <c r="AD208" s="52">
        <f t="shared" si="71"/>
        <v>-592.61873185475724</v>
      </c>
      <c r="AE208" s="52">
        <f t="shared" si="72"/>
        <v>429.78928081012612</v>
      </c>
      <c r="AF208" s="52">
        <f t="shared" si="73"/>
        <v>593.61883919603031</v>
      </c>
      <c r="AG208" s="52">
        <f t="shared" si="74"/>
        <v>888.00631210571919</v>
      </c>
      <c r="AH208" s="52">
        <f t="shared" si="75"/>
        <v>-121.1028984938299</v>
      </c>
      <c r="AI208" s="52">
        <f t="shared" si="76"/>
        <v>71.196295161251015</v>
      </c>
      <c r="AJ208" s="52">
        <f t="shared" si="77"/>
        <v>-1065.1346725569576</v>
      </c>
      <c r="AK208" s="52">
        <f t="shared" si="78"/>
        <v>-529.41332645684406</v>
      </c>
      <c r="AM208" s="52">
        <f t="shared" si="79"/>
        <v>18147.332478216267</v>
      </c>
      <c r="AN208" s="57">
        <f t="shared" si="80"/>
        <v>34701.366006213364</v>
      </c>
      <c r="AO208" s="57">
        <f t="shared" si="81"/>
        <v>16655.423798678672</v>
      </c>
    </row>
    <row r="209" spans="12:41" x14ac:dyDescent="0.25">
      <c r="L209" s="6">
        <v>206</v>
      </c>
      <c r="M209" s="52">
        <f t="shared" si="67"/>
        <v>15506.029768504164</v>
      </c>
      <c r="N209" s="52">
        <f t="shared" si="68"/>
        <v>5308.1442660546145</v>
      </c>
      <c r="P209" s="6">
        <v>206</v>
      </c>
      <c r="Q209" s="52">
        <f t="shared" si="82"/>
        <v>-23145.779162047085</v>
      </c>
      <c r="R209" s="52">
        <f t="shared" si="83"/>
        <v>8465.7009862382292</v>
      </c>
      <c r="T209" s="6">
        <v>206</v>
      </c>
      <c r="U209" s="52">
        <f t="shared" si="69"/>
        <v>-9493.9702314958358</v>
      </c>
      <c r="V209" s="52">
        <f t="shared" si="70"/>
        <v>-17191.855733945384</v>
      </c>
      <c r="X209" s="6">
        <v>205</v>
      </c>
      <c r="Y209" s="55">
        <v>102.5</v>
      </c>
      <c r="Z209" s="52">
        <f t="shared" si="84"/>
        <v>13170.429555338431</v>
      </c>
      <c r="AA209" s="52">
        <f t="shared" si="85"/>
        <v>-10658.290339723617</v>
      </c>
      <c r="AB209" s="52">
        <f t="shared" si="86"/>
        <v>6363.3288291703502</v>
      </c>
      <c r="AC209" s="52">
        <f t="shared" si="87"/>
        <v>-6035.4922870268529</v>
      </c>
      <c r="AD209" s="52">
        <f t="shared" si="71"/>
        <v>-751.21102556158917</v>
      </c>
      <c r="AE209" s="52">
        <f t="shared" si="72"/>
        <v>734.82238336822013</v>
      </c>
      <c r="AF209" s="52">
        <f t="shared" si="73"/>
        <v>343.93798062518255</v>
      </c>
      <c r="AG209" s="52">
        <f t="shared" si="74"/>
        <v>914.45366317760841</v>
      </c>
      <c r="AH209" s="52">
        <f t="shared" si="75"/>
        <v>-95.212070679210015</v>
      </c>
      <c r="AI209" s="52">
        <f t="shared" si="76"/>
        <v>59.297350872589213</v>
      </c>
      <c r="AJ209" s="52">
        <f t="shared" si="77"/>
        <v>-999.93693550756166</v>
      </c>
      <c r="AK209" s="52">
        <f t="shared" si="78"/>
        <v>-238.92863068197747</v>
      </c>
      <c r="AM209" s="52">
        <f t="shared" si="79"/>
        <v>19400.168569378329</v>
      </c>
      <c r="AN209" s="57">
        <f t="shared" si="80"/>
        <v>39077.389327410128</v>
      </c>
      <c r="AO209" s="57">
        <f t="shared" si="81"/>
        <v>18681.941895842989</v>
      </c>
    </row>
    <row r="210" spans="12:41" x14ac:dyDescent="0.25">
      <c r="L210" s="6">
        <v>207</v>
      </c>
      <c r="M210" s="52">
        <f t="shared" si="67"/>
        <v>15544.967379058158</v>
      </c>
      <c r="N210" s="52">
        <f t="shared" si="68"/>
        <v>5230.0475013022688</v>
      </c>
      <c r="P210" s="6">
        <v>207</v>
      </c>
      <c r="Q210" s="52">
        <f t="shared" si="82"/>
        <v>-23118.522834659288</v>
      </c>
      <c r="R210" s="52">
        <f t="shared" si="83"/>
        <v>8411.0332509115888</v>
      </c>
      <c r="T210" s="6">
        <v>207</v>
      </c>
      <c r="U210" s="52">
        <f t="shared" si="69"/>
        <v>-9455.0326209418417</v>
      </c>
      <c r="V210" s="52">
        <f t="shared" si="70"/>
        <v>-17269.95249869773</v>
      </c>
      <c r="X210" s="6">
        <v>206</v>
      </c>
      <c r="Y210" s="55">
        <v>103</v>
      </c>
      <c r="Z210" s="52">
        <f t="shared" si="84"/>
        <v>16258.192591728408</v>
      </c>
      <c r="AA210" s="52">
        <f t="shared" si="85"/>
        <v>-13584.183685316017</v>
      </c>
      <c r="AB210" s="52">
        <f t="shared" si="86"/>
        <v>5987.7233163895553</v>
      </c>
      <c r="AC210" s="52">
        <f t="shared" si="87"/>
        <v>-5668.0810953427426</v>
      </c>
      <c r="AD210" s="52">
        <f t="shared" si="71"/>
        <v>-782.795809701807</v>
      </c>
      <c r="AE210" s="52">
        <f t="shared" si="72"/>
        <v>829.80041722398403</v>
      </c>
      <c r="AF210" s="52">
        <f t="shared" si="73"/>
        <v>148.42055618045737</v>
      </c>
      <c r="AG210" s="52">
        <f t="shared" si="74"/>
        <v>836.31409309519233</v>
      </c>
      <c r="AH210" s="52">
        <f t="shared" si="75"/>
        <v>-77.40893196876435</v>
      </c>
      <c r="AI210" s="52">
        <f t="shared" si="76"/>
        <v>50.350730136833967</v>
      </c>
      <c r="AJ210" s="52">
        <f t="shared" si="77"/>
        <v>-853.80743391350006</v>
      </c>
      <c r="AK210" s="52">
        <f t="shared" si="78"/>
        <v>-56.864406008042252</v>
      </c>
      <c r="AM210" s="52">
        <f t="shared" si="79"/>
        <v>21413.638746293032</v>
      </c>
      <c r="AN210" s="57">
        <f t="shared" si="80"/>
        <v>43253.557658550992</v>
      </c>
      <c r="AO210" s="57">
        <f t="shared" si="81"/>
        <v>21305.287796787492</v>
      </c>
    </row>
    <row r="211" spans="12:41" x14ac:dyDescent="0.25">
      <c r="L211" s="6">
        <v>208</v>
      </c>
      <c r="M211" s="52">
        <f t="shared" si="67"/>
        <v>15585.262035705366</v>
      </c>
      <c r="N211" s="52">
        <f t="shared" si="68"/>
        <v>5152.6421860705459</v>
      </c>
      <c r="P211" s="6">
        <v>208</v>
      </c>
      <c r="Q211" s="52">
        <f t="shared" si="82"/>
        <v>-23090.316575006244</v>
      </c>
      <c r="R211" s="52">
        <f t="shared" si="83"/>
        <v>8356.849530249383</v>
      </c>
      <c r="T211" s="6">
        <v>208</v>
      </c>
      <c r="U211" s="52">
        <f t="shared" si="69"/>
        <v>-9414.7379642946344</v>
      </c>
      <c r="V211" s="52">
        <f t="shared" si="70"/>
        <v>-17347.357813929455</v>
      </c>
      <c r="X211" s="6">
        <v>207</v>
      </c>
      <c r="Y211" s="55">
        <v>103.5</v>
      </c>
      <c r="Z211" s="52">
        <f t="shared" si="84"/>
        <v>19154.204773710459</v>
      </c>
      <c r="AA211" s="52">
        <f t="shared" si="85"/>
        <v>-16314.499180834389</v>
      </c>
      <c r="AB211" s="52">
        <f t="shared" si="86"/>
        <v>5596.3254115386517</v>
      </c>
      <c r="AC211" s="52">
        <f t="shared" si="87"/>
        <v>-5253.1808867307509</v>
      </c>
      <c r="AD211" s="52">
        <f t="shared" si="71"/>
        <v>-744.36067148222344</v>
      </c>
      <c r="AE211" s="52">
        <f t="shared" si="72"/>
        <v>804.42454178324783</v>
      </c>
      <c r="AF211" s="52">
        <f t="shared" si="73"/>
        <v>25.659583991621794</v>
      </c>
      <c r="AG211" s="52">
        <f t="shared" si="74"/>
        <v>722.48000810995427</v>
      </c>
      <c r="AH211" s="52">
        <f t="shared" si="75"/>
        <v>-64.824759709057844</v>
      </c>
      <c r="AI211" s="52">
        <f t="shared" si="76"/>
        <v>43.566996089450527</v>
      </c>
      <c r="AJ211" s="52">
        <f t="shared" si="77"/>
        <v>-705.19549576478744</v>
      </c>
      <c r="AK211" s="52">
        <f t="shared" si="78"/>
        <v>38.377537583843036</v>
      </c>
      <c r="AM211" s="52">
        <f t="shared" si="79"/>
        <v>23829.514069715649</v>
      </c>
      <c r="AN211" s="57">
        <f t="shared" si="80"/>
        <v>47175.254303498827</v>
      </c>
      <c r="AO211" s="57">
        <f t="shared" si="81"/>
        <v>24189.946596608093</v>
      </c>
    </row>
    <row r="212" spans="12:41" x14ac:dyDescent="0.25">
      <c r="L212" s="6">
        <v>209</v>
      </c>
      <c r="M212" s="52">
        <f t="shared" si="67"/>
        <v>15626.90146430302</v>
      </c>
      <c r="N212" s="52">
        <f t="shared" si="68"/>
        <v>5075.951898768315</v>
      </c>
      <c r="P212" s="6">
        <v>209</v>
      </c>
      <c r="Q212" s="52">
        <f t="shared" si="82"/>
        <v>-23061.168974987886</v>
      </c>
      <c r="R212" s="52">
        <f t="shared" si="83"/>
        <v>8303.1663291378209</v>
      </c>
      <c r="T212" s="6">
        <v>209</v>
      </c>
      <c r="U212" s="52">
        <f t="shared" si="69"/>
        <v>-9373.0985356969795</v>
      </c>
      <c r="V212" s="52">
        <f t="shared" si="70"/>
        <v>-17424.048101231685</v>
      </c>
      <c r="X212" s="6">
        <v>208</v>
      </c>
      <c r="Y212" s="55">
        <v>104</v>
      </c>
      <c r="Z212" s="52">
        <f t="shared" si="84"/>
        <v>21859.322395544506</v>
      </c>
      <c r="AA212" s="52">
        <f t="shared" si="85"/>
        <v>-18840.536556476858</v>
      </c>
      <c r="AB212" s="52">
        <f t="shared" si="86"/>
        <v>5224.1450757975399</v>
      </c>
      <c r="AC212" s="52">
        <f t="shared" si="87"/>
        <v>-4850.9686158391269</v>
      </c>
      <c r="AD212" s="52">
        <f t="shared" si="71"/>
        <v>-680.52209692615077</v>
      </c>
      <c r="AE212" s="52">
        <f t="shared" si="72"/>
        <v>734.14485121686278</v>
      </c>
      <c r="AF212" s="52">
        <f t="shared" si="73"/>
        <v>-43.245034223342408</v>
      </c>
      <c r="AG212" s="52">
        <f t="shared" si="74"/>
        <v>612.64114689075018</v>
      </c>
      <c r="AH212" s="52">
        <f t="shared" si="75"/>
        <v>-55.643410286481981</v>
      </c>
      <c r="AI212" s="52">
        <f t="shared" si="76"/>
        <v>38.33759642189375</v>
      </c>
      <c r="AJ212" s="52">
        <f t="shared" si="77"/>
        <v>-581.63365241632641</v>
      </c>
      <c r="AK212" s="52">
        <f t="shared" si="78"/>
        <v>83.166107904218833</v>
      </c>
      <c r="AM212" s="52">
        <f t="shared" si="79"/>
        <v>26406.077820336497</v>
      </c>
      <c r="AN212" s="57">
        <f t="shared" si="80"/>
        <v>50832.857683585047</v>
      </c>
      <c r="AO212" s="57">
        <f t="shared" si="81"/>
        <v>27132.506714077004</v>
      </c>
    </row>
    <row r="213" spans="12:41" x14ac:dyDescent="0.25">
      <c r="L213" s="6">
        <v>210</v>
      </c>
      <c r="M213" s="52">
        <f t="shared" si="67"/>
        <v>15669.872981077806</v>
      </c>
      <c r="N213" s="52">
        <f t="shared" si="68"/>
        <v>5000</v>
      </c>
      <c r="P213" s="6">
        <v>210</v>
      </c>
      <c r="Q213" s="52">
        <f t="shared" si="82"/>
        <v>-23031.088913245534</v>
      </c>
      <c r="R213" s="52">
        <f t="shared" si="83"/>
        <v>8250</v>
      </c>
      <c r="T213" s="6">
        <v>210</v>
      </c>
      <c r="U213" s="52">
        <f t="shared" si="69"/>
        <v>-9330.1270189221941</v>
      </c>
      <c r="V213" s="52">
        <f t="shared" si="70"/>
        <v>-17500</v>
      </c>
      <c r="X213" s="6">
        <v>209</v>
      </c>
      <c r="Y213" s="55">
        <v>104.5</v>
      </c>
      <c r="Z213" s="52">
        <f t="shared" si="84"/>
        <v>24386.329671327509</v>
      </c>
      <c r="AA213" s="52">
        <f t="shared" si="85"/>
        <v>-21174.252757994313</v>
      </c>
      <c r="AB213" s="52">
        <f t="shared" si="86"/>
        <v>4883.8840273344649</v>
      </c>
      <c r="AC213" s="52">
        <f t="shared" si="87"/>
        <v>-4483.8961902306955</v>
      </c>
      <c r="AD213" s="52">
        <f t="shared" si="71"/>
        <v>-613.58576077237115</v>
      </c>
      <c r="AE213" s="52">
        <f t="shared" si="72"/>
        <v>655.94953693667696</v>
      </c>
      <c r="AF213" s="52">
        <f t="shared" si="73"/>
        <v>-79.506413345399864</v>
      </c>
      <c r="AG213" s="52">
        <f t="shared" si="74"/>
        <v>519.748209317244</v>
      </c>
      <c r="AH213" s="52">
        <f t="shared" si="75"/>
        <v>-48.732831833003729</v>
      </c>
      <c r="AI213" s="52">
        <f t="shared" si="76"/>
        <v>34.226970971115513</v>
      </c>
      <c r="AJ213" s="52">
        <f t="shared" si="77"/>
        <v>-485.34651559396752</v>
      </c>
      <c r="AK213" s="52">
        <f t="shared" si="78"/>
        <v>101.97435664831741</v>
      </c>
      <c r="AM213" s="52">
        <f t="shared" si="79"/>
        <v>29007.803419337226</v>
      </c>
      <c r="AN213" s="57">
        <f t="shared" si="80"/>
        <v>54240.024859056663</v>
      </c>
      <c r="AO213" s="57">
        <f t="shared" si="81"/>
        <v>30027.949791345127</v>
      </c>
    </row>
    <row r="214" spans="12:41" x14ac:dyDescent="0.25">
      <c r="L214" s="6">
        <v>211</v>
      </c>
      <c r="M214" s="52">
        <f t="shared" si="67"/>
        <v>15714.163496489438</v>
      </c>
      <c r="N214" s="52">
        <f t="shared" si="68"/>
        <v>4924.8096254497286</v>
      </c>
      <c r="P214" s="6">
        <v>211</v>
      </c>
      <c r="Q214" s="52">
        <f t="shared" si="82"/>
        <v>-23000.085552457393</v>
      </c>
      <c r="R214" s="52">
        <f t="shared" si="83"/>
        <v>8197.3667378148111</v>
      </c>
      <c r="T214" s="6">
        <v>211</v>
      </c>
      <c r="U214" s="52">
        <f t="shared" si="69"/>
        <v>-9285.8365035105617</v>
      </c>
      <c r="V214" s="52">
        <f t="shared" si="70"/>
        <v>-17575.190374550271</v>
      </c>
      <c r="X214" s="6">
        <v>210</v>
      </c>
      <c r="Y214" s="55">
        <v>105</v>
      </c>
      <c r="Z214" s="52">
        <f t="shared" si="84"/>
        <v>26751.573464898192</v>
      </c>
      <c r="AA214" s="52">
        <f t="shared" si="85"/>
        <v>-23334.207160992577</v>
      </c>
      <c r="AB214" s="52">
        <f t="shared" si="86"/>
        <v>4577.0911469482789</v>
      </c>
      <c r="AC214" s="52">
        <f t="shared" si="87"/>
        <v>-4155.9214217623567</v>
      </c>
      <c r="AD214" s="52">
        <f t="shared" si="71"/>
        <v>-552.15955001066072</v>
      </c>
      <c r="AE214" s="52">
        <f t="shared" si="72"/>
        <v>583.66774939398636</v>
      </c>
      <c r="AF214" s="52">
        <f t="shared" si="73"/>
        <v>-97.384634633486428</v>
      </c>
      <c r="AG214" s="52">
        <f t="shared" si="74"/>
        <v>444.75232539468078</v>
      </c>
      <c r="AH214" s="52">
        <f t="shared" si="75"/>
        <v>-43.383404475980221</v>
      </c>
      <c r="AI214" s="52">
        <f t="shared" si="76"/>
        <v>30.932678516954095</v>
      </c>
      <c r="AJ214" s="52">
        <f t="shared" si="77"/>
        <v>-411.39151090119407</v>
      </c>
      <c r="AK214" s="52">
        <f t="shared" si="78"/>
        <v>107.9827454823515</v>
      </c>
      <c r="AM214" s="52">
        <f t="shared" si="79"/>
        <v>31564.728345083589</v>
      </c>
      <c r="AN214" s="57">
        <f t="shared" si="80"/>
        <v>57418.45512111712</v>
      </c>
      <c r="AO214" s="57">
        <f t="shared" si="81"/>
        <v>32827.144659552207</v>
      </c>
    </row>
    <row r="215" spans="12:41" x14ac:dyDescent="0.25">
      <c r="L215" s="6">
        <v>212</v>
      </c>
      <c r="M215" s="52">
        <f t="shared" si="67"/>
        <v>15759.759519217871</v>
      </c>
      <c r="N215" s="52">
        <f t="shared" si="68"/>
        <v>4850.4036788339763</v>
      </c>
      <c r="P215" s="6">
        <v>212</v>
      </c>
      <c r="Q215" s="52">
        <f t="shared" si="82"/>
        <v>-22968.168336547493</v>
      </c>
      <c r="R215" s="52">
        <f t="shared" si="83"/>
        <v>8145.2825751837827</v>
      </c>
      <c r="T215" s="6">
        <v>212</v>
      </c>
      <c r="U215" s="52">
        <f t="shared" si="69"/>
        <v>-9240.2404807821295</v>
      </c>
      <c r="V215" s="52">
        <f t="shared" si="70"/>
        <v>-17649.596321166024</v>
      </c>
      <c r="X215" s="6">
        <v>211</v>
      </c>
      <c r="Y215" s="55">
        <v>105.5</v>
      </c>
      <c r="Z215" s="52">
        <f t="shared" si="84"/>
        <v>28971.099094621</v>
      </c>
      <c r="AA215" s="52">
        <f t="shared" si="85"/>
        <v>-25339.209403199508</v>
      </c>
      <c r="AB215" s="52">
        <f t="shared" si="86"/>
        <v>4301.0113719429482</v>
      </c>
      <c r="AC215" s="52">
        <f t="shared" si="87"/>
        <v>-3864.0875470653637</v>
      </c>
      <c r="AD215" s="52">
        <f t="shared" si="71"/>
        <v>-498.58773361644324</v>
      </c>
      <c r="AE215" s="52">
        <f t="shared" si="72"/>
        <v>521.02567801642908</v>
      </c>
      <c r="AF215" s="52">
        <f t="shared" si="73"/>
        <v>-105.16237337841963</v>
      </c>
      <c r="AG215" s="52">
        <f t="shared" si="74"/>
        <v>384.95274261121875</v>
      </c>
      <c r="AH215" s="52">
        <f t="shared" si="75"/>
        <v>-39.140797254558649</v>
      </c>
      <c r="AI215" s="52">
        <f t="shared" si="76"/>
        <v>28.245329509848723</v>
      </c>
      <c r="AJ215" s="52">
        <f t="shared" si="77"/>
        <v>-354.28456298346498</v>
      </c>
      <c r="AK215" s="52">
        <f t="shared" si="78"/>
        <v>107.82760589536161</v>
      </c>
      <c r="AM215" s="52">
        <f t="shared" si="79"/>
        <v>34042.536527008335</v>
      </c>
      <c r="AN215" s="57">
        <f t="shared" si="80"/>
        <v>60390.630629083302</v>
      </c>
      <c r="AO215" s="57">
        <f t="shared" si="81"/>
        <v>35509.644109449604</v>
      </c>
    </row>
    <row r="216" spans="12:41" x14ac:dyDescent="0.25">
      <c r="L216" s="6">
        <v>213</v>
      </c>
      <c r="M216" s="52">
        <f t="shared" si="67"/>
        <v>15806.64716027288</v>
      </c>
      <c r="N216" s="52">
        <f t="shared" si="68"/>
        <v>4776.8048249248641</v>
      </c>
      <c r="P216" s="6">
        <v>213</v>
      </c>
      <c r="Q216" s="52">
        <f t="shared" si="82"/>
        <v>-22935.346987808985</v>
      </c>
      <c r="R216" s="52">
        <f t="shared" si="83"/>
        <v>8093.7633774474052</v>
      </c>
      <c r="T216" s="6">
        <v>213</v>
      </c>
      <c r="U216" s="52">
        <f t="shared" si="69"/>
        <v>-9193.3528397271202</v>
      </c>
      <c r="V216" s="52">
        <f t="shared" si="70"/>
        <v>-17723.195175075136</v>
      </c>
      <c r="X216" s="6">
        <v>212</v>
      </c>
      <c r="Y216" s="55">
        <v>106</v>
      </c>
      <c r="Z216" s="52">
        <f t="shared" si="84"/>
        <v>31059.28131389042</v>
      </c>
      <c r="AA216" s="52">
        <f t="shared" si="85"/>
        <v>-27206.124966980136</v>
      </c>
      <c r="AB216" s="52">
        <f t="shared" si="86"/>
        <v>4051.7175051347267</v>
      </c>
      <c r="AC216" s="52">
        <f t="shared" si="87"/>
        <v>-3603.5747080571491</v>
      </c>
      <c r="AD216" s="52">
        <f t="shared" si="71"/>
        <v>-452.76675387266511</v>
      </c>
      <c r="AE216" s="52">
        <f t="shared" si="72"/>
        <v>467.99570880440507</v>
      </c>
      <c r="AF216" s="52">
        <f t="shared" si="73"/>
        <v>-107.44110361255711</v>
      </c>
      <c r="AG216" s="52">
        <f t="shared" si="74"/>
        <v>337.17058665324174</v>
      </c>
      <c r="AH216" s="52">
        <f t="shared" si="75"/>
        <v>-35.705869388436909</v>
      </c>
      <c r="AI216" s="52">
        <f t="shared" si="76"/>
        <v>26.018326234440135</v>
      </c>
      <c r="AJ216" s="52">
        <f t="shared" si="77"/>
        <v>-309.61978087167108</v>
      </c>
      <c r="AK216" s="52">
        <f t="shared" si="78"/>
        <v>104.8067959167232</v>
      </c>
      <c r="AM216" s="52">
        <f t="shared" si="79"/>
        <v>36425.579108689642</v>
      </c>
      <c r="AN216" s="57">
        <f t="shared" si="80"/>
        <v>63177.099833322056</v>
      </c>
      <c r="AO216" s="57">
        <f t="shared" si="81"/>
        <v>38069.164104085903</v>
      </c>
    </row>
    <row r="217" spans="12:41" x14ac:dyDescent="0.25">
      <c r="L217" s="6">
        <v>214</v>
      </c>
      <c r="M217" s="52">
        <f t="shared" si="67"/>
        <v>15854.812137224792</v>
      </c>
      <c r="N217" s="52">
        <f t="shared" si="68"/>
        <v>4704.0354826462662</v>
      </c>
      <c r="P217" s="6">
        <v>214</v>
      </c>
      <c r="Q217" s="52">
        <f t="shared" si="82"/>
        <v>-22901.631503942648</v>
      </c>
      <c r="R217" s="52">
        <f t="shared" si="83"/>
        <v>8042.8248378523867</v>
      </c>
      <c r="T217" s="6">
        <v>214</v>
      </c>
      <c r="U217" s="52">
        <f t="shared" si="69"/>
        <v>-9145.1878627752085</v>
      </c>
      <c r="V217" s="52">
        <f t="shared" si="70"/>
        <v>-17795.964517353732</v>
      </c>
      <c r="X217" s="6">
        <v>213</v>
      </c>
      <c r="Y217" s="55">
        <v>106.5</v>
      </c>
      <c r="Z217" s="52">
        <f t="shared" si="84"/>
        <v>33028.544222223696</v>
      </c>
      <c r="AA217" s="52">
        <f t="shared" si="85"/>
        <v>-28949.412857408162</v>
      </c>
      <c r="AB217" s="52">
        <f t="shared" si="86"/>
        <v>3825.334128198394</v>
      </c>
      <c r="AC217" s="52">
        <f t="shared" si="87"/>
        <v>-3369.5768536549467</v>
      </c>
      <c r="AD217" s="52">
        <f t="shared" si="71"/>
        <v>-413.79344788418007</v>
      </c>
      <c r="AE217" s="52">
        <f t="shared" si="72"/>
        <v>423.38862203542112</v>
      </c>
      <c r="AF217" s="52">
        <f t="shared" si="73"/>
        <v>-106.75936438898066</v>
      </c>
      <c r="AG217" s="52">
        <f t="shared" si="74"/>
        <v>298.67620531008714</v>
      </c>
      <c r="AH217" s="52">
        <f t="shared" si="75"/>
        <v>-32.875806960921096</v>
      </c>
      <c r="AI217" s="52">
        <f t="shared" si="76"/>
        <v>24.147247432916096</v>
      </c>
      <c r="AJ217" s="52">
        <f t="shared" si="77"/>
        <v>-274.15827653427834</v>
      </c>
      <c r="AK217" s="52">
        <f t="shared" si="78"/>
        <v>100.56516929241785</v>
      </c>
      <c r="AM217" s="52">
        <f t="shared" si="79"/>
        <v>38707.914722963702</v>
      </c>
      <c r="AN217" s="57">
        <f t="shared" si="80"/>
        <v>65795.769349291499</v>
      </c>
      <c r="AO217" s="57">
        <f t="shared" si="81"/>
        <v>40506.250069934234</v>
      </c>
    </row>
    <row r="218" spans="12:41" x14ac:dyDescent="0.25">
      <c r="L218" s="6">
        <v>215</v>
      </c>
      <c r="M218" s="52">
        <f t="shared" si="67"/>
        <v>15904.23977855504</v>
      </c>
      <c r="N218" s="52">
        <f t="shared" si="68"/>
        <v>4632.1178182447711</v>
      </c>
      <c r="P218" s="6">
        <v>215</v>
      </c>
      <c r="Q218" s="52">
        <f t="shared" si="82"/>
        <v>-22867.032155011471</v>
      </c>
      <c r="R218" s="52">
        <f t="shared" si="83"/>
        <v>7992.4824727713394</v>
      </c>
      <c r="T218" s="6">
        <v>215</v>
      </c>
      <c r="U218" s="52">
        <f t="shared" si="69"/>
        <v>-9095.7602214449598</v>
      </c>
      <c r="V218" s="52">
        <f t="shared" si="70"/>
        <v>-17867.882181755231</v>
      </c>
      <c r="X218" s="6">
        <v>214</v>
      </c>
      <c r="Y218" s="55">
        <v>107</v>
      </c>
      <c r="Z218" s="52">
        <f t="shared" si="84"/>
        <v>34889.487105337364</v>
      </c>
      <c r="AA218" s="52">
        <f t="shared" si="85"/>
        <v>-30581.277706481207</v>
      </c>
      <c r="AB218" s="52">
        <f t="shared" si="86"/>
        <v>3618.437404256304</v>
      </c>
      <c r="AC218" s="52">
        <f t="shared" si="87"/>
        <v>-3157.8825426372359</v>
      </c>
      <c r="AD218" s="52">
        <f t="shared" si="71"/>
        <v>-380.61413682586624</v>
      </c>
      <c r="AE218" s="52">
        <f t="shared" si="72"/>
        <v>385.81855551925713</v>
      </c>
      <c r="AF218" s="52">
        <f t="shared" si="73"/>
        <v>-104.5265709421799</v>
      </c>
      <c r="AG218" s="52">
        <f t="shared" si="74"/>
        <v>267.33663474066134</v>
      </c>
      <c r="AH218" s="52">
        <f t="shared" si="75"/>
        <v>-30.509209178115288</v>
      </c>
      <c r="AI218" s="52">
        <f t="shared" si="76"/>
        <v>22.556280911975051</v>
      </c>
      <c r="AJ218" s="52">
        <f t="shared" si="77"/>
        <v>-245.57835670557105</v>
      </c>
      <c r="AK218" s="52">
        <f t="shared" si="78"/>
        <v>95.925639866620756</v>
      </c>
      <c r="AM218" s="52">
        <f t="shared" si="79"/>
        <v>40888.635805296202</v>
      </c>
      <c r="AN218" s="57">
        <f t="shared" si="80"/>
        <v>68261.965214733937</v>
      </c>
      <c r="AO218" s="57">
        <f t="shared" si="81"/>
        <v>42824.6120413643</v>
      </c>
    </row>
    <row r="219" spans="12:41" x14ac:dyDescent="0.25">
      <c r="L219" s="6">
        <v>216</v>
      </c>
      <c r="M219" s="52">
        <f t="shared" si="67"/>
        <v>15954.915028125262</v>
      </c>
      <c r="N219" s="52">
        <f t="shared" si="68"/>
        <v>4561.0737385376342</v>
      </c>
      <c r="P219" s="6">
        <v>216</v>
      </c>
      <c r="Q219" s="52">
        <f t="shared" si="82"/>
        <v>-22831.559480312317</v>
      </c>
      <c r="R219" s="52">
        <f t="shared" si="83"/>
        <v>7942.7516169763439</v>
      </c>
      <c r="T219" s="6">
        <v>216</v>
      </c>
      <c r="U219" s="52">
        <f t="shared" si="69"/>
        <v>-9045.0849718747377</v>
      </c>
      <c r="V219" s="52">
        <f t="shared" si="70"/>
        <v>-17938.926261462366</v>
      </c>
      <c r="X219" s="6">
        <v>215</v>
      </c>
      <c r="Y219" s="55">
        <v>107.5</v>
      </c>
      <c r="Z219" s="52">
        <f t="shared" si="84"/>
        <v>36651.129040362284</v>
      </c>
      <c r="AA219" s="52">
        <f t="shared" si="85"/>
        <v>-32111.991658359919</v>
      </c>
      <c r="AB219" s="52">
        <f t="shared" si="86"/>
        <v>3428.1303358433711</v>
      </c>
      <c r="AC219" s="52">
        <f t="shared" si="87"/>
        <v>-2964.9732648776076</v>
      </c>
      <c r="AD219" s="52">
        <f t="shared" si="71"/>
        <v>-352.25519621463536</v>
      </c>
      <c r="AE219" s="52">
        <f t="shared" si="72"/>
        <v>354.02455143860379</v>
      </c>
      <c r="AF219" s="52">
        <f t="shared" si="73"/>
        <v>-101.53229709137575</v>
      </c>
      <c r="AG219" s="52">
        <f t="shared" si="74"/>
        <v>241.53896685856154</v>
      </c>
      <c r="AH219" s="52">
        <f t="shared" si="75"/>
        <v>-28.504938328735744</v>
      </c>
      <c r="AI219" s="52">
        <f t="shared" si="76"/>
        <v>21.189334536766843</v>
      </c>
      <c r="AJ219" s="52">
        <f t="shared" si="77"/>
        <v>-222.21796079452389</v>
      </c>
      <c r="AK219" s="52">
        <f t="shared" si="78"/>
        <v>91.296250043275407</v>
      </c>
      <c r="AM219" s="52">
        <f t="shared" si="79"/>
        <v>42969.407506512958</v>
      </c>
      <c r="AN219" s="57">
        <f t="shared" si="80"/>
        <v>70588.740341371406</v>
      </c>
      <c r="AO219" s="57">
        <f t="shared" si="81"/>
        <v>45029.288344950444</v>
      </c>
    </row>
    <row r="220" spans="12:41" x14ac:dyDescent="0.25">
      <c r="L220" s="6">
        <v>217</v>
      </c>
      <c r="M220" s="52">
        <f t="shared" si="67"/>
        <v>16006.822449763535</v>
      </c>
      <c r="N220" s="52">
        <f t="shared" si="68"/>
        <v>4490.9248842397592</v>
      </c>
      <c r="P220" s="6">
        <v>217</v>
      </c>
      <c r="Q220" s="52">
        <f t="shared" si="82"/>
        <v>-22795.224285165525</v>
      </c>
      <c r="R220" s="52">
        <f t="shared" si="83"/>
        <v>7893.647418967832</v>
      </c>
      <c r="T220" s="6">
        <v>217</v>
      </c>
      <c r="U220" s="52">
        <f t="shared" si="69"/>
        <v>-8993.1775502364653</v>
      </c>
      <c r="V220" s="52">
        <f t="shared" si="70"/>
        <v>-18009.075115760239</v>
      </c>
      <c r="X220" s="6">
        <v>216</v>
      </c>
      <c r="Y220" s="55">
        <v>108</v>
      </c>
      <c r="Z220" s="52">
        <f t="shared" si="84"/>
        <v>38321.162308757135</v>
      </c>
      <c r="AA220" s="52">
        <f t="shared" si="85"/>
        <v>-33550.225221868903</v>
      </c>
      <c r="AB220" s="52">
        <f t="shared" si="86"/>
        <v>3252.0027377360534</v>
      </c>
      <c r="AC220" s="52">
        <f t="shared" si="87"/>
        <v>-2787.9609891583059</v>
      </c>
      <c r="AD220" s="52">
        <f t="shared" si="71"/>
        <v>-327.88733916593134</v>
      </c>
      <c r="AE220" s="52">
        <f t="shared" si="72"/>
        <v>326.95061879336527</v>
      </c>
      <c r="AF220" s="52">
        <f t="shared" si="73"/>
        <v>-98.221458605192538</v>
      </c>
      <c r="AG220" s="52">
        <f t="shared" si="74"/>
        <v>220.07408315117698</v>
      </c>
      <c r="AH220" s="52">
        <f t="shared" si="75"/>
        <v>-26.788972878976825</v>
      </c>
      <c r="AI220" s="52">
        <f t="shared" si="76"/>
        <v>20.004158973470929</v>
      </c>
      <c r="AJ220" s="52">
        <f t="shared" si="77"/>
        <v>-202.87690768176196</v>
      </c>
      <c r="AK220" s="52">
        <f t="shared" si="78"/>
        <v>86.872376668717322</v>
      </c>
      <c r="AM220" s="52">
        <f t="shared" si="79"/>
        <v>44953.153160929491</v>
      </c>
      <c r="AN220" s="57">
        <f t="shared" si="80"/>
        <v>72787.22477138348</v>
      </c>
      <c r="AO220" s="57">
        <f t="shared" si="81"/>
        <v>47125.725029581678</v>
      </c>
    </row>
    <row r="221" spans="12:41" x14ac:dyDescent="0.25">
      <c r="L221" s="6">
        <v>218</v>
      </c>
      <c r="M221" s="52">
        <f t="shared" si="67"/>
        <v>16059.946231966389</v>
      </c>
      <c r="N221" s="52">
        <f t="shared" si="68"/>
        <v>4421.6926233717113</v>
      </c>
      <c r="P221" s="6">
        <v>218</v>
      </c>
      <c r="Q221" s="52">
        <f t="shared" si="82"/>
        <v>-22758.037637623529</v>
      </c>
      <c r="R221" s="52">
        <f t="shared" si="83"/>
        <v>7845.1848363601976</v>
      </c>
      <c r="T221" s="6">
        <v>218</v>
      </c>
      <c r="U221" s="52">
        <f t="shared" si="69"/>
        <v>-8940.053768033611</v>
      </c>
      <c r="V221" s="52">
        <f t="shared" si="70"/>
        <v>-18078.307376628291</v>
      </c>
      <c r="X221" s="6">
        <v>217</v>
      </c>
      <c r="Y221" s="55">
        <v>108.5</v>
      </c>
      <c r="Z221" s="52">
        <f t="shared" si="84"/>
        <v>39906.177760229417</v>
      </c>
      <c r="AA221" s="52">
        <f t="shared" si="85"/>
        <v>-34903.336889098886</v>
      </c>
      <c r="AB221" s="52">
        <f t="shared" si="86"/>
        <v>3088.0590681530875</v>
      </c>
      <c r="AC221" s="52">
        <f t="shared" si="87"/>
        <v>-2624.485679761623</v>
      </c>
      <c r="AD221" s="52">
        <f t="shared" si="71"/>
        <v>-306.82778898797051</v>
      </c>
      <c r="AE221" s="52">
        <f t="shared" si="72"/>
        <v>303.74128132239747</v>
      </c>
      <c r="AF221" s="52">
        <f t="shared" si="73"/>
        <v>-94.844359298862869</v>
      </c>
      <c r="AG221" s="52">
        <f t="shared" si="74"/>
        <v>202.03362834503648</v>
      </c>
      <c r="AH221" s="52">
        <f t="shared" si="75"/>
        <v>-25.306014774375384</v>
      </c>
      <c r="AI221" s="52">
        <f t="shared" si="76"/>
        <v>18.968402746079988</v>
      </c>
      <c r="AJ221" s="52">
        <f t="shared" si="77"/>
        <v>-186.67741491473225</v>
      </c>
      <c r="AK221" s="52">
        <f t="shared" si="78"/>
        <v>82.739250231281019</v>
      </c>
      <c r="AM221" s="52">
        <f t="shared" si="79"/>
        <v>46843.344162775851</v>
      </c>
      <c r="AN221" s="57">
        <f t="shared" si="80"/>
        <v>74866.947297296123</v>
      </c>
      <c r="AO221" s="57">
        <f t="shared" si="81"/>
        <v>49119.320235059116</v>
      </c>
    </row>
    <row r="222" spans="12:41" x14ac:dyDescent="0.25">
      <c r="L222" s="6">
        <v>219</v>
      </c>
      <c r="M222" s="52">
        <f t="shared" si="67"/>
        <v>16114.270192715147</v>
      </c>
      <c r="N222" s="52">
        <f t="shared" si="68"/>
        <v>4353.398044750812</v>
      </c>
      <c r="P222" s="6">
        <v>219</v>
      </c>
      <c r="Q222" s="52">
        <f t="shared" si="82"/>
        <v>-22720.010865099397</v>
      </c>
      <c r="R222" s="52">
        <f t="shared" si="83"/>
        <v>7797.3786313255678</v>
      </c>
      <c r="T222" s="6">
        <v>219</v>
      </c>
      <c r="U222" s="52">
        <f t="shared" si="69"/>
        <v>-8885.7298072848535</v>
      </c>
      <c r="V222" s="52">
        <f t="shared" si="70"/>
        <v>-18146.601955249189</v>
      </c>
      <c r="X222" s="6">
        <v>218</v>
      </c>
      <c r="Y222" s="55">
        <v>109</v>
      </c>
      <c r="Z222" s="52">
        <f t="shared" si="84"/>
        <v>41411.853820682467</v>
      </c>
      <c r="AA222" s="52">
        <f t="shared" si="85"/>
        <v>-36177.6120688144</v>
      </c>
      <c r="AB222" s="52">
        <f t="shared" si="86"/>
        <v>2934.6451736591025</v>
      </c>
      <c r="AC222" s="52">
        <f t="shared" si="87"/>
        <v>-2472.6150391004244</v>
      </c>
      <c r="AD222" s="52">
        <f t="shared" si="71"/>
        <v>-288.52215278008987</v>
      </c>
      <c r="AE222" s="52">
        <f t="shared" si="72"/>
        <v>283.71220317396819</v>
      </c>
      <c r="AF222" s="52">
        <f t="shared" si="73"/>
        <v>-91.539832588411031</v>
      </c>
      <c r="AG222" s="52">
        <f t="shared" si="74"/>
        <v>186.73027240540884</v>
      </c>
      <c r="AH222" s="52">
        <f t="shared" si="75"/>
        <v>-24.013992159404786</v>
      </c>
      <c r="AI222" s="52">
        <f t="shared" si="76"/>
        <v>18.056918089437044</v>
      </c>
      <c r="AJ222" s="52">
        <f t="shared" si="77"/>
        <v>-172.96832803227403</v>
      </c>
      <c r="AK222" s="52">
        <f t="shared" si="78"/>
        <v>78.925012679122318</v>
      </c>
      <c r="AM222" s="52">
        <f t="shared" si="79"/>
        <v>48643.614997984223</v>
      </c>
      <c r="AN222" s="57">
        <f t="shared" si="80"/>
        <v>76836.108998769487</v>
      </c>
      <c r="AO222" s="57">
        <f t="shared" si="81"/>
        <v>51015.20781109875</v>
      </c>
    </row>
    <row r="223" spans="12:41" x14ac:dyDescent="0.25">
      <c r="L223" s="6">
        <v>220</v>
      </c>
      <c r="M223" s="52">
        <f t="shared" si="67"/>
        <v>16169.777784405109</v>
      </c>
      <c r="N223" s="52">
        <f t="shared" si="68"/>
        <v>4286.0619515673043</v>
      </c>
      <c r="P223" s="6">
        <v>220</v>
      </c>
      <c r="Q223" s="52">
        <f t="shared" si="82"/>
        <v>-22681.155550916425</v>
      </c>
      <c r="R223" s="52">
        <f t="shared" si="83"/>
        <v>7750.2433660971128</v>
      </c>
      <c r="T223" s="6">
        <v>220</v>
      </c>
      <c r="U223" s="52">
        <f t="shared" si="69"/>
        <v>-8830.2222155948912</v>
      </c>
      <c r="V223" s="52">
        <f t="shared" si="70"/>
        <v>-18213.938048432698</v>
      </c>
      <c r="X223" s="6">
        <v>219</v>
      </c>
      <c r="Y223" s="55">
        <v>109.5</v>
      </c>
      <c r="Z223" s="52">
        <f t="shared" si="84"/>
        <v>42843.111138414504</v>
      </c>
      <c r="AA223" s="52">
        <f t="shared" si="85"/>
        <v>-37378.455562967865</v>
      </c>
      <c r="AB223" s="52">
        <f t="shared" si="86"/>
        <v>2790.3840972690577</v>
      </c>
      <c r="AC223" s="52">
        <f t="shared" si="87"/>
        <v>-2330.7589375134403</v>
      </c>
      <c r="AD223" s="52">
        <f t="shared" si="71"/>
        <v>-272.52216446393538</v>
      </c>
      <c r="AE223" s="52">
        <f t="shared" si="72"/>
        <v>266.3175213241098</v>
      </c>
      <c r="AF223" s="52">
        <f t="shared" si="73"/>
        <v>-88.382149110064461</v>
      </c>
      <c r="AG223" s="52">
        <f t="shared" si="74"/>
        <v>173.63897270216285</v>
      </c>
      <c r="AH223" s="52">
        <f t="shared" si="75"/>
        <v>-22.880370909802892</v>
      </c>
      <c r="AI223" s="52">
        <f t="shared" si="76"/>
        <v>17.249888122608763</v>
      </c>
      <c r="AJ223" s="52">
        <f t="shared" si="77"/>
        <v>-161.25964444406802</v>
      </c>
      <c r="AK223" s="52">
        <f t="shared" si="78"/>
        <v>75.428660499338207</v>
      </c>
      <c r="AM223" s="52">
        <f t="shared" si="79"/>
        <v>50357.556535233503</v>
      </c>
      <c r="AN223" s="57">
        <f t="shared" si="80"/>
        <v>78701.808550294692</v>
      </c>
      <c r="AO223" s="57">
        <f t="shared" si="81"/>
        <v>52818.165026687639</v>
      </c>
    </row>
    <row r="224" spans="12:41" x14ac:dyDescent="0.25">
      <c r="L224" s="6">
        <v>221</v>
      </c>
      <c r="M224" s="52">
        <f t="shared" si="67"/>
        <v>16226.45209888614</v>
      </c>
      <c r="N224" s="52">
        <f t="shared" si="68"/>
        <v>4219.7048550474628</v>
      </c>
      <c r="P224" s="6">
        <v>221</v>
      </c>
      <c r="Q224" s="52">
        <f t="shared" si="82"/>
        <v>-22641.4835307797</v>
      </c>
      <c r="R224" s="52">
        <f t="shared" si="83"/>
        <v>7703.7933985332238</v>
      </c>
      <c r="T224" s="6">
        <v>221</v>
      </c>
      <c r="U224" s="52">
        <f t="shared" si="69"/>
        <v>-8773.5479011138596</v>
      </c>
      <c r="V224" s="52">
        <f t="shared" si="70"/>
        <v>-18280.295144952535</v>
      </c>
      <c r="X224" s="6">
        <v>220</v>
      </c>
      <c r="Y224" s="55">
        <v>110</v>
      </c>
      <c r="Z224" s="52">
        <f t="shared" si="84"/>
        <v>44204.237916491038</v>
      </c>
      <c r="AA224" s="52">
        <f t="shared" si="85"/>
        <v>-38510.545341559075</v>
      </c>
      <c r="AB224" s="52">
        <f t="shared" si="86"/>
        <v>2654.1230150370902</v>
      </c>
      <c r="AC224" s="52">
        <f t="shared" si="87"/>
        <v>-2197.6001768513852</v>
      </c>
      <c r="AD224" s="52">
        <f t="shared" si="71"/>
        <v>-258.46506432025546</v>
      </c>
      <c r="AE224" s="52">
        <f t="shared" si="72"/>
        <v>251.12091679012056</v>
      </c>
      <c r="AF224" s="52">
        <f t="shared" si="73"/>
        <v>-85.407948311399011</v>
      </c>
      <c r="AG224" s="52">
        <f t="shared" si="74"/>
        <v>162.35447246342611</v>
      </c>
      <c r="AH224" s="52">
        <f t="shared" si="75"/>
        <v>-21.879624301229743</v>
      </c>
      <c r="AI224" s="52">
        <f t="shared" si="76"/>
        <v>16.531502298985494</v>
      </c>
      <c r="AJ224" s="52">
        <f t="shared" si="77"/>
        <v>-151.17749170762673</v>
      </c>
      <c r="AK224" s="52">
        <f t="shared" si="78"/>
        <v>72.234942027708968</v>
      </c>
      <c r="AM224" s="52">
        <f t="shared" si="79"/>
        <v>51988.608519037763</v>
      </c>
      <c r="AN224" s="57">
        <f t="shared" si="80"/>
        <v>80470.225399043367</v>
      </c>
      <c r="AO224" s="57">
        <f t="shared" si="81"/>
        <v>54532.584490377485</v>
      </c>
    </row>
    <row r="225" spans="12:41" x14ac:dyDescent="0.25">
      <c r="L225" s="6">
        <v>222</v>
      </c>
      <c r="M225" s="52">
        <f t="shared" si="67"/>
        <v>16284.275872613029</v>
      </c>
      <c r="N225" s="52">
        <f t="shared" si="68"/>
        <v>4154.3469682057093</v>
      </c>
      <c r="P225" s="6">
        <v>222</v>
      </c>
      <c r="Q225" s="52">
        <f t="shared" si="82"/>
        <v>-22601.00688917088</v>
      </c>
      <c r="R225" s="52">
        <f t="shared" si="83"/>
        <v>7658.0428777439956</v>
      </c>
      <c r="T225" s="6">
        <v>222</v>
      </c>
      <c r="U225" s="52">
        <f t="shared" si="69"/>
        <v>-8715.7241273869713</v>
      </c>
      <c r="V225" s="52">
        <f t="shared" si="70"/>
        <v>-18345.653031794292</v>
      </c>
      <c r="X225" s="6">
        <v>221</v>
      </c>
      <c r="Y225" s="55">
        <v>110.5</v>
      </c>
      <c r="Z225" s="52">
        <f t="shared" si="84"/>
        <v>45498.991290969556</v>
      </c>
      <c r="AA225" s="52">
        <f t="shared" si="85"/>
        <v>-39577.955315386003</v>
      </c>
      <c r="AB225" s="52">
        <f t="shared" si="86"/>
        <v>2524.8904828769623</v>
      </c>
      <c r="AC225" s="52">
        <f t="shared" si="87"/>
        <v>-2072.0397184563249</v>
      </c>
      <c r="AD225" s="52">
        <f t="shared" si="71"/>
        <v>-246.05625385331979</v>
      </c>
      <c r="AE225" s="52">
        <f t="shared" si="72"/>
        <v>237.77200430961068</v>
      </c>
      <c r="AF225" s="52">
        <f t="shared" si="73"/>
        <v>-82.631944280315821</v>
      </c>
      <c r="AG225" s="52">
        <f t="shared" si="74"/>
        <v>152.56066155957566</v>
      </c>
      <c r="AH225" s="52">
        <f t="shared" si="75"/>
        <v>-20.991461579353487</v>
      </c>
      <c r="AI225" s="52">
        <f t="shared" si="76"/>
        <v>15.889004146073226</v>
      </c>
      <c r="AJ225" s="52">
        <f t="shared" si="77"/>
        <v>-142.43284799365048</v>
      </c>
      <c r="AK225" s="52">
        <f t="shared" si="78"/>
        <v>69.322338603961782</v>
      </c>
      <c r="AM225" s="52">
        <f t="shared" si="79"/>
        <v>53540.007784220783</v>
      </c>
      <c r="AN225" s="57">
        <f t="shared" si="80"/>
        <v>82146.768125038958</v>
      </c>
      <c r="AO225" s="57">
        <f t="shared" si="81"/>
        <v>56162.478656933672</v>
      </c>
    </row>
    <row r="226" spans="12:41" x14ac:dyDescent="0.25">
      <c r="L226" s="6">
        <v>223</v>
      </c>
      <c r="M226" s="52">
        <f t="shared" si="67"/>
        <v>16343.231491904147</v>
      </c>
      <c r="N226" s="52">
        <f t="shared" si="68"/>
        <v>4090.0081996875083</v>
      </c>
      <c r="P226" s="6">
        <v>223</v>
      </c>
      <c r="Q226" s="52">
        <f t="shared" si="82"/>
        <v>-22559.737955667097</v>
      </c>
      <c r="R226" s="52">
        <f t="shared" si="83"/>
        <v>7613.0057397812561</v>
      </c>
      <c r="T226" s="6">
        <v>223</v>
      </c>
      <c r="U226" s="52">
        <f t="shared" si="69"/>
        <v>-8656.7685080958527</v>
      </c>
      <c r="V226" s="52">
        <f t="shared" si="70"/>
        <v>-18409.991800312491</v>
      </c>
      <c r="X226" s="6">
        <v>222</v>
      </c>
      <c r="Y226" s="55">
        <v>111</v>
      </c>
      <c r="Z226" s="52">
        <f t="shared" si="84"/>
        <v>46730.679500676371</v>
      </c>
      <c r="AA226" s="52">
        <f t="shared" si="85"/>
        <v>-40584.253674075459</v>
      </c>
      <c r="AB226" s="52">
        <f t="shared" si="86"/>
        <v>2401.8623559503026</v>
      </c>
      <c r="AC226" s="52">
        <f t="shared" si="87"/>
        <v>-1953.1537163015196</v>
      </c>
      <c r="AD226" s="52">
        <f t="shared" si="71"/>
        <v>-235.05530780785159</v>
      </c>
      <c r="AE226" s="52">
        <f t="shared" si="72"/>
        <v>225.98772941953604</v>
      </c>
      <c r="AF226" s="52">
        <f t="shared" si="73"/>
        <v>-80.05620410290453</v>
      </c>
      <c r="AG226" s="52">
        <f t="shared" si="74"/>
        <v>144.00841647778608</v>
      </c>
      <c r="AH226" s="52">
        <f t="shared" si="75"/>
        <v>-20.199564639420611</v>
      </c>
      <c r="AI226" s="52">
        <f t="shared" si="76"/>
        <v>15.311996063459537</v>
      </c>
      <c r="AJ226" s="52">
        <f t="shared" si="77"/>
        <v>-134.79953906552646</v>
      </c>
      <c r="AK226" s="52">
        <f t="shared" si="78"/>
        <v>66.667316878290407</v>
      </c>
      <c r="AM226" s="52">
        <f t="shared" si="79"/>
        <v>55014.767817020911</v>
      </c>
      <c r="AN226" s="57">
        <f t="shared" si="80"/>
        <v>83736.194721190943</v>
      </c>
      <c r="AO226" s="57">
        <f t="shared" si="81"/>
        <v>57711.500046880967</v>
      </c>
    </row>
    <row r="227" spans="12:41" x14ac:dyDescent="0.25">
      <c r="L227" s="6">
        <v>224</v>
      </c>
      <c r="M227" s="52">
        <f t="shared" si="67"/>
        <v>16403.300998306746</v>
      </c>
      <c r="N227" s="52">
        <f t="shared" si="68"/>
        <v>4026.7081477050133</v>
      </c>
      <c r="P227" s="6">
        <v>224</v>
      </c>
      <c r="Q227" s="52">
        <f t="shared" si="82"/>
        <v>-22517.689301185281</v>
      </c>
      <c r="R227" s="52">
        <f t="shared" si="83"/>
        <v>7568.6957033935087</v>
      </c>
      <c r="T227" s="6">
        <v>224</v>
      </c>
      <c r="U227" s="52">
        <f t="shared" si="69"/>
        <v>-8596.6990016932559</v>
      </c>
      <c r="V227" s="52">
        <f t="shared" si="70"/>
        <v>-18473.291852294988</v>
      </c>
      <c r="X227" s="6">
        <v>223</v>
      </c>
      <c r="Y227" s="55">
        <v>111.5</v>
      </c>
      <c r="Z227" s="52">
        <f t="shared" si="84"/>
        <v>47902.22876517554</v>
      </c>
      <c r="AA227" s="52">
        <f t="shared" si="85"/>
        <v>-41532.582066048773</v>
      </c>
      <c r="AB227" s="52">
        <f t="shared" si="86"/>
        <v>2284.3347020463766</v>
      </c>
      <c r="AC227" s="52">
        <f t="shared" si="87"/>
        <v>-1840.1598515917515</v>
      </c>
      <c r="AD227" s="52">
        <f t="shared" si="71"/>
        <v>-225.26490992229458</v>
      </c>
      <c r="AE227" s="52">
        <f t="shared" si="72"/>
        <v>215.53793323133695</v>
      </c>
      <c r="AF227" s="52">
        <f t="shared" si="73"/>
        <v>-77.675681820590455</v>
      </c>
      <c r="AG227" s="52">
        <f t="shared" si="74"/>
        <v>136.49946301629905</v>
      </c>
      <c r="AH227" s="52">
        <f t="shared" si="75"/>
        <v>-19.490671727016647</v>
      </c>
      <c r="AI227" s="52">
        <f t="shared" si="76"/>
        <v>14.791924485548297</v>
      </c>
      <c r="AJ227" s="52">
        <f t="shared" si="77"/>
        <v>-128.09855637468749</v>
      </c>
      <c r="AK227" s="52">
        <f t="shared" si="78"/>
        <v>64.246545729489611</v>
      </c>
      <c r="AM227" s="52">
        <f t="shared" si="79"/>
        <v>56415.67578366847</v>
      </c>
      <c r="AN227" s="57">
        <f t="shared" si="80"/>
        <v>85242.710454749642</v>
      </c>
      <c r="AO227" s="57">
        <f t="shared" si="81"/>
        <v>59182.968153131515</v>
      </c>
    </row>
    <row r="228" spans="12:41" x14ac:dyDescent="0.25">
      <c r="L228" s="6">
        <v>225</v>
      </c>
      <c r="M228" s="52">
        <f t="shared" si="67"/>
        <v>16464.466094067262</v>
      </c>
      <c r="N228" s="52">
        <f t="shared" si="68"/>
        <v>3964.4660940672625</v>
      </c>
      <c r="P228" s="6">
        <v>225</v>
      </c>
      <c r="Q228" s="52">
        <f t="shared" si="82"/>
        <v>-22474.873734152916</v>
      </c>
      <c r="R228" s="52">
        <f t="shared" si="83"/>
        <v>7525.1262658470841</v>
      </c>
      <c r="T228" s="6">
        <v>225</v>
      </c>
      <c r="U228" s="52">
        <f t="shared" si="69"/>
        <v>-8535.533905932738</v>
      </c>
      <c r="V228" s="52">
        <f t="shared" si="70"/>
        <v>-18535.533905932738</v>
      </c>
      <c r="X228" s="6">
        <v>224</v>
      </c>
      <c r="Y228" s="55">
        <v>112</v>
      </c>
      <c r="Z228" s="52">
        <f t="shared" si="84"/>
        <v>49016.238002458434</v>
      </c>
      <c r="AA228" s="52">
        <f t="shared" si="85"/>
        <v>-42425.719750190736</v>
      </c>
      <c r="AB228" s="52">
        <f t="shared" si="86"/>
        <v>2171.7022470852294</v>
      </c>
      <c r="AC228" s="52">
        <f t="shared" si="87"/>
        <v>-1732.390884976083</v>
      </c>
      <c r="AD228" s="52">
        <f t="shared" si="71"/>
        <v>-216.52217227510087</v>
      </c>
      <c r="AE228" s="52">
        <f t="shared" si="72"/>
        <v>206.23421125111679</v>
      </c>
      <c r="AF228" s="52">
        <f t="shared" si="73"/>
        <v>-75.481537175890807</v>
      </c>
      <c r="AG228" s="52">
        <f t="shared" si="74"/>
        <v>129.87452305284512</v>
      </c>
      <c r="AH228" s="52">
        <f t="shared" si="75"/>
        <v>-18.853902515478641</v>
      </c>
      <c r="AI228" s="52">
        <f t="shared" si="76"/>
        <v>14.321693533030446</v>
      </c>
      <c r="AJ228" s="52">
        <f t="shared" si="77"/>
        <v>-122.18673258373143</v>
      </c>
      <c r="AK228" s="52">
        <f t="shared" si="78"/>
        <v>62.037994665241236</v>
      </c>
      <c r="AM228" s="52">
        <f t="shared" si="79"/>
        <v>57745.299032820833</v>
      </c>
      <c r="AN228" s="57">
        <f t="shared" si="80"/>
        <v>86670.047878938713</v>
      </c>
      <c r="AO228" s="57">
        <f t="shared" si="81"/>
        <v>60579.898248133737</v>
      </c>
    </row>
    <row r="229" spans="12:41" x14ac:dyDescent="0.25">
      <c r="L229" s="6">
        <v>226</v>
      </c>
      <c r="M229" s="52">
        <f t="shared" si="67"/>
        <v>16526.708147705012</v>
      </c>
      <c r="N229" s="52">
        <f t="shared" si="68"/>
        <v>3903.3009983067459</v>
      </c>
      <c r="P229" s="6">
        <v>226</v>
      </c>
      <c r="Q229" s="52">
        <f t="shared" si="82"/>
        <v>-22431.30429660649</v>
      </c>
      <c r="R229" s="52">
        <f t="shared" si="83"/>
        <v>7482.3106988147219</v>
      </c>
      <c r="T229" s="6">
        <v>226</v>
      </c>
      <c r="U229" s="52">
        <f t="shared" si="69"/>
        <v>-8473.2918522949876</v>
      </c>
      <c r="V229" s="52">
        <f t="shared" si="70"/>
        <v>-18596.699001693254</v>
      </c>
      <c r="X229" s="6">
        <v>225</v>
      </c>
      <c r="Y229" s="55">
        <v>112.5</v>
      </c>
      <c r="Z229" s="52">
        <f t="shared" si="84"/>
        <v>50075.023854466657</v>
      </c>
      <c r="AA229" s="52">
        <f t="shared" si="85"/>
        <v>-43266.135916272382</v>
      </c>
      <c r="AB229" s="52">
        <f t="shared" si="86"/>
        <v>2063.4411609476788</v>
      </c>
      <c r="AC229" s="52">
        <f t="shared" si="87"/>
        <v>-1629.2737793505246</v>
      </c>
      <c r="AD229" s="52">
        <f t="shared" si="71"/>
        <v>-208.69183894019409</v>
      </c>
      <c r="AE229" s="52">
        <f t="shared" si="72"/>
        <v>197.92131496947081</v>
      </c>
      <c r="AF229" s="52">
        <f t="shared" si="73"/>
        <v>-73.463126470262736</v>
      </c>
      <c r="AG229" s="52">
        <f t="shared" si="74"/>
        <v>124.00452552491589</v>
      </c>
      <c r="AH229" s="52">
        <f t="shared" si="75"/>
        <v>-18.28025392486791</v>
      </c>
      <c r="AI229" s="52">
        <f t="shared" si="76"/>
        <v>13.895371511656219</v>
      </c>
      <c r="AJ229" s="52">
        <f t="shared" si="77"/>
        <v>-116.94845854506343</v>
      </c>
      <c r="AK229" s="52">
        <f t="shared" si="78"/>
        <v>60.021417932898707</v>
      </c>
      <c r="AM229" s="52">
        <f t="shared" si="79"/>
        <v>59005.996438634771</v>
      </c>
      <c r="AN229" s="57">
        <f t="shared" si="80"/>
        <v>88021.532613644449</v>
      </c>
      <c r="AO229" s="57">
        <f t="shared" si="81"/>
        <v>61905.029619629895</v>
      </c>
    </row>
    <row r="230" spans="12:41" x14ac:dyDescent="0.25">
      <c r="L230" s="6">
        <v>227</v>
      </c>
      <c r="M230" s="52">
        <f t="shared" si="67"/>
        <v>16590.008199687505</v>
      </c>
      <c r="N230" s="52">
        <f t="shared" si="68"/>
        <v>3843.2314919041492</v>
      </c>
      <c r="P230" s="6">
        <v>227</v>
      </c>
      <c r="Q230" s="52">
        <f t="shared" si="82"/>
        <v>-22386.994260218748</v>
      </c>
      <c r="R230" s="52">
        <f t="shared" si="83"/>
        <v>7440.2620443329051</v>
      </c>
      <c r="T230" s="6">
        <v>227</v>
      </c>
      <c r="U230" s="52">
        <f t="shared" si="69"/>
        <v>-8409.9918003124949</v>
      </c>
      <c r="V230" s="52">
        <f t="shared" si="70"/>
        <v>-18656.768508095851</v>
      </c>
      <c r="X230" s="6">
        <v>226</v>
      </c>
      <c r="Y230" s="55">
        <v>113</v>
      </c>
      <c r="Z230" s="52">
        <f t="shared" si="84"/>
        <v>51080.657955072973</v>
      </c>
      <c r="AA230" s="52">
        <f t="shared" si="85"/>
        <v>-44056.032641576458</v>
      </c>
      <c r="AB230" s="52">
        <f t="shared" si="86"/>
        <v>1959.0952414775818</v>
      </c>
      <c r="AC230" s="52">
        <f t="shared" si="87"/>
        <v>-1530.3131218657891</v>
      </c>
      <c r="AD230" s="52">
        <f t="shared" si="71"/>
        <v>-201.66095779549261</v>
      </c>
      <c r="AE230" s="52">
        <f t="shared" si="72"/>
        <v>190.47049637306191</v>
      </c>
      <c r="AF230" s="52">
        <f t="shared" si="73"/>
        <v>-71.609188946413667</v>
      </c>
      <c r="AG230" s="52">
        <f t="shared" si="74"/>
        <v>118.78402600404186</v>
      </c>
      <c r="AH230" s="52">
        <f t="shared" si="75"/>
        <v>-17.762218602360896</v>
      </c>
      <c r="AI230" s="52">
        <f t="shared" si="76"/>
        <v>13.507965404075325</v>
      </c>
      <c r="AJ230" s="52">
        <f t="shared" si="77"/>
        <v>-112.28955024671806</v>
      </c>
      <c r="AK230" s="52">
        <f t="shared" si="78"/>
        <v>58.178504964944729</v>
      </c>
      <c r="AM230" s="52">
        <f t="shared" si="79"/>
        <v>60199.931899127077</v>
      </c>
      <c r="AN230" s="57">
        <f t="shared" si="80"/>
        <v>89300.137739385696</v>
      </c>
      <c r="AO230" s="57">
        <f t="shared" si="81"/>
        <v>63160.852033061165</v>
      </c>
    </row>
    <row r="231" spans="12:41" x14ac:dyDescent="0.25">
      <c r="L231" s="6">
        <v>228</v>
      </c>
      <c r="M231" s="52">
        <f t="shared" si="67"/>
        <v>16654.346968205708</v>
      </c>
      <c r="N231" s="52">
        <f t="shared" si="68"/>
        <v>3784.2758726130301</v>
      </c>
      <c r="P231" s="6">
        <v>228</v>
      </c>
      <c r="Q231" s="52">
        <f t="shared" si="82"/>
        <v>-22341.957122256004</v>
      </c>
      <c r="R231" s="52">
        <f t="shared" si="83"/>
        <v>7398.9931108291203</v>
      </c>
      <c r="T231" s="6">
        <v>228</v>
      </c>
      <c r="U231" s="52">
        <f t="shared" si="69"/>
        <v>-8345.6530317942925</v>
      </c>
      <c r="V231" s="52">
        <f t="shared" si="70"/>
        <v>-18715.724127386969</v>
      </c>
      <c r="X231" s="6">
        <v>227</v>
      </c>
      <c r="Y231" s="55">
        <v>113.5</v>
      </c>
      <c r="Z231" s="52">
        <f t="shared" si="84"/>
        <v>52034.997956087325</v>
      </c>
      <c r="AA231" s="52">
        <f t="shared" si="85"/>
        <v>-44797.38039046272</v>
      </c>
      <c r="AB231" s="52">
        <f t="shared" si="86"/>
        <v>1858.2647625798354</v>
      </c>
      <c r="AC231" s="52">
        <f t="shared" si="87"/>
        <v>-1435.0778736792581</v>
      </c>
      <c r="AD231" s="52">
        <f t="shared" si="71"/>
        <v>-195.33468943992784</v>
      </c>
      <c r="AE231" s="52">
        <f t="shared" si="72"/>
        <v>183.77433249536159</v>
      </c>
      <c r="AF231" s="52">
        <f t="shared" si="73"/>
        <v>-69.908542028924259</v>
      </c>
      <c r="AG231" s="52">
        <f t="shared" si="74"/>
        <v>114.12623219270658</v>
      </c>
      <c r="AH231" s="52">
        <f t="shared" si="75"/>
        <v>-17.293492790274211</v>
      </c>
      <c r="AI231" s="52">
        <f t="shared" si="76"/>
        <v>13.155245777699092</v>
      </c>
      <c r="AJ231" s="52">
        <f t="shared" si="77"/>
        <v>-108.13265462072935</v>
      </c>
      <c r="AK231" s="52">
        <f t="shared" si="78"/>
        <v>56.492854524955909</v>
      </c>
      <c r="AM231" s="52">
        <f t="shared" si="79"/>
        <v>61329.088447092334</v>
      </c>
      <c r="AN231" s="57">
        <f t="shared" si="80"/>
        <v>90508.529035613945</v>
      </c>
      <c r="AO231" s="57">
        <f t="shared" si="81"/>
        <v>64349.629913347737</v>
      </c>
    </row>
    <row r="232" spans="12:41" x14ac:dyDescent="0.25">
      <c r="L232" s="6">
        <v>229</v>
      </c>
      <c r="M232" s="52">
        <f t="shared" si="67"/>
        <v>16719.704855047461</v>
      </c>
      <c r="N232" s="52">
        <f t="shared" si="68"/>
        <v>3726.4520988861418</v>
      </c>
      <c r="P232" s="6">
        <v>229</v>
      </c>
      <c r="Q232" s="52">
        <f t="shared" si="82"/>
        <v>-22296.206601466776</v>
      </c>
      <c r="R232" s="52">
        <f t="shared" si="83"/>
        <v>7358.5164692202998</v>
      </c>
      <c r="T232" s="6">
        <v>229</v>
      </c>
      <c r="U232" s="52">
        <f t="shared" si="69"/>
        <v>-8280.295144952539</v>
      </c>
      <c r="V232" s="52">
        <f t="shared" si="70"/>
        <v>-18773.54790111386</v>
      </c>
      <c r="X232" s="6">
        <v>228</v>
      </c>
      <c r="Y232" s="55">
        <v>114</v>
      </c>
      <c r="Z232" s="52">
        <f t="shared" si="84"/>
        <v>52939.713501197257</v>
      </c>
      <c r="AA232" s="52">
        <f t="shared" si="85"/>
        <v>-45491.94753574043</v>
      </c>
      <c r="AB232" s="52">
        <f t="shared" si="86"/>
        <v>1760.5974178598715</v>
      </c>
      <c r="AC232" s="52">
        <f t="shared" si="87"/>
        <v>-1343.1907074315773</v>
      </c>
      <c r="AD232" s="52">
        <f t="shared" si="71"/>
        <v>-189.63299582842649</v>
      </c>
      <c r="AE232" s="52">
        <f t="shared" si="72"/>
        <v>177.74267849877157</v>
      </c>
      <c r="AF232" s="52">
        <f t="shared" si="73"/>
        <v>-68.350475431295934</v>
      </c>
      <c r="AG232" s="52">
        <f t="shared" si="74"/>
        <v>109.95920799270156</v>
      </c>
      <c r="AH232" s="52">
        <f t="shared" si="75"/>
        <v>-16.868750199081706</v>
      </c>
      <c r="AI232" s="52">
        <f t="shared" si="76"/>
        <v>12.833609512677725</v>
      </c>
      <c r="AJ232" s="52">
        <f t="shared" si="77"/>
        <v>-104.41377019804884</v>
      </c>
      <c r="AK232" s="52">
        <f t="shared" si="78"/>
        <v>54.949860993392271</v>
      </c>
      <c r="AM232" s="52">
        <f t="shared" si="79"/>
        <v>62395.282106675528</v>
      </c>
      <c r="AN232" s="57">
        <f t="shared" si="80"/>
        <v>91649.102815827428</v>
      </c>
      <c r="AO232" s="57">
        <f t="shared" si="81"/>
        <v>65473.424113323774</v>
      </c>
    </row>
    <row r="233" spans="12:41" x14ac:dyDescent="0.25">
      <c r="L233" s="6">
        <v>230</v>
      </c>
      <c r="M233" s="52">
        <f t="shared" si="67"/>
        <v>16786.061951567302</v>
      </c>
      <c r="N233" s="52">
        <f t="shared" si="68"/>
        <v>3669.7777844051107</v>
      </c>
      <c r="P233" s="6">
        <v>230</v>
      </c>
      <c r="Q233" s="52">
        <f t="shared" si="82"/>
        <v>-22249.756633902889</v>
      </c>
      <c r="R233" s="52">
        <f t="shared" si="83"/>
        <v>7318.8444490835773</v>
      </c>
      <c r="T233" s="6">
        <v>230</v>
      </c>
      <c r="U233" s="52">
        <f t="shared" si="69"/>
        <v>-8213.9380484326975</v>
      </c>
      <c r="V233" s="52">
        <f t="shared" si="70"/>
        <v>-18830.222215594891</v>
      </c>
      <c r="X233" s="6">
        <v>229</v>
      </c>
      <c r="Y233" s="55">
        <v>114.5</v>
      </c>
      <c r="Z233" s="52">
        <f t="shared" si="84"/>
        <v>53796.308085648641</v>
      </c>
      <c r="AA233" s="52">
        <f t="shared" si="85"/>
        <v>-46141.325054643872</v>
      </c>
      <c r="AB233" s="52">
        <f t="shared" si="86"/>
        <v>1665.7809199456583</v>
      </c>
      <c r="AC233" s="52">
        <f t="shared" si="87"/>
        <v>-1254.3193681821915</v>
      </c>
      <c r="AD233" s="52">
        <f t="shared" si="71"/>
        <v>-184.48801067722093</v>
      </c>
      <c r="AE233" s="52">
        <f t="shared" si="72"/>
        <v>172.29948413680532</v>
      </c>
      <c r="AF233" s="52">
        <f t="shared" si="73"/>
        <v>-66.924960618600593</v>
      </c>
      <c r="AG233" s="52">
        <f t="shared" si="74"/>
        <v>106.22295067596563</v>
      </c>
      <c r="AH233" s="52">
        <f t="shared" si="75"/>
        <v>-16.483465218802653</v>
      </c>
      <c r="AI233" s="52">
        <f t="shared" si="76"/>
        <v>12.539971211048726</v>
      </c>
      <c r="AJ233" s="52">
        <f t="shared" si="77"/>
        <v>-101.0795848398177</v>
      </c>
      <c r="AK233" s="52">
        <f t="shared" si="78"/>
        <v>53.536562249790954</v>
      </c>
      <c r="AM233" s="52">
        <f t="shared" si="79"/>
        <v>63400.175030026883</v>
      </c>
      <c r="AN233" s="57">
        <f t="shared" si="80"/>
        <v>92724.017740621843</v>
      </c>
      <c r="AO233" s="57">
        <f t="shared" si="81"/>
        <v>66534.111331417822</v>
      </c>
    </row>
    <row r="234" spans="12:41" x14ac:dyDescent="0.25">
      <c r="L234" s="6">
        <v>231</v>
      </c>
      <c r="M234" s="52">
        <f t="shared" si="67"/>
        <v>16853.398044750815</v>
      </c>
      <c r="N234" s="52">
        <f t="shared" si="68"/>
        <v>3614.2701927151443</v>
      </c>
      <c r="P234" s="6">
        <v>231</v>
      </c>
      <c r="Q234" s="52">
        <f t="shared" si="82"/>
        <v>-22202.62136867443</v>
      </c>
      <c r="R234" s="52">
        <f t="shared" si="83"/>
        <v>7279.9891349006011</v>
      </c>
      <c r="T234" s="6">
        <v>231</v>
      </c>
      <c r="U234" s="52">
        <f t="shared" si="69"/>
        <v>-8146.6019552491853</v>
      </c>
      <c r="V234" s="52">
        <f t="shared" si="70"/>
        <v>-18885.729807284857</v>
      </c>
      <c r="X234" s="6">
        <v>230</v>
      </c>
      <c r="Y234" s="55">
        <v>115</v>
      </c>
      <c r="Z234" s="52">
        <f t="shared" si="84"/>
        <v>54606.137544286816</v>
      </c>
      <c r="AA234" s="52">
        <f t="shared" si="85"/>
        <v>-46746.947303217865</v>
      </c>
      <c r="AB234" s="52">
        <f t="shared" si="86"/>
        <v>1573.5369146070479</v>
      </c>
      <c r="AC234" s="52">
        <f t="shared" si="87"/>
        <v>-1168.1696261137888</v>
      </c>
      <c r="AD234" s="52">
        <f t="shared" si="71"/>
        <v>-179.84194006878903</v>
      </c>
      <c r="AE234" s="52">
        <f t="shared" si="72"/>
        <v>167.38027387571623</v>
      </c>
      <c r="AF234" s="52">
        <f t="shared" si="73"/>
        <v>-65.622747674942872</v>
      </c>
      <c r="AG234" s="52">
        <f t="shared" si="74"/>
        <v>102.86712091054169</v>
      </c>
      <c r="AH234" s="52">
        <f t="shared" si="75"/>
        <v>-16.133773431885526</v>
      </c>
      <c r="AI234" s="52">
        <f t="shared" si="76"/>
        <v>12.27167657885775</v>
      </c>
      <c r="AJ234" s="52">
        <f t="shared" si="77"/>
        <v>-98.085418961960627</v>
      </c>
      <c r="AK234" s="52">
        <f t="shared" si="78"/>
        <v>52.241476386316791</v>
      </c>
      <c r="AM234" s="52">
        <f t="shared" si="79"/>
        <v>64345.287686451396</v>
      </c>
      <c r="AN234" s="57">
        <f t="shared" si="80"/>
        <v>93735.221701936709</v>
      </c>
      <c r="AO234" s="57">
        <f t="shared" si="81"/>
        <v>67533.401336092429</v>
      </c>
    </row>
    <row r="235" spans="12:41" x14ac:dyDescent="0.25">
      <c r="L235" s="6">
        <v>232</v>
      </c>
      <c r="M235" s="52">
        <f t="shared" si="67"/>
        <v>16921.692623371709</v>
      </c>
      <c r="N235" s="52">
        <f t="shared" si="68"/>
        <v>3559.9462319663894</v>
      </c>
      <c r="P235" s="6">
        <v>232</v>
      </c>
      <c r="Q235" s="52">
        <f t="shared" si="82"/>
        <v>-22154.815163639803</v>
      </c>
      <c r="R235" s="52">
        <f t="shared" si="83"/>
        <v>7241.9623623764728</v>
      </c>
      <c r="T235" s="6">
        <v>232</v>
      </c>
      <c r="U235" s="52">
        <f t="shared" si="69"/>
        <v>-8078.3073766282905</v>
      </c>
      <c r="V235" s="52">
        <f t="shared" si="70"/>
        <v>-18940.053768033609</v>
      </c>
      <c r="X235" s="6">
        <v>231</v>
      </c>
      <c r="Y235" s="55">
        <v>115.5</v>
      </c>
      <c r="Z235" s="52">
        <f t="shared" si="84"/>
        <v>55370.425759081736</v>
      </c>
      <c r="AA235" s="52">
        <f t="shared" si="85"/>
        <v>-47310.109582040292</v>
      </c>
      <c r="AB235" s="52">
        <f t="shared" si="86"/>
        <v>1483.6159445726535</v>
      </c>
      <c r="AC235" s="52">
        <f t="shared" si="87"/>
        <v>-1084.4794891759307</v>
      </c>
      <c r="AD235" s="52">
        <f t="shared" si="71"/>
        <v>-175.64537725636688</v>
      </c>
      <c r="AE235" s="52">
        <f t="shared" si="72"/>
        <v>162.9301399954096</v>
      </c>
      <c r="AF235" s="52">
        <f t="shared" si="73"/>
        <v>-64.435394429018729</v>
      </c>
      <c r="AG235" s="52">
        <f t="shared" si="74"/>
        <v>99.849265419421769</v>
      </c>
      <c r="AH235" s="52">
        <f t="shared" si="75"/>
        <v>-15.816360627636472</v>
      </c>
      <c r="AI235" s="52">
        <f t="shared" si="76"/>
        <v>12.02643280344868</v>
      </c>
      <c r="AJ235" s="52">
        <f t="shared" si="77"/>
        <v>-95.393622199711672</v>
      </c>
      <c r="AK235" s="52">
        <f t="shared" si="78"/>
        <v>51.054441772539143</v>
      </c>
      <c r="AM235" s="52">
        <f t="shared" si="79"/>
        <v>65232.010016356064</v>
      </c>
      <c r="AN235" s="57">
        <f t="shared" si="80"/>
        <v>94684.474648226867</v>
      </c>
      <c r="AO235" s="57">
        <f t="shared" si="81"/>
        <v>68472.852193670537</v>
      </c>
    </row>
    <row r="236" spans="12:41" x14ac:dyDescent="0.25">
      <c r="L236" s="6">
        <v>233</v>
      </c>
      <c r="M236" s="52">
        <f t="shared" si="67"/>
        <v>16990.924884239757</v>
      </c>
      <c r="N236" s="52">
        <f t="shared" si="68"/>
        <v>3506.822449763536</v>
      </c>
      <c r="P236" s="6">
        <v>233</v>
      </c>
      <c r="Q236" s="52">
        <f t="shared" si="82"/>
        <v>-22106.35258103217</v>
      </c>
      <c r="R236" s="52">
        <f t="shared" si="83"/>
        <v>7204.7757148344754</v>
      </c>
      <c r="T236" s="6">
        <v>233</v>
      </c>
      <c r="U236" s="52">
        <f t="shared" si="69"/>
        <v>-8009.0751157602408</v>
      </c>
      <c r="V236" s="52">
        <f t="shared" si="70"/>
        <v>-18993.177550236465</v>
      </c>
      <c r="X236" s="6">
        <v>232</v>
      </c>
      <c r="Y236" s="55">
        <v>116</v>
      </c>
      <c r="Z236" s="52">
        <f t="shared" si="84"/>
        <v>56090.278059211014</v>
      </c>
      <c r="AA236" s="52">
        <f t="shared" si="85"/>
        <v>-47831.983059128834</v>
      </c>
      <c r="AB236" s="52">
        <f t="shared" si="86"/>
        <v>1395.79325594447</v>
      </c>
      <c r="AC236" s="52">
        <f t="shared" si="87"/>
        <v>-1003.0144191782258</v>
      </c>
      <c r="AD236" s="52">
        <f t="shared" si="71"/>
        <v>-171.85594273008329</v>
      </c>
      <c r="AE236" s="52">
        <f t="shared" si="72"/>
        <v>158.90213459445292</v>
      </c>
      <c r="AF236" s="52">
        <f t="shared" si="73"/>
        <v>-63.355255868407539</v>
      </c>
      <c r="AG236" s="52">
        <f t="shared" si="74"/>
        <v>97.133414673783633</v>
      </c>
      <c r="AH236" s="52">
        <f t="shared" si="75"/>
        <v>-15.528373811385931</v>
      </c>
      <c r="AI236" s="52">
        <f t="shared" si="76"/>
        <v>11.80225219438767</v>
      </c>
      <c r="AJ236" s="52">
        <f t="shared" si="77"/>
        <v>-92.972313050289813</v>
      </c>
      <c r="AK236" s="52">
        <f t="shared" si="78"/>
        <v>49.966467726281621</v>
      </c>
      <c r="AM236" s="52">
        <f t="shared" si="79"/>
        <v>66061.61154291415</v>
      </c>
      <c r="AN236" s="57">
        <f t="shared" si="80"/>
        <v>95573.36804612157</v>
      </c>
      <c r="AO236" s="57">
        <f t="shared" si="81"/>
        <v>69353.883704855645</v>
      </c>
    </row>
    <row r="237" spans="12:41" x14ac:dyDescent="0.25">
      <c r="L237" s="6">
        <v>234</v>
      </c>
      <c r="M237" s="52">
        <f t="shared" si="67"/>
        <v>17061.073738537634</v>
      </c>
      <c r="N237" s="52">
        <f t="shared" si="68"/>
        <v>3454.9150281252632</v>
      </c>
      <c r="P237" s="6">
        <v>234</v>
      </c>
      <c r="Q237" s="52">
        <f t="shared" si="82"/>
        <v>-22057.248383023656</v>
      </c>
      <c r="R237" s="52">
        <f t="shared" si="83"/>
        <v>7168.4405196876842</v>
      </c>
      <c r="T237" s="6">
        <v>234</v>
      </c>
      <c r="U237" s="52">
        <f t="shared" si="69"/>
        <v>-7938.9262614623658</v>
      </c>
      <c r="V237" s="52">
        <f t="shared" si="70"/>
        <v>-19045.084971874738</v>
      </c>
      <c r="X237" s="6">
        <v>233</v>
      </c>
      <c r="Y237" s="55">
        <v>116.5</v>
      </c>
      <c r="Z237" s="52">
        <f t="shared" si="84"/>
        <v>56766.692694341989</v>
      </c>
      <c r="AA237" s="52">
        <f t="shared" si="85"/>
        <v>-48313.627501893643</v>
      </c>
      <c r="AB237" s="52">
        <f t="shared" si="86"/>
        <v>1309.8652845794284</v>
      </c>
      <c r="AC237" s="52">
        <f t="shared" si="87"/>
        <v>-923.56335188099933</v>
      </c>
      <c r="AD237" s="52">
        <f t="shared" si="71"/>
        <v>-168.43718113518878</v>
      </c>
      <c r="AE237" s="52">
        <f t="shared" si="72"/>
        <v>155.25597374248267</v>
      </c>
      <c r="AF237" s="52">
        <f t="shared" si="73"/>
        <v>-62.375451372759017</v>
      </c>
      <c r="AG237" s="52">
        <f t="shared" si="74"/>
        <v>94.688968548900888</v>
      </c>
      <c r="AH237" s="52">
        <f t="shared" si="75"/>
        <v>-15.267349346247173</v>
      </c>
      <c r="AI237" s="52">
        <f t="shared" si="76"/>
        <v>11.597406263979314</v>
      </c>
      <c r="AJ237" s="52">
        <f t="shared" si="77"/>
        <v>-90.794380416182591</v>
      </c>
      <c r="AK237" s="52">
        <f t="shared" si="78"/>
        <v>48.969598929602476</v>
      </c>
      <c r="AM237" s="52">
        <f t="shared" si="79"/>
        <v>66835.250479072187</v>
      </c>
      <c r="AN237" s="57">
        <f t="shared" si="80"/>
        <v>96403.341537817803</v>
      </c>
      <c r="AO237" s="57">
        <f t="shared" si="81"/>
        <v>70177.789247967943</v>
      </c>
    </row>
    <row r="238" spans="12:41" x14ac:dyDescent="0.25">
      <c r="L238" s="6">
        <v>235</v>
      </c>
      <c r="M238" s="52">
        <f t="shared" si="67"/>
        <v>17132.117818244769</v>
      </c>
      <c r="N238" s="52">
        <f t="shared" si="68"/>
        <v>3404.239778555042</v>
      </c>
      <c r="P238" s="6">
        <v>235</v>
      </c>
      <c r="Q238" s="52">
        <f t="shared" si="82"/>
        <v>-22007.517527228661</v>
      </c>
      <c r="R238" s="52">
        <f t="shared" si="83"/>
        <v>7132.9678449885296</v>
      </c>
      <c r="T238" s="6">
        <v>235</v>
      </c>
      <c r="U238" s="52">
        <f t="shared" si="69"/>
        <v>-7867.8821817552325</v>
      </c>
      <c r="V238" s="52">
        <f t="shared" si="70"/>
        <v>-19095.760221444958</v>
      </c>
      <c r="X238" s="6">
        <v>234</v>
      </c>
      <c r="Y238" s="55">
        <v>117</v>
      </c>
      <c r="Z238" s="52">
        <f t="shared" si="84"/>
        <v>57400.570688989807</v>
      </c>
      <c r="AA238" s="52">
        <f t="shared" si="85"/>
        <v>-48756.002181116339</v>
      </c>
      <c r="AB238" s="52">
        <f t="shared" si="86"/>
        <v>1225.6466940118339</v>
      </c>
      <c r="AC238" s="52">
        <f t="shared" si="87"/>
        <v>-845.93536500975802</v>
      </c>
      <c r="AD238" s="52">
        <f t="shared" si="71"/>
        <v>-165.35766220875362</v>
      </c>
      <c r="AE238" s="52">
        <f t="shared" si="72"/>
        <v>151.95698745749854</v>
      </c>
      <c r="AF238" s="52">
        <f t="shared" si="73"/>
        <v>-61.4898206944248</v>
      </c>
      <c r="AG238" s="52">
        <f t="shared" si="74"/>
        <v>92.48980492483085</v>
      </c>
      <c r="AH238" s="52">
        <f t="shared" si="75"/>
        <v>-15.031154558596041</v>
      </c>
      <c r="AI238" s="52">
        <f t="shared" si="76"/>
        <v>11.410388091042803</v>
      </c>
      <c r="AJ238" s="52">
        <f t="shared" si="77"/>
        <v>-88.836686955732787</v>
      </c>
      <c r="AK238" s="52">
        <f t="shared" si="78"/>
        <v>48.056794441624874</v>
      </c>
      <c r="AM238" s="52">
        <f t="shared" si="79"/>
        <v>67553.981890513969</v>
      </c>
      <c r="AN238" s="57">
        <f t="shared" si="80"/>
        <v>97175.697246218173</v>
      </c>
      <c r="AO238" s="57">
        <f t="shared" si="81"/>
        <v>70945.746211898746</v>
      </c>
    </row>
    <row r="239" spans="12:41" x14ac:dyDescent="0.25">
      <c r="L239" s="6">
        <v>236</v>
      </c>
      <c r="M239" s="52">
        <f t="shared" si="67"/>
        <v>17204.035482646264</v>
      </c>
      <c r="N239" s="52">
        <f t="shared" si="68"/>
        <v>3354.8121372247933</v>
      </c>
      <c r="P239" s="6">
        <v>236</v>
      </c>
      <c r="Q239" s="52">
        <f t="shared" si="82"/>
        <v>-21957.175162147614</v>
      </c>
      <c r="R239" s="52">
        <f t="shared" si="83"/>
        <v>7098.3684960573555</v>
      </c>
      <c r="T239" s="6">
        <v>236</v>
      </c>
      <c r="U239" s="52">
        <f t="shared" si="69"/>
        <v>-7795.9645173537356</v>
      </c>
      <c r="V239" s="52">
        <f t="shared" si="70"/>
        <v>-19145.187862775208</v>
      </c>
      <c r="X239" s="6">
        <v>235</v>
      </c>
      <c r="Y239" s="55">
        <v>117.5</v>
      </c>
      <c r="Z239" s="52">
        <f t="shared" si="84"/>
        <v>57992.724328219636</v>
      </c>
      <c r="AA239" s="52">
        <f t="shared" si="85"/>
        <v>-49159.975240189029</v>
      </c>
      <c r="AB239" s="52">
        <f t="shared" si="86"/>
        <v>1142.9678629074572</v>
      </c>
      <c r="AC239" s="52">
        <f t="shared" si="87"/>
        <v>-769.95687128100872</v>
      </c>
      <c r="AD239" s="52">
        <f t="shared" si="71"/>
        <v>-162.59024474570668</v>
      </c>
      <c r="AE239" s="52">
        <f t="shared" si="72"/>
        <v>148.9752645280744</v>
      </c>
      <c r="AF239" s="52">
        <f t="shared" si="73"/>
        <v>-60.692875443267759</v>
      </c>
      <c r="AG239" s="52">
        <f t="shared" si="74"/>
        <v>90.51356228532336</v>
      </c>
      <c r="AH239" s="52">
        <f t="shared" si="75"/>
        <v>-14.81794001361598</v>
      </c>
      <c r="AI239" s="52">
        <f t="shared" si="76"/>
        <v>11.239881307735551</v>
      </c>
      <c r="AJ239" s="52">
        <f t="shared" si="77"/>
        <v>-87.079429288822951</v>
      </c>
      <c r="AK239" s="52">
        <f t="shared" si="78"/>
        <v>47.221820935015508</v>
      </c>
      <c r="AM239" s="52">
        <f t="shared" si="79"/>
        <v>68218.764985148533</v>
      </c>
      <c r="AN239" s="57">
        <f t="shared" si="80"/>
        <v>97891.612094997399</v>
      </c>
      <c r="AO239" s="57">
        <f t="shared" si="81"/>
        <v>71658.825183653418</v>
      </c>
    </row>
    <row r="240" spans="12:41" x14ac:dyDescent="0.25">
      <c r="L240" s="6">
        <v>237</v>
      </c>
      <c r="M240" s="52">
        <f t="shared" si="67"/>
        <v>17276.804824924864</v>
      </c>
      <c r="N240" s="52">
        <f t="shared" si="68"/>
        <v>3306.6471602728798</v>
      </c>
      <c r="P240" s="6">
        <v>237</v>
      </c>
      <c r="Q240" s="52">
        <f t="shared" si="82"/>
        <v>-21906.236622552595</v>
      </c>
      <c r="R240" s="52">
        <f t="shared" si="83"/>
        <v>7064.6530121910164</v>
      </c>
      <c r="T240" s="6">
        <v>237</v>
      </c>
      <c r="U240" s="52">
        <f t="shared" si="69"/>
        <v>-7723.195175075135</v>
      </c>
      <c r="V240" s="52">
        <f t="shared" si="70"/>
        <v>-19193.352839727122</v>
      </c>
      <c r="X240" s="6">
        <v>236</v>
      </c>
      <c r="Y240" s="55">
        <v>118</v>
      </c>
      <c r="Z240" s="52">
        <f t="shared" si="84"/>
        <v>58543.884479080152</v>
      </c>
      <c r="AA240" s="52">
        <f t="shared" si="85"/>
        <v>-49526.331767763528</v>
      </c>
      <c r="AB240" s="52">
        <f t="shared" si="86"/>
        <v>1061.6727405346039</v>
      </c>
      <c r="AC240" s="52">
        <f t="shared" si="87"/>
        <v>-695.46923901697153</v>
      </c>
      <c r="AD240" s="52">
        <f t="shared" si="71"/>
        <v>-160.11147164394623</v>
      </c>
      <c r="AE240" s="52">
        <f t="shared" si="72"/>
        <v>146.28495277477072</v>
      </c>
      <c r="AF240" s="52">
        <f t="shared" si="73"/>
        <v>-59.979750188827019</v>
      </c>
      <c r="AG240" s="52">
        <f t="shared" si="74"/>
        <v>88.741059180791083</v>
      </c>
      <c r="AH240" s="52">
        <f t="shared" si="75"/>
        <v>-14.626100315793135</v>
      </c>
      <c r="AI240" s="52">
        <f t="shared" si="76"/>
        <v>11.084734421282461</v>
      </c>
      <c r="AJ240" s="52">
        <f t="shared" si="77"/>
        <v>-85.505621139326081</v>
      </c>
      <c r="AK240" s="52">
        <f t="shared" si="78"/>
        <v>46.459159172697177</v>
      </c>
      <c r="AM240" s="52">
        <f t="shared" si="79"/>
        <v>68830.469601940917</v>
      </c>
      <c r="AN240" s="57">
        <f t="shared" si="80"/>
        <v>98552.148443293423</v>
      </c>
      <c r="AO240" s="57">
        <f t="shared" si="81"/>
        <v>72317.998036646182</v>
      </c>
    </row>
    <row r="241" spans="12:41" x14ac:dyDescent="0.25">
      <c r="L241" s="6">
        <v>238</v>
      </c>
      <c r="M241" s="52">
        <f t="shared" si="67"/>
        <v>17350.403678833976</v>
      </c>
      <c r="N241" s="52">
        <f t="shared" si="68"/>
        <v>3259.7595192178705</v>
      </c>
      <c r="P241" s="6">
        <v>238</v>
      </c>
      <c r="Q241" s="52">
        <f t="shared" si="82"/>
        <v>-21854.717424816219</v>
      </c>
      <c r="R241" s="52">
        <f t="shared" si="83"/>
        <v>7031.831663452509</v>
      </c>
      <c r="T241" s="6">
        <v>238</v>
      </c>
      <c r="U241" s="52">
        <f t="shared" si="69"/>
        <v>-7649.5963211660255</v>
      </c>
      <c r="V241" s="52">
        <f t="shared" si="70"/>
        <v>-19240.240480782129</v>
      </c>
      <c r="X241" s="6">
        <v>237</v>
      </c>
      <c r="Y241" s="55">
        <v>118.5</v>
      </c>
      <c r="Z241" s="52">
        <f t="shared" si="84"/>
        <v>59054.706915391958</v>
      </c>
      <c r="AA241" s="52">
        <f t="shared" si="85"/>
        <v>-49855.780768175166</v>
      </c>
      <c r="AB241" s="52">
        <f t="shared" si="86"/>
        <v>981.61700471263077</v>
      </c>
      <c r="AC241" s="52">
        <f t="shared" si="87"/>
        <v>-622.32676262958614</v>
      </c>
      <c r="AD241" s="52">
        <f t="shared" si="71"/>
        <v>-157.90107100664889</v>
      </c>
      <c r="AE241" s="52">
        <f t="shared" si="72"/>
        <v>143.86368412355441</v>
      </c>
      <c r="AF241" s="52">
        <f t="shared" si="73"/>
        <v>-59.346155618384813</v>
      </c>
      <c r="AG241" s="52">
        <f t="shared" si="74"/>
        <v>87.155822176726844</v>
      </c>
      <c r="AH241" s="52">
        <f t="shared" si="75"/>
        <v>-14.454241774525713</v>
      </c>
      <c r="AI241" s="52">
        <f t="shared" si="76"/>
        <v>10.943939463998715</v>
      </c>
      <c r="AJ241" s="52">
        <f t="shared" si="77"/>
        <v>-84.100673613738365</v>
      </c>
      <c r="AK241" s="52">
        <f t="shared" si="78"/>
        <v>45.763922482828846</v>
      </c>
      <c r="AM241" s="52">
        <f t="shared" si="79"/>
        <v>69389.881969737748</v>
      </c>
      <c r="AN241" s="57">
        <f t="shared" si="80"/>
        <v>99158.263280708823</v>
      </c>
      <c r="AO241" s="57">
        <f t="shared" si="81"/>
        <v>72924.14504795961</v>
      </c>
    </row>
    <row r="242" spans="12:41" x14ac:dyDescent="0.25">
      <c r="L242" s="6">
        <v>239</v>
      </c>
      <c r="M242" s="52">
        <f t="shared" si="67"/>
        <v>17424.809625449729</v>
      </c>
      <c r="N242" s="52">
        <f t="shared" si="68"/>
        <v>3214.1634964894392</v>
      </c>
      <c r="P242" s="6">
        <v>239</v>
      </c>
      <c r="Q242" s="52">
        <f t="shared" si="82"/>
        <v>-21802.633262185191</v>
      </c>
      <c r="R242" s="52">
        <f t="shared" si="83"/>
        <v>6999.9144475426074</v>
      </c>
      <c r="T242" s="6">
        <v>239</v>
      </c>
      <c r="U242" s="52">
        <f t="shared" si="69"/>
        <v>-7575.1903745502723</v>
      </c>
      <c r="V242" s="52">
        <f t="shared" si="70"/>
        <v>-19285.83650351056</v>
      </c>
      <c r="X242" s="6">
        <v>238</v>
      </c>
      <c r="Y242" s="55">
        <v>119</v>
      </c>
      <c r="Z242" s="52">
        <f t="shared" si="84"/>
        <v>59525.777783872443</v>
      </c>
      <c r="AA242" s="52">
        <f t="shared" si="85"/>
        <v>-50148.961188974514</v>
      </c>
      <c r="AB242" s="52">
        <f t="shared" si="86"/>
        <v>902.66646920930634</v>
      </c>
      <c r="AC242" s="52">
        <f t="shared" si="87"/>
        <v>-550.39492056780898</v>
      </c>
      <c r="AD242" s="52">
        <f t="shared" si="71"/>
        <v>-155.94154361729917</v>
      </c>
      <c r="AE242" s="52">
        <f t="shared" si="72"/>
        <v>141.6921005605698</v>
      </c>
      <c r="AF242" s="52">
        <f t="shared" si="73"/>
        <v>-58.788335133111779</v>
      </c>
      <c r="AG242" s="52">
        <f t="shared" si="74"/>
        <v>85.743700452518965</v>
      </c>
      <c r="AH242" s="52">
        <f t="shared" si="75"/>
        <v>-14.301155641498966</v>
      </c>
      <c r="AI242" s="52">
        <f t="shared" si="76"/>
        <v>10.816614179816934</v>
      </c>
      <c r="AJ242" s="52">
        <f t="shared" si="77"/>
        <v>-82.852052842688437</v>
      </c>
      <c r="AK242" s="52">
        <f t="shared" si="78"/>
        <v>45.131785928233889</v>
      </c>
      <c r="AM242" s="52">
        <f t="shared" si="79"/>
        <v>69897.70980216701</v>
      </c>
      <c r="AN242" s="57">
        <f t="shared" si="80"/>
        <v>99710.816184818294</v>
      </c>
      <c r="AO242" s="57">
        <f t="shared" si="81"/>
        <v>73478.061156223514</v>
      </c>
    </row>
    <row r="243" spans="12:41" x14ac:dyDescent="0.25">
      <c r="L243" s="6">
        <v>240</v>
      </c>
      <c r="M243" s="52">
        <f t="shared" si="67"/>
        <v>17499.999999999996</v>
      </c>
      <c r="N243" s="52">
        <f t="shared" si="68"/>
        <v>3169.8729810778077</v>
      </c>
      <c r="P243" s="6">
        <v>240</v>
      </c>
      <c r="Q243" s="52">
        <f t="shared" si="82"/>
        <v>-21750</v>
      </c>
      <c r="R243" s="52">
        <f t="shared" si="83"/>
        <v>6968.9110867544659</v>
      </c>
      <c r="T243" s="6">
        <v>240</v>
      </c>
      <c r="U243" s="52">
        <f t="shared" si="69"/>
        <v>-7500.0000000000018</v>
      </c>
      <c r="V243" s="52">
        <f t="shared" si="70"/>
        <v>-19330.12701892219</v>
      </c>
      <c r="X243" s="6">
        <v>239</v>
      </c>
      <c r="Y243" s="55">
        <v>119.5</v>
      </c>
      <c r="Z243" s="52">
        <f t="shared" si="84"/>
        <v>59957.618325524934</v>
      </c>
      <c r="AA243" s="52">
        <f t="shared" si="85"/>
        <v>-50406.447136688344</v>
      </c>
      <c r="AB243" s="52">
        <f t="shared" si="86"/>
        <v>824.69569740065674</v>
      </c>
      <c r="AC243" s="52">
        <f t="shared" si="87"/>
        <v>-479.5488702875241</v>
      </c>
      <c r="AD243" s="52">
        <f t="shared" si="71"/>
        <v>-154.21782123764643</v>
      </c>
      <c r="AE243" s="52">
        <f t="shared" si="72"/>
        <v>139.75346217722586</v>
      </c>
      <c r="AF243" s="52">
        <f t="shared" si="73"/>
        <v>-58.303025604754438</v>
      </c>
      <c r="AG243" s="52">
        <f t="shared" si="74"/>
        <v>84.492550146164064</v>
      </c>
      <c r="AH243" s="52">
        <f t="shared" si="75"/>
        <v>-14.165795905760934</v>
      </c>
      <c r="AI243" s="52">
        <f t="shared" si="76"/>
        <v>10.701987120810681</v>
      </c>
      <c r="AJ243" s="52">
        <f t="shared" si="77"/>
        <v>-81.748999727131064</v>
      </c>
      <c r="AK243" s="52">
        <f t="shared" si="78"/>
        <v>44.558924910251093</v>
      </c>
      <c r="AM243" s="52">
        <f t="shared" si="79"/>
        <v>70354.586788939414</v>
      </c>
      <c r="AN243" s="57">
        <f t="shared" si="80"/>
        <v>100210.57620814204</v>
      </c>
      <c r="AO243" s="57">
        <f t="shared" si="81"/>
        <v>73980.46145684467</v>
      </c>
    </row>
    <row r="244" spans="12:41" x14ac:dyDescent="0.25">
      <c r="L244" s="6">
        <v>241</v>
      </c>
      <c r="M244" s="52">
        <f t="shared" si="67"/>
        <v>17575.951898768315</v>
      </c>
      <c r="N244" s="52">
        <f t="shared" si="68"/>
        <v>3126.9014643030205</v>
      </c>
      <c r="P244" s="6">
        <v>241</v>
      </c>
      <c r="Q244" s="52">
        <f t="shared" si="82"/>
        <v>-21696.833670862179</v>
      </c>
      <c r="R244" s="52">
        <f t="shared" si="83"/>
        <v>6938.831025012114</v>
      </c>
      <c r="T244" s="6">
        <v>241</v>
      </c>
      <c r="U244" s="52">
        <f t="shared" si="69"/>
        <v>-7424.0481012316841</v>
      </c>
      <c r="V244" s="52">
        <f t="shared" si="70"/>
        <v>-19373.09853569698</v>
      </c>
      <c r="X244" s="6">
        <v>240</v>
      </c>
      <c r="Y244" s="55">
        <v>120</v>
      </c>
      <c r="Z244" s="52">
        <f t="shared" si="84"/>
        <v>60350.688946570561</v>
      </c>
      <c r="AA244" s="52">
        <f t="shared" si="85"/>
        <v>-50628.752389059955</v>
      </c>
      <c r="AB244" s="52">
        <f t="shared" si="86"/>
        <v>747.58678678183355</v>
      </c>
      <c r="AC244" s="52">
        <f t="shared" si="87"/>
        <v>-409.67213919891117</v>
      </c>
      <c r="AD244" s="52">
        <f t="shared" si="71"/>
        <v>-152.71698340091339</v>
      </c>
      <c r="AE244" s="52">
        <f t="shared" si="72"/>
        <v>138.03332248432056</v>
      </c>
      <c r="AF244" s="52">
        <f t="shared" si="73"/>
        <v>-57.887422611005341</v>
      </c>
      <c r="AG244" s="52">
        <f t="shared" si="74"/>
        <v>83.391975285764929</v>
      </c>
      <c r="AH244" s="52">
        <f t="shared" si="75"/>
        <v>-14.047260847126024</v>
      </c>
      <c r="AI244" s="52">
        <f t="shared" si="76"/>
        <v>10.599385155381301</v>
      </c>
      <c r="AJ244" s="52">
        <f t="shared" si="77"/>
        <v>-80.782299942782032</v>
      </c>
      <c r="AK244" s="52">
        <f t="shared" si="78"/>
        <v>44.041962043174337</v>
      </c>
      <c r="AM244" s="52">
        <f t="shared" si="79"/>
        <v>70761.076537680899</v>
      </c>
      <c r="AN244" s="57">
        <f t="shared" si="80"/>
        <v>100658.22783281295</v>
      </c>
      <c r="AO244" s="57">
        <f t="shared" si="81"/>
        <v>74431.986018057883</v>
      </c>
    </row>
    <row r="245" spans="12:41" x14ac:dyDescent="0.25">
      <c r="L245" s="6">
        <v>242</v>
      </c>
      <c r="M245" s="52">
        <f t="shared" si="67"/>
        <v>17652.642186070545</v>
      </c>
      <c r="N245" s="52">
        <f t="shared" si="68"/>
        <v>3085.2620357053647</v>
      </c>
      <c r="P245" s="6">
        <v>242</v>
      </c>
      <c r="Q245" s="52">
        <f t="shared" si="82"/>
        <v>-21643.150469750617</v>
      </c>
      <c r="R245" s="52">
        <f t="shared" si="83"/>
        <v>6909.6834249937556</v>
      </c>
      <c r="T245" s="6">
        <v>242</v>
      </c>
      <c r="U245" s="52">
        <f t="shared" si="69"/>
        <v>-7347.3578139294532</v>
      </c>
      <c r="V245" s="52">
        <f t="shared" si="70"/>
        <v>-19414.737964294636</v>
      </c>
      <c r="X245" s="6">
        <v>241</v>
      </c>
      <c r="Y245" s="55">
        <v>120.5</v>
      </c>
      <c r="Z245" s="52">
        <f t="shared" si="84"/>
        <v>60705.39271703636</v>
      </c>
      <c r="AA245" s="52">
        <f t="shared" si="85"/>
        <v>-50816.334293348868</v>
      </c>
      <c r="AB245" s="52">
        <f t="shared" si="86"/>
        <v>671.22829508137681</v>
      </c>
      <c r="AC245" s="52">
        <f t="shared" si="87"/>
        <v>-340.65547795675087</v>
      </c>
      <c r="AD245" s="52">
        <f t="shared" si="71"/>
        <v>-151.42802289996206</v>
      </c>
      <c r="AE245" s="52">
        <f t="shared" si="72"/>
        <v>136.51925926066869</v>
      </c>
      <c r="AF245" s="52">
        <f t="shared" si="73"/>
        <v>-57.539150228288079</v>
      </c>
      <c r="AG245" s="52">
        <f t="shared" si="74"/>
        <v>82.433115017306008</v>
      </c>
      <c r="AH245" s="52">
        <f t="shared" si="75"/>
        <v>-13.944777715020896</v>
      </c>
      <c r="AI245" s="52">
        <f t="shared" si="76"/>
        <v>10.508222989962981</v>
      </c>
      <c r="AJ245" s="52">
        <f t="shared" si="77"/>
        <v>-79.944094956653103</v>
      </c>
      <c r="AK245" s="52">
        <f t="shared" si="78"/>
        <v>43.577921253399701</v>
      </c>
      <c r="AM245" s="52">
        <f t="shared" si="79"/>
        <v>71117.67601420742</v>
      </c>
      <c r="AN245" s="57">
        <f t="shared" si="80"/>
        <v>101054.37610757601</v>
      </c>
      <c r="AO245" s="57">
        <f t="shared" si="81"/>
        <v>74833.204089581064</v>
      </c>
    </row>
    <row r="246" spans="12:41" x14ac:dyDescent="0.25">
      <c r="L246" s="6">
        <v>243</v>
      </c>
      <c r="M246" s="52">
        <f t="shared" si="67"/>
        <v>17730.047501302266</v>
      </c>
      <c r="N246" s="52">
        <f t="shared" si="68"/>
        <v>3044.967379058161</v>
      </c>
      <c r="P246" s="6">
        <v>243</v>
      </c>
      <c r="Q246" s="52">
        <f t="shared" si="82"/>
        <v>-21588.966749088413</v>
      </c>
      <c r="R246" s="52">
        <f t="shared" si="83"/>
        <v>6881.4771653407133</v>
      </c>
      <c r="T246" s="6">
        <v>243</v>
      </c>
      <c r="U246" s="52">
        <f t="shared" si="69"/>
        <v>-7269.952498697734</v>
      </c>
      <c r="V246" s="52">
        <f t="shared" si="70"/>
        <v>-19455.032620941838</v>
      </c>
      <c r="X246" s="6">
        <v>242</v>
      </c>
      <c r="Y246" s="55">
        <v>121</v>
      </c>
      <c r="Z246" s="52">
        <f t="shared" si="84"/>
        <v>61022.078361714557</v>
      </c>
      <c r="AA246" s="52">
        <f t="shared" si="85"/>
        <v>-50969.597124919659</v>
      </c>
      <c r="AB246" s="52">
        <f t="shared" si="86"/>
        <v>595.51428363139576</v>
      </c>
      <c r="AC246" s="52">
        <f t="shared" si="87"/>
        <v>-272.39584832641651</v>
      </c>
      <c r="AD246" s="52">
        <f t="shared" si="71"/>
        <v>-150.34165216672335</v>
      </c>
      <c r="AE246" s="52">
        <f t="shared" si="72"/>
        <v>135.20065161891742</v>
      </c>
      <c r="AF246" s="52">
        <f t="shared" si="73"/>
        <v>-57.256235327929637</v>
      </c>
      <c r="AG246" s="52">
        <f t="shared" si="74"/>
        <v>81.608469054021754</v>
      </c>
      <c r="AH246" s="52">
        <f t="shared" si="75"/>
        <v>-13.857690030156339</v>
      </c>
      <c r="AI246" s="52">
        <f t="shared" si="76"/>
        <v>10.427994385045155</v>
      </c>
      <c r="AJ246" s="52">
        <f t="shared" si="77"/>
        <v>-79.227726808637385</v>
      </c>
      <c r="AK246" s="52">
        <f t="shared" si="78"/>
        <v>43.16418817985052</v>
      </c>
      <c r="AM246" s="52">
        <f t="shared" si="79"/>
        <v>71424.818523151058</v>
      </c>
      <c r="AN246" s="57">
        <f t="shared" si="80"/>
        <v>101399.55106225483</v>
      </c>
      <c r="AO246" s="57">
        <f t="shared" si="81"/>
        <v>75184.61776540069</v>
      </c>
    </row>
    <row r="247" spans="12:41" x14ac:dyDescent="0.25">
      <c r="L247" s="6">
        <v>244</v>
      </c>
      <c r="M247" s="52">
        <f t="shared" si="67"/>
        <v>17808.144266054613</v>
      </c>
      <c r="N247" s="52">
        <f t="shared" si="68"/>
        <v>3006.029768504166</v>
      </c>
      <c r="P247" s="6">
        <v>244</v>
      </c>
      <c r="Q247" s="52">
        <f t="shared" si="82"/>
        <v>-21534.299013761771</v>
      </c>
      <c r="R247" s="52">
        <f t="shared" si="83"/>
        <v>6854.2208379529166</v>
      </c>
      <c r="T247" s="6">
        <v>244</v>
      </c>
      <c r="U247" s="52">
        <f t="shared" si="69"/>
        <v>-7191.8557339453891</v>
      </c>
      <c r="V247" s="52">
        <f t="shared" si="70"/>
        <v>-19493.970231495834</v>
      </c>
      <c r="X247" s="6">
        <v>243</v>
      </c>
      <c r="Y247" s="55">
        <v>121.5</v>
      </c>
      <c r="Z247" s="52">
        <f t="shared" si="84"/>
        <v>61301.04279700941</v>
      </c>
      <c r="AA247" s="52">
        <f t="shared" si="85"/>
        <v>-51088.894967630498</v>
      </c>
      <c r="AB247" s="52">
        <f t="shared" si="86"/>
        <v>520.34345754803405</v>
      </c>
      <c r="AC247" s="52">
        <f t="shared" si="87"/>
        <v>-204.79552251695782</v>
      </c>
      <c r="AD247" s="52">
        <f t="shared" si="71"/>
        <v>-149.45014432915224</v>
      </c>
      <c r="AE247" s="52">
        <f t="shared" si="72"/>
        <v>134.06849587874467</v>
      </c>
      <c r="AF247" s="52">
        <f t="shared" si="73"/>
        <v>-57.037086257955949</v>
      </c>
      <c r="AG247" s="52">
        <f t="shared" si="74"/>
        <v>80.9117549997802</v>
      </c>
      <c r="AH247" s="52">
        <f t="shared" si="75"/>
        <v>-13.785447109285444</v>
      </c>
      <c r="AI247" s="52">
        <f t="shared" si="76"/>
        <v>10.358264809020893</v>
      </c>
      <c r="AJ247" s="52">
        <f t="shared" si="77"/>
        <v>-78.627610961910833</v>
      </c>
      <c r="AK247" s="52">
        <f t="shared" si="78"/>
        <v>42.798476069943582</v>
      </c>
      <c r="AM247" s="52">
        <f t="shared" si="79"/>
        <v>71682.876265175364</v>
      </c>
      <c r="AN247" s="57">
        <f t="shared" si="80"/>
        <v>101694.2114785662</v>
      </c>
      <c r="AO247" s="57">
        <f t="shared" si="81"/>
        <v>75486.665153227805</v>
      </c>
    </row>
    <row r="248" spans="12:41" x14ac:dyDescent="0.25">
      <c r="L248" s="6">
        <v>245</v>
      </c>
      <c r="M248" s="52">
        <f t="shared" si="67"/>
        <v>17886.908691296499</v>
      </c>
      <c r="N248" s="52">
        <f t="shared" si="68"/>
        <v>2968.4610648167518</v>
      </c>
      <c r="P248" s="6">
        <v>245</v>
      </c>
      <c r="Q248" s="52">
        <f t="shared" si="82"/>
        <v>-21479.16391609245</v>
      </c>
      <c r="R248" s="52">
        <f t="shared" si="83"/>
        <v>6827.9227453717258</v>
      </c>
      <c r="T248" s="6">
        <v>245</v>
      </c>
      <c r="U248" s="52">
        <f t="shared" si="69"/>
        <v>-7113.0913087034996</v>
      </c>
      <c r="V248" s="52">
        <f t="shared" si="70"/>
        <v>-19531.538935183249</v>
      </c>
      <c r="X248" s="6">
        <v>244</v>
      </c>
      <c r="Y248" s="55">
        <v>122</v>
      </c>
      <c r="Z248" s="52">
        <f t="shared" si="84"/>
        <v>61542.533257742281</v>
      </c>
      <c r="AA248" s="52">
        <f t="shared" si="85"/>
        <v>-51174.534166904137</v>
      </c>
      <c r="AB248" s="52">
        <f t="shared" si="86"/>
        <v>445.61838538345796</v>
      </c>
      <c r="AC248" s="52">
        <f t="shared" si="87"/>
        <v>-137.76127457758548</v>
      </c>
      <c r="AD248" s="52">
        <f t="shared" si="71"/>
        <v>-148.74720400988241</v>
      </c>
      <c r="AE248" s="52">
        <f t="shared" si="72"/>
        <v>133.11525435601132</v>
      </c>
      <c r="AF248" s="52">
        <f t="shared" si="73"/>
        <v>-56.880475773878032</v>
      </c>
      <c r="AG248" s="52">
        <f t="shared" si="74"/>
        <v>80.337792558718633</v>
      </c>
      <c r="AH248" s="52">
        <f t="shared" si="75"/>
        <v>-13.727595495403268</v>
      </c>
      <c r="AI248" s="52">
        <f t="shared" si="76"/>
        <v>10.2986653236365</v>
      </c>
      <c r="AJ248" s="52">
        <f t="shared" si="77"/>
        <v>-78.139132740601127</v>
      </c>
      <c r="AK248" s="52">
        <f t="shared" si="78"/>
        <v>42.478796473656196</v>
      </c>
      <c r="AM248" s="52">
        <f t="shared" si="79"/>
        <v>71892.162501720755</v>
      </c>
      <c r="AN248" s="57">
        <f t="shared" si="80"/>
        <v>101938.74808250162</v>
      </c>
      <c r="AO248" s="57">
        <f t="shared" si="81"/>
        <v>75739.723095283713</v>
      </c>
    </row>
    <row r="249" spans="12:41" x14ac:dyDescent="0.25">
      <c r="L249" s="6">
        <v>246</v>
      </c>
      <c r="M249" s="52">
        <f t="shared" si="67"/>
        <v>17966.316784620998</v>
      </c>
      <c r="N249" s="52">
        <f t="shared" si="68"/>
        <v>2932.2727117869954</v>
      </c>
      <c r="P249" s="6">
        <v>246</v>
      </c>
      <c r="Q249" s="52">
        <f t="shared" si="82"/>
        <v>-21423.578250765298</v>
      </c>
      <c r="R249" s="52">
        <f t="shared" si="83"/>
        <v>6802.5908982508972</v>
      </c>
      <c r="T249" s="6">
        <v>246</v>
      </c>
      <c r="U249" s="52">
        <f t="shared" si="69"/>
        <v>-7033.6832153790001</v>
      </c>
      <c r="V249" s="52">
        <f t="shared" si="70"/>
        <v>-19567.727288213006</v>
      </c>
      <c r="X249" s="6">
        <v>245</v>
      </c>
      <c r="Y249" s="55">
        <v>122.5</v>
      </c>
      <c r="Z249" s="52">
        <f t="shared" si="84"/>
        <v>61746.749049932769</v>
      </c>
      <c r="AA249" s="52">
        <f t="shared" si="85"/>
        <v>-51226.775397398429</v>
      </c>
      <c r="AB249" s="52">
        <f t="shared" si="86"/>
        <v>371.24478337851679</v>
      </c>
      <c r="AC249" s="52">
        <f t="shared" si="87"/>
        <v>-71.203647399579822</v>
      </c>
      <c r="AD249" s="52">
        <f t="shared" si="71"/>
        <v>-148.22786396922373</v>
      </c>
      <c r="AE249" s="52">
        <f t="shared" si="72"/>
        <v>132.33473239717267</v>
      </c>
      <c r="AF249" s="52">
        <f t="shared" si="73"/>
        <v>-56.785528092303956</v>
      </c>
      <c r="AG249" s="52">
        <f t="shared" si="74"/>
        <v>79.88241072641712</v>
      </c>
      <c r="AH249" s="52">
        <f t="shared" si="75"/>
        <v>-13.683772041999227</v>
      </c>
      <c r="AI249" s="52">
        <f t="shared" si="76"/>
        <v>10.248887535490022</v>
      </c>
      <c r="AJ249" s="52">
        <f t="shared" si="77"/>
        <v>-77.758563834920551</v>
      </c>
      <c r="AK249" s="52">
        <f t="shared" si="78"/>
        <v>42.203434135265532</v>
      </c>
      <c r="AM249" s="52">
        <f t="shared" si="79"/>
        <v>72052.933353296205</v>
      </c>
      <c r="AN249" s="57">
        <f t="shared" si="80"/>
        <v>102133.48621189897</v>
      </c>
      <c r="AO249" s="57">
        <f t="shared" si="81"/>
        <v>75944.109478143553</v>
      </c>
    </row>
    <row r="250" spans="12:41" x14ac:dyDescent="0.25">
      <c r="L250" s="6">
        <v>247</v>
      </c>
      <c r="M250" s="52">
        <f t="shared" si="67"/>
        <v>18046.344357553629</v>
      </c>
      <c r="N250" s="52">
        <f t="shared" si="68"/>
        <v>2897.4757327377984</v>
      </c>
      <c r="P250" s="6">
        <v>247</v>
      </c>
      <c r="Q250" s="52">
        <f t="shared" si="82"/>
        <v>-21367.55894971246</v>
      </c>
      <c r="R250" s="52">
        <f t="shared" si="83"/>
        <v>6778.2330129164593</v>
      </c>
      <c r="T250" s="6">
        <v>247</v>
      </c>
      <c r="U250" s="52">
        <f t="shared" si="69"/>
        <v>-6953.6556424463688</v>
      </c>
      <c r="V250" s="52">
        <f t="shared" si="70"/>
        <v>-19602.524267262201</v>
      </c>
      <c r="X250" s="6">
        <v>246</v>
      </c>
      <c r="Y250" s="55">
        <v>123</v>
      </c>
      <c r="Z250" s="52">
        <f t="shared" si="84"/>
        <v>61913.842958625872</v>
      </c>
      <c r="AA250" s="52">
        <f t="shared" si="85"/>
        <v>-51245.835379548575</v>
      </c>
      <c r="AB250" s="52">
        <f t="shared" si="86"/>
        <v>297.13085139390489</v>
      </c>
      <c r="AC250" s="52">
        <f t="shared" si="87"/>
        <v>-5.0362812009934856</v>
      </c>
      <c r="AD250" s="52">
        <f t="shared" si="71"/>
        <v>-147.88840455038394</v>
      </c>
      <c r="AE250" s="52">
        <f t="shared" si="72"/>
        <v>131.72197998144367</v>
      </c>
      <c r="AF250" s="52">
        <f t="shared" si="73"/>
        <v>-56.751709971222887</v>
      </c>
      <c r="AG250" s="52">
        <f t="shared" si="74"/>
        <v>79.54237493250956</v>
      </c>
      <c r="AH250" s="52">
        <f t="shared" si="75"/>
        <v>-13.653698454189515</v>
      </c>
      <c r="AI250" s="52">
        <f t="shared" si="76"/>
        <v>10.208679481313837</v>
      </c>
      <c r="AJ250" s="52">
        <f t="shared" si="77"/>
        <v>-77.48299612497155</v>
      </c>
      <c r="AK250" s="52">
        <f t="shared" si="78"/>
        <v>41.970925567620277</v>
      </c>
      <c r="AM250" s="52">
        <f t="shared" si="79"/>
        <v>72165.389252753099</v>
      </c>
      <c r="AN250" s="57">
        <f t="shared" si="80"/>
        <v>102278.68800287372</v>
      </c>
      <c r="AO250" s="57">
        <f t="shared" si="81"/>
        <v>76100.08516324393</v>
      </c>
    </row>
    <row r="251" spans="12:41" x14ac:dyDescent="0.25">
      <c r="L251" s="6">
        <v>248</v>
      </c>
      <c r="M251" s="52">
        <f t="shared" si="67"/>
        <v>18126.967032920438</v>
      </c>
      <c r="N251" s="52">
        <f t="shared" si="68"/>
        <v>2864.0807271660633</v>
      </c>
      <c r="P251" s="6">
        <v>248</v>
      </c>
      <c r="Q251" s="52">
        <f t="shared" si="82"/>
        <v>-21311.123076955693</v>
      </c>
      <c r="R251" s="52">
        <f t="shared" si="83"/>
        <v>6754.8565090162447</v>
      </c>
      <c r="T251" s="6">
        <v>248</v>
      </c>
      <c r="U251" s="52">
        <f t="shared" si="69"/>
        <v>-6873.0329670795618</v>
      </c>
      <c r="V251" s="52">
        <f t="shared" si="70"/>
        <v>-19635.919272833937</v>
      </c>
      <c r="X251" s="6">
        <v>247</v>
      </c>
      <c r="Y251" s="55">
        <v>123.5</v>
      </c>
      <c r="Z251" s="52">
        <f t="shared" si="84"/>
        <v>62043.922333754024</v>
      </c>
      <c r="AA251" s="52">
        <f t="shared" si="85"/>
        <v>-51231.888272651391</v>
      </c>
      <c r="AB251" s="52">
        <f t="shared" si="86"/>
        <v>223.18664911871292</v>
      </c>
      <c r="AC251" s="52">
        <f t="shared" si="87"/>
        <v>60.824708789728348</v>
      </c>
      <c r="AD251" s="52">
        <f t="shared" si="71"/>
        <v>-147.7262936009941</v>
      </c>
      <c r="AE251" s="52">
        <f t="shared" si="72"/>
        <v>131.27321503330032</v>
      </c>
      <c r="AF251" s="52">
        <f t="shared" si="73"/>
        <v>-56.778825764457316</v>
      </c>
      <c r="AG251" s="52">
        <f t="shared" si="74"/>
        <v>79.315331823197567</v>
      </c>
      <c r="AH251" s="52">
        <f t="shared" si="75"/>
        <v>-13.637177134639284</v>
      </c>
      <c r="AI251" s="52">
        <f t="shared" si="76"/>
        <v>10.177842342369896</v>
      </c>
      <c r="AJ251" s="52">
        <f t="shared" si="77"/>
        <v>-77.310290701897515</v>
      </c>
      <c r="AK251" s="52">
        <f t="shared" si="78"/>
        <v>41.780040867732851</v>
      </c>
      <c r="AM251" s="52">
        <f t="shared" si="79"/>
        <v>72229.676070697882</v>
      </c>
      <c r="AN251" s="57">
        <f t="shared" si="80"/>
        <v>102374.5541301232</v>
      </c>
      <c r="AO251" s="57">
        <f t="shared" si="81"/>
        <v>76207.855564215512</v>
      </c>
    </row>
    <row r="252" spans="12:41" x14ac:dyDescent="0.25">
      <c r="L252" s="6">
        <v>249</v>
      </c>
      <c r="M252" s="52">
        <f t="shared" si="67"/>
        <v>18208.160252273497</v>
      </c>
      <c r="N252" s="52">
        <f t="shared" si="68"/>
        <v>2832.0978675139922</v>
      </c>
      <c r="P252" s="6">
        <v>249</v>
      </c>
      <c r="Q252" s="52">
        <f t="shared" si="82"/>
        <v>-21254.287823408551</v>
      </c>
      <c r="R252" s="52">
        <f t="shared" si="83"/>
        <v>6732.4685072597949</v>
      </c>
      <c r="T252" s="6">
        <v>249</v>
      </c>
      <c r="U252" s="52">
        <f t="shared" si="69"/>
        <v>-6791.8397477265034</v>
      </c>
      <c r="V252" s="52">
        <f t="shared" si="70"/>
        <v>-19667.902132486008</v>
      </c>
      <c r="X252" s="6">
        <v>248</v>
      </c>
      <c r="Y252" s="55">
        <v>124</v>
      </c>
      <c r="Z252" s="52">
        <f t="shared" si="84"/>
        <v>62137.049871613257</v>
      </c>
      <c r="AA252" s="52">
        <f t="shared" si="85"/>
        <v>-51185.066766377364</v>
      </c>
      <c r="AB252" s="52">
        <f t="shared" si="86"/>
        <v>149.32350231821587</v>
      </c>
      <c r="AC252" s="52">
        <f t="shared" si="87"/>
        <v>126.46131630637851</v>
      </c>
      <c r="AD252" s="52">
        <f t="shared" si="71"/>
        <v>-147.74014515728538</v>
      </c>
      <c r="AE252" s="52">
        <f t="shared" si="72"/>
        <v>130.98576627755901</v>
      </c>
      <c r="AF252" s="52">
        <f t="shared" si="73"/>
        <v>-56.86701645164257</v>
      </c>
      <c r="AG252" s="52">
        <f t="shared" si="74"/>
        <v>79.199769975295496</v>
      </c>
      <c r="AH252" s="52">
        <f t="shared" si="75"/>
        <v>-13.634088220435492</v>
      </c>
      <c r="AI252" s="52">
        <f t="shared" si="76"/>
        <v>10.15622790652878</v>
      </c>
      <c r="AJ252" s="52">
        <f t="shared" si="77"/>
        <v>-77.239040485207326</v>
      </c>
      <c r="AK252" s="52">
        <f t="shared" si="78"/>
        <v>41.629768395734722</v>
      </c>
      <c r="AM252" s="52">
        <f t="shared" si="79"/>
        <v>72245.885926168776</v>
      </c>
      <c r="AN252" s="57">
        <f t="shared" si="80"/>
        <v>102421.22512847588</v>
      </c>
      <c r="AO252" s="57">
        <f t="shared" si="81"/>
        <v>76267.571892323103</v>
      </c>
    </row>
    <row r="253" spans="12:41" x14ac:dyDescent="0.25">
      <c r="L253" s="6">
        <v>250</v>
      </c>
      <c r="M253" s="52">
        <f t="shared" si="67"/>
        <v>18289.899283371655</v>
      </c>
      <c r="N253" s="52">
        <f t="shared" si="68"/>
        <v>2801.5368960704591</v>
      </c>
      <c r="P253" s="6">
        <v>250</v>
      </c>
      <c r="Q253" s="52">
        <f t="shared" si="82"/>
        <v>-21197.070501639842</v>
      </c>
      <c r="R253" s="52">
        <f t="shared" si="83"/>
        <v>6711.0758272493213</v>
      </c>
      <c r="T253" s="6">
        <v>250</v>
      </c>
      <c r="U253" s="52">
        <f t="shared" si="69"/>
        <v>-6710.1007166283471</v>
      </c>
      <c r="V253" s="52">
        <f t="shared" si="70"/>
        <v>-19698.463103929542</v>
      </c>
      <c r="X253" s="6">
        <v>249</v>
      </c>
      <c r="Y253" s="55">
        <v>124.5</v>
      </c>
      <c r="Z253" s="52">
        <f t="shared" si="84"/>
        <v>62193.244104627709</v>
      </c>
      <c r="AA253" s="52">
        <f t="shared" si="85"/>
        <v>-51105.462887439484</v>
      </c>
      <c r="AB253" s="52">
        <f t="shared" si="86"/>
        <v>75.453429739573181</v>
      </c>
      <c r="AC253" s="52">
        <f t="shared" si="87"/>
        <v>191.954199445158</v>
      </c>
      <c r="AD253" s="52">
        <f t="shared" si="71"/>
        <v>-147.92969571425073</v>
      </c>
      <c r="AE253" s="52">
        <f t="shared" si="72"/>
        <v>130.85803406275758</v>
      </c>
      <c r="AF253" s="52">
        <f t="shared" si="73"/>
        <v>-57.016762707550839</v>
      </c>
      <c r="AG253" s="52">
        <f t="shared" si="74"/>
        <v>79.194995353600291</v>
      </c>
      <c r="AH253" s="52">
        <f t="shared" si="75"/>
        <v>-13.644387730312083</v>
      </c>
      <c r="AI253" s="52">
        <f t="shared" si="76"/>
        <v>10.1437367165494</v>
      </c>
      <c r="AJ253" s="52">
        <f t="shared" si="77"/>
        <v>-77.268545276387798</v>
      </c>
      <c r="AK253" s="52">
        <f t="shared" si="78"/>
        <v>41.519301992607886</v>
      </c>
      <c r="AM253" s="52">
        <f t="shared" si="79"/>
        <v>72214.057691863214</v>
      </c>
      <c r="AN253" s="57">
        <f t="shared" si="80"/>
        <v>102418.78231619023</v>
      </c>
      <c r="AO253" s="57">
        <f t="shared" si="81"/>
        <v>76279.332086878931</v>
      </c>
    </row>
    <row r="254" spans="12:41" x14ac:dyDescent="0.25">
      <c r="L254" s="6">
        <v>251</v>
      </c>
      <c r="M254" s="52">
        <f t="shared" si="67"/>
        <v>18372.159227714215</v>
      </c>
      <c r="N254" s="52">
        <f t="shared" si="68"/>
        <v>2772.4071220034157</v>
      </c>
      <c r="P254" s="6">
        <v>251</v>
      </c>
      <c r="Q254" s="52">
        <f t="shared" si="82"/>
        <v>-21139.488540600047</v>
      </c>
      <c r="R254" s="52">
        <f t="shared" si="83"/>
        <v>6690.6849854023912</v>
      </c>
      <c r="T254" s="6">
        <v>251</v>
      </c>
      <c r="U254" s="52">
        <f t="shared" si="69"/>
        <v>-6627.8407722857828</v>
      </c>
      <c r="V254" s="52">
        <f t="shared" si="70"/>
        <v>-19727.592877996583</v>
      </c>
      <c r="X254" s="6">
        <v>250</v>
      </c>
      <c r="Y254" s="55">
        <v>125</v>
      </c>
      <c r="Z254" s="52">
        <f t="shared" si="84"/>
        <v>62212.479607533212</v>
      </c>
      <c r="AA254" s="52">
        <f t="shared" si="85"/>
        <v>-50993.128533459058</v>
      </c>
      <c r="AB254" s="52">
        <f t="shared" si="86"/>
        <v>1.4885818824478179</v>
      </c>
      <c r="AC254" s="52">
        <f t="shared" si="87"/>
        <v>257.3832164765368</v>
      </c>
      <c r="AD254" s="52">
        <f t="shared" si="71"/>
        <v>-148.29579739084437</v>
      </c>
      <c r="AE254" s="52">
        <f t="shared" si="72"/>
        <v>130.88946810413054</v>
      </c>
      <c r="AF254" s="52">
        <f t="shared" si="73"/>
        <v>-57.228892145391875</v>
      </c>
      <c r="AG254" s="52">
        <f t="shared" si="74"/>
        <v>79.301120787286806</v>
      </c>
      <c r="AH254" s="52">
        <f t="shared" si="75"/>
        <v>-13.668106771398676</v>
      </c>
      <c r="AI254" s="52">
        <f t="shared" si="76"/>
        <v>10.140316860611662</v>
      </c>
      <c r="AJ254" s="52">
        <f t="shared" si="77"/>
        <v>-77.398798474053805</v>
      </c>
      <c r="AK254" s="52">
        <f t="shared" si="78"/>
        <v>41.448030456232068</v>
      </c>
      <c r="AM254" s="52">
        <f t="shared" si="79"/>
        <v>72134.17719949517</v>
      </c>
      <c r="AN254" s="57">
        <f t="shared" si="80"/>
        <v>102367.24833421147</v>
      </c>
      <c r="AO254" s="57">
        <f t="shared" si="81"/>
        <v>76243.181443452195</v>
      </c>
    </row>
    <row r="255" spans="12:41" x14ac:dyDescent="0.25">
      <c r="L255" s="6">
        <v>252</v>
      </c>
      <c r="M255" s="52">
        <f t="shared" si="67"/>
        <v>18454.915028125262</v>
      </c>
      <c r="N255" s="52">
        <f t="shared" si="68"/>
        <v>2744.717418524232</v>
      </c>
      <c r="P255" s="6">
        <v>252</v>
      </c>
      <c r="Q255" s="52">
        <f t="shared" si="82"/>
        <v>-21081.559480312317</v>
      </c>
      <c r="R255" s="52">
        <f t="shared" si="83"/>
        <v>6671.302192966963</v>
      </c>
      <c r="T255" s="6">
        <v>252</v>
      </c>
      <c r="U255" s="52">
        <f t="shared" si="69"/>
        <v>-6545.0849718747377</v>
      </c>
      <c r="V255" s="52">
        <f t="shared" si="70"/>
        <v>-19755.282581475767</v>
      </c>
      <c r="X255" s="6">
        <v>251</v>
      </c>
      <c r="Y255" s="55">
        <v>125.5</v>
      </c>
      <c r="Z255" s="52">
        <f t="shared" si="84"/>
        <v>62194.686923800582</v>
      </c>
      <c r="AA255" s="52">
        <f t="shared" si="85"/>
        <v>-50848.075741707777</v>
      </c>
      <c r="AB255" s="52">
        <f t="shared" si="86"/>
        <v>-72.659316812974367</v>
      </c>
      <c r="AC255" s="52">
        <f t="shared" si="87"/>
        <v>322.82795052860206</v>
      </c>
      <c r="AD255" s="52">
        <f t="shared" si="71"/>
        <v>-148.84042775451596</v>
      </c>
      <c r="AE255" s="52">
        <f t="shared" si="72"/>
        <v>131.0805615789904</v>
      </c>
      <c r="AF255" s="52">
        <f t="shared" si="73"/>
        <v>-57.50459094845197</v>
      </c>
      <c r="AG255" s="52">
        <f t="shared" si="74"/>
        <v>79.519069171327317</v>
      </c>
      <c r="AH255" s="52">
        <f t="shared" si="75"/>
        <v>-13.705351782220612</v>
      </c>
      <c r="AI255" s="52">
        <f t="shared" si="76"/>
        <v>10.145963376981117</v>
      </c>
      <c r="AJ255" s="52">
        <f t="shared" si="77"/>
        <v>-77.630485023843377</v>
      </c>
      <c r="AK255" s="52">
        <f t="shared" si="78"/>
        <v>41.415529030681959</v>
      </c>
      <c r="AM255" s="52">
        <f t="shared" si="79"/>
        <v>72006.177147225477</v>
      </c>
      <c r="AN255" s="57">
        <f t="shared" si="80"/>
        <v>102266.5873096888</v>
      </c>
      <c r="AO255" s="57">
        <f t="shared" si="81"/>
        <v>76159.112948949158</v>
      </c>
    </row>
    <row r="256" spans="12:41" x14ac:dyDescent="0.25">
      <c r="L256" s="6">
        <v>253</v>
      </c>
      <c r="M256" s="52">
        <f t="shared" si="67"/>
        <v>18538.141476386314</v>
      </c>
      <c r="N256" s="52">
        <f t="shared" si="68"/>
        <v>2718.4762201848234</v>
      </c>
      <c r="P256" s="6">
        <v>253</v>
      </c>
      <c r="Q256" s="52">
        <f t="shared" si="82"/>
        <v>-21023.300966529579</v>
      </c>
      <c r="R256" s="52">
        <f t="shared" si="83"/>
        <v>6652.9333541293763</v>
      </c>
      <c r="T256" s="6">
        <v>253</v>
      </c>
      <c r="U256" s="52">
        <f t="shared" si="69"/>
        <v>-6461.858523613686</v>
      </c>
      <c r="V256" s="52">
        <f t="shared" si="70"/>
        <v>-19781.523779815176</v>
      </c>
      <c r="X256" s="6">
        <v>252</v>
      </c>
      <c r="Y256" s="55">
        <v>126</v>
      </c>
      <c r="Z256" s="52">
        <f t="shared" si="84"/>
        <v>62139.752211924781</v>
      </c>
      <c r="AA256" s="52">
        <f t="shared" si="85"/>
        <v>-50670.276696246103</v>
      </c>
      <c r="AB256" s="52">
        <f t="shared" si="86"/>
        <v>-147.07953069023233</v>
      </c>
      <c r="AC256" s="52">
        <f t="shared" si="87"/>
        <v>388.36823131809729</v>
      </c>
      <c r="AD256" s="52">
        <f t="shared" si="71"/>
        <v>-149.5667165132042</v>
      </c>
      <c r="AE256" s="52">
        <f t="shared" si="72"/>
        <v>131.43286146632082</v>
      </c>
      <c r="AF256" s="52">
        <f t="shared" si="73"/>
        <v>-57.845420194686305</v>
      </c>
      <c r="AG256" s="52">
        <f t="shared" si="74"/>
        <v>79.850590516365784</v>
      </c>
      <c r="AH256" s="52">
        <f t="shared" si="75"/>
        <v>-13.75630581521283</v>
      </c>
      <c r="AI256" s="52">
        <f t="shared" si="76"/>
        <v>10.160718259458996</v>
      </c>
      <c r="AJ256" s="52">
        <f t="shared" si="77"/>
        <v>-77.964990503305074</v>
      </c>
      <c r="AK256" s="52">
        <f t="shared" si="78"/>
        <v>41.42155269049605</v>
      </c>
      <c r="AM256" s="52">
        <f t="shared" si="79"/>
        <v>71829.936707477696</v>
      </c>
      <c r="AN256" s="57">
        <f t="shared" si="80"/>
        <v>102116.70464637736</v>
      </c>
      <c r="AO256" s="57">
        <f t="shared" si="81"/>
        <v>76027.067329112571</v>
      </c>
    </row>
    <row r="257" spans="12:41" x14ac:dyDescent="0.25">
      <c r="L257" s="6">
        <v>254</v>
      </c>
      <c r="M257" s="52">
        <f t="shared" si="67"/>
        <v>18621.813220915006</v>
      </c>
      <c r="N257" s="52">
        <f t="shared" si="68"/>
        <v>2693.6915203084054</v>
      </c>
      <c r="P257" s="6">
        <v>254</v>
      </c>
      <c r="Q257" s="52">
        <f t="shared" si="82"/>
        <v>-20964.730745359495</v>
      </c>
      <c r="R257" s="52">
        <f t="shared" si="83"/>
        <v>6635.5840642158837</v>
      </c>
      <c r="T257" s="6">
        <v>254</v>
      </c>
      <c r="U257" s="52">
        <f t="shared" si="69"/>
        <v>-6378.1867790849947</v>
      </c>
      <c r="V257" s="52">
        <f t="shared" si="70"/>
        <v>-19806.308479691594</v>
      </c>
      <c r="X257" s="6">
        <v>253</v>
      </c>
      <c r="Y257" s="55">
        <v>126.5</v>
      </c>
      <c r="Z257" s="52">
        <f t="shared" si="84"/>
        <v>62047.516607015517</v>
      </c>
      <c r="AA257" s="52">
        <f t="shared" si="85"/>
        <v>-50459.663472903769</v>
      </c>
      <c r="AB257" s="52">
        <f t="shared" si="86"/>
        <v>-221.86288894683443</v>
      </c>
      <c r="AC257" s="52">
        <f t="shared" si="87"/>
        <v>454.08466205125768</v>
      </c>
      <c r="AD257" s="52">
        <f t="shared" si="71"/>
        <v>-150.47898973348561</v>
      </c>
      <c r="AE257" s="52">
        <f t="shared" si="72"/>
        <v>131.94899547883796</v>
      </c>
      <c r="AF257" s="52">
        <f t="shared" si="73"/>
        <v>-58.253337281820578</v>
      </c>
      <c r="AG257" s="52">
        <f t="shared" si="74"/>
        <v>80.298293394681608</v>
      </c>
      <c r="AH257" s="52">
        <f t="shared" si="75"/>
        <v>-13.821230888584441</v>
      </c>
      <c r="AI257" s="52">
        <f t="shared" si="76"/>
        <v>10.184671064543437</v>
      </c>
      <c r="AJ257" s="52">
        <f t="shared" si="77"/>
        <v>-78.404421563080575</v>
      </c>
      <c r="AK257" s="52">
        <f t="shared" si="78"/>
        <v>41.46603101961292</v>
      </c>
      <c r="AM257" s="52">
        <f t="shared" si="79"/>
        <v>71605.280829764932</v>
      </c>
      <c r="AN257" s="57">
        <f t="shared" si="80"/>
        <v>101917.44643894518</v>
      </c>
      <c r="AO257" s="57">
        <f t="shared" si="81"/>
        <v>75846.932810625935</v>
      </c>
    </row>
    <row r="258" spans="12:41" x14ac:dyDescent="0.25">
      <c r="L258" s="6">
        <v>255</v>
      </c>
      <c r="M258" s="52">
        <f t="shared" si="67"/>
        <v>18705.904774487397</v>
      </c>
      <c r="N258" s="52">
        <f t="shared" si="68"/>
        <v>2670.370868554658</v>
      </c>
      <c r="P258" s="6">
        <v>255</v>
      </c>
      <c r="Q258" s="52">
        <f t="shared" si="82"/>
        <v>-20905.866657858824</v>
      </c>
      <c r="R258" s="52">
        <f t="shared" si="83"/>
        <v>6619.2596079882605</v>
      </c>
      <c r="T258" s="6">
        <v>255</v>
      </c>
      <c r="U258" s="52">
        <f t="shared" si="69"/>
        <v>-6294.0952255126031</v>
      </c>
      <c r="V258" s="52">
        <f t="shared" si="70"/>
        <v>-19829.629131445341</v>
      </c>
      <c r="X258" s="6">
        <v>254</v>
      </c>
      <c r="Y258" s="55">
        <v>127</v>
      </c>
      <c r="Z258" s="52">
        <f t="shared" si="84"/>
        <v>61917.775288825411</v>
      </c>
      <c r="AA258" s="52">
        <f t="shared" si="85"/>
        <v>-50216.127517443281</v>
      </c>
      <c r="AB258" s="52">
        <f t="shared" si="86"/>
        <v>-297.10238381357726</v>
      </c>
      <c r="AC258" s="52">
        <f t="shared" si="87"/>
        <v>520.05915979067663</v>
      </c>
      <c r="AD258" s="52">
        <f t="shared" si="71"/>
        <v>-151.58283271946496</v>
      </c>
      <c r="AE258" s="52">
        <f t="shared" si="72"/>
        <v>132.63271640985548</v>
      </c>
      <c r="AF258" s="52">
        <f t="shared" si="73"/>
        <v>-58.730722979230499</v>
      </c>
      <c r="AG258" s="52">
        <f t="shared" si="74"/>
        <v>80.865691781227341</v>
      </c>
      <c r="AH258" s="52">
        <f t="shared" si="75"/>
        <v>-13.900471465086085</v>
      </c>
      <c r="AI258" s="52">
        <f t="shared" si="76"/>
        <v>10.217960135550539</v>
      </c>
      <c r="AJ258" s="52">
        <f t="shared" si="77"/>
        <v>-78.951638275148383</v>
      </c>
      <c r="AK258" s="52">
        <f t="shared" si="78"/>
        <v>41.549064493077587</v>
      </c>
      <c r="AM258" s="52">
        <f t="shared" si="79"/>
        <v>71331.979229334684</v>
      </c>
      <c r="AN258" s="57">
        <f t="shared" si="80"/>
        <v>101668.5985025243</v>
      </c>
      <c r="AO258" s="57">
        <f t="shared" si="81"/>
        <v>75618.544596749285</v>
      </c>
    </row>
    <row r="259" spans="12:41" x14ac:dyDescent="0.25">
      <c r="L259" s="6">
        <v>256</v>
      </c>
      <c r="M259" s="52">
        <f t="shared" si="67"/>
        <v>18790.39052200166</v>
      </c>
      <c r="N259" s="52">
        <f t="shared" si="68"/>
        <v>2648.5213686200177</v>
      </c>
      <c r="P259" s="6">
        <v>256</v>
      </c>
      <c r="Q259" s="52">
        <f t="shared" si="82"/>
        <v>-20846.726634598836</v>
      </c>
      <c r="R259" s="52">
        <f t="shared" si="83"/>
        <v>6603.9649580340119</v>
      </c>
      <c r="T259" s="6">
        <v>256</v>
      </c>
      <c r="U259" s="52">
        <f t="shared" si="69"/>
        <v>-6209.6094779983387</v>
      </c>
      <c r="V259" s="52">
        <f t="shared" si="70"/>
        <v>-19851.478631379981</v>
      </c>
      <c r="X259" s="6">
        <v>255</v>
      </c>
      <c r="Y259" s="55">
        <v>127.5</v>
      </c>
      <c r="Z259" s="52">
        <f t="shared" si="84"/>
        <v>61750.276242828688</v>
      </c>
      <c r="AA259" s="52">
        <f t="shared" si="85"/>
        <v>-49939.518847996711</v>
      </c>
      <c r="AB259" s="52">
        <f t="shared" si="86"/>
        <v>-372.89380017330973</v>
      </c>
      <c r="AC259" s="52">
        <f t="shared" si="87"/>
        <v>586.37551799560435</v>
      </c>
      <c r="AD259" s="52">
        <f t="shared" si="71"/>
        <v>-152.88517320808538</v>
      </c>
      <c r="AE259" s="52">
        <f t="shared" si="72"/>
        <v>133.48896523030584</v>
      </c>
      <c r="AF259" s="52">
        <f t="shared" si="73"/>
        <v>-59.280414771190124</v>
      </c>
      <c r="AG259" s="52">
        <f t="shared" si="74"/>
        <v>81.557268789370241</v>
      </c>
      <c r="AH259" s="52">
        <f t="shared" si="75"/>
        <v>-13.994459145242361</v>
      </c>
      <c r="AI259" s="52">
        <f t="shared" si="76"/>
        <v>10.260774473864334</v>
      </c>
      <c r="AJ259" s="52">
        <f t="shared" si="77"/>
        <v>-79.610299291652893</v>
      </c>
      <c r="AK259" s="52">
        <f t="shared" si="78"/>
        <v>41.670921967071266</v>
      </c>
      <c r="AM259" s="52">
        <f t="shared" si="79"/>
        <v>71009.745048421872</v>
      </c>
      <c r="AN259" s="57">
        <f t="shared" si="80"/>
        <v>101369.88500293446</v>
      </c>
      <c r="AO259" s="57">
        <f t="shared" si="81"/>
        <v>75341.684052212819</v>
      </c>
    </row>
    <row r="260" spans="12:41" x14ac:dyDescent="0.25">
      <c r="L260" s="6">
        <v>257</v>
      </c>
      <c r="M260" s="52">
        <f t="shared" si="67"/>
        <v>18875.244728280675</v>
      </c>
      <c r="N260" s="52">
        <f t="shared" si="68"/>
        <v>2628.1496760738246</v>
      </c>
      <c r="P260" s="6">
        <v>257</v>
      </c>
      <c r="Q260" s="52">
        <f t="shared" si="82"/>
        <v>-20787.328690203529</v>
      </c>
      <c r="R260" s="52">
        <f t="shared" si="83"/>
        <v>6589.7047732516767</v>
      </c>
      <c r="T260" s="6">
        <v>257</v>
      </c>
      <c r="U260" s="52">
        <f t="shared" si="69"/>
        <v>-6124.7552717193266</v>
      </c>
      <c r="V260" s="52">
        <f t="shared" si="70"/>
        <v>-19871.850323926177</v>
      </c>
      <c r="X260" s="6">
        <v>256</v>
      </c>
      <c r="Y260" s="55">
        <v>128</v>
      </c>
      <c r="Z260" s="52">
        <f t="shared" si="84"/>
        <v>61544.718696091026</v>
      </c>
      <c r="AA260" s="52">
        <f t="shared" si="85"/>
        <v>-49629.644968345121</v>
      </c>
      <c r="AB260" s="52">
        <f t="shared" si="86"/>
        <v>-449.3363867773524</v>
      </c>
      <c r="AC260" s="52">
        <f t="shared" si="87"/>
        <v>653.1200006107573</v>
      </c>
      <c r="AD260" s="52">
        <f t="shared" si="71"/>
        <v>-154.39438712520143</v>
      </c>
      <c r="AE260" s="52">
        <f t="shared" si="72"/>
        <v>134.5239548472114</v>
      </c>
      <c r="AF260" s="52">
        <f t="shared" si="73"/>
        <v>-59.905747318892459</v>
      </c>
      <c r="AG260" s="52">
        <f t="shared" si="74"/>
        <v>82.378559376639473</v>
      </c>
      <c r="AH260" s="52">
        <f t="shared" si="75"/>
        <v>-14.103718696198174</v>
      </c>
      <c r="AI260" s="52">
        <f t="shared" si="76"/>
        <v>10.313356303576565</v>
      </c>
      <c r="AJ260" s="52">
        <f t="shared" si="77"/>
        <v>-80.38492111011081</v>
      </c>
      <c r="AK260" s="52">
        <f t="shared" si="78"/>
        <v>41.832039166995358</v>
      </c>
      <c r="AM260" s="52">
        <f t="shared" si="79"/>
        <v>70638.233172599212</v>
      </c>
      <c r="AN260" s="57">
        <f t="shared" si="80"/>
        <v>101020.96666670492</v>
      </c>
      <c r="AO260" s="57">
        <f t="shared" si="81"/>
        <v>75016.077589910812</v>
      </c>
    </row>
    <row r="261" spans="12:41" x14ac:dyDescent="0.25">
      <c r="L261" s="6">
        <v>258</v>
      </c>
      <c r="M261" s="52">
        <f t="shared" ref="M261:M324" si="88">$G$20*COS(L261*PI()/180)+$G$19</f>
        <v>18960.441545911202</v>
      </c>
      <c r="N261" s="52">
        <f t="shared" ref="N261:N324" si="89">$G$20*SIN(L261*PI()/180)+$H$19</f>
        <v>2609.2619963309717</v>
      </c>
      <c r="P261" s="6">
        <v>258</v>
      </c>
      <c r="Q261" s="52">
        <f t="shared" si="82"/>
        <v>-20727.690917862161</v>
      </c>
      <c r="R261" s="52">
        <f t="shared" si="83"/>
        <v>6576.4833974316807</v>
      </c>
      <c r="T261" s="6">
        <v>258</v>
      </c>
      <c r="U261" s="52">
        <f t="shared" ref="U261:U324" si="90">$G$40*COS(T261*PI()/180)+$G$39</f>
        <v>-6039.5584540887994</v>
      </c>
      <c r="V261" s="52">
        <f t="shared" ref="V261:V324" si="91">$G$40*SIN(T261*PI()/180)+$H$39</f>
        <v>-19890.73800366903</v>
      </c>
      <c r="X261" s="6">
        <v>257</v>
      </c>
      <c r="Y261" s="55">
        <v>128.5</v>
      </c>
      <c r="Z261" s="52">
        <f t="shared" si="84"/>
        <v>61300.751204311695</v>
      </c>
      <c r="AA261" s="52">
        <f t="shared" si="85"/>
        <v>-49286.269473683846</v>
      </c>
      <c r="AB261" s="52">
        <f t="shared" si="86"/>
        <v>-526.53358033995312</v>
      </c>
      <c r="AC261" s="52">
        <f t="shared" si="87"/>
        <v>720.38197803436299</v>
      </c>
      <c r="AD261" s="52">
        <f t="shared" ref="AD261:AD324" si="92">AF261+AH261+AJ261</f>
        <v>-156.12042982932198</v>
      </c>
      <c r="AE261" s="52">
        <f t="shared" ref="AE261:AE324" si="93">AG261+AI261+AK261</f>
        <v>135.74527710203023</v>
      </c>
      <c r="AF261" s="52">
        <f t="shared" ref="AF261:AF324" si="94">(($G$19-Z261)/(AM261^2+$G$24^2)^(3/2))*$G$23</f>
        <v>-60.610601061948188</v>
      </c>
      <c r="AG261" s="52">
        <f t="shared" ref="AG261:AG324" si="95">(($H$19-AA261)/(AM261^2+$G$24^2)^(3/2))*$G$23</f>
        <v>83.336254777526122</v>
      </c>
      <c r="AH261" s="52">
        <f t="shared" ref="AH261:AH324" si="96">(($G$29-Z261)/(AN261^2+$G$34^2)^(3/2))*$G$33</f>
        <v>-14.228875575995701</v>
      </c>
      <c r="AI261" s="52">
        <f t="shared" ref="AI261:AI324" si="97">(($H$29-AA261)/(AN261^2+$G$34^2)^(3/2))*$G$33</f>
        <v>10.376004393687095</v>
      </c>
      <c r="AJ261" s="52">
        <f t="shared" ref="AJ261:AJ324" si="98">(($G$39-Z261)/(AO261^2+$G$44^2)^(3/2))*$G$43</f>
        <v>-81.280953191378089</v>
      </c>
      <c r="AK261" s="52">
        <f t="shared" ref="AK261:AK324" si="99">(($H$39-AA261)/(AO261^2+$G$44^2)^(3/2))*$G$43</f>
        <v>42.033017930817024</v>
      </c>
      <c r="AM261" s="52">
        <f t="shared" ref="AM261:AM324" si="100">SQRT(($G$19-Z261)^2+($H$19-AA261)^2)</f>
        <v>70217.038180047806</v>
      </c>
      <c r="AN261" s="57">
        <f t="shared" ref="AN261:AN324" si="101">SQRT(($G$29-Z261)^2+($H$29-AA261)^2)</f>
        <v>100621.43854314371</v>
      </c>
      <c r="AO261" s="57">
        <f t="shared" ref="AO261:AO324" si="102">SQRT(($G$39-Z261)^2+($H$39-AA261)^2)</f>
        <v>74641.395248736502</v>
      </c>
    </row>
    <row r="262" spans="12:41" x14ac:dyDescent="0.25">
      <c r="L262" s="6">
        <v>259</v>
      </c>
      <c r="M262" s="52">
        <f t="shared" si="88"/>
        <v>19045.955023117273</v>
      </c>
      <c r="N262" s="52">
        <f t="shared" si="89"/>
        <v>2591.8640827616809</v>
      </c>
      <c r="P262" s="6">
        <v>259</v>
      </c>
      <c r="Q262" s="52">
        <f t="shared" ref="Q262:Q325" si="103">$G$30*COS(P262*PI()/180)+$G$29</f>
        <v>-20667.83148381791</v>
      </c>
      <c r="R262" s="52">
        <f t="shared" ref="R262:R325" si="104">$G$30*SIN(P262*PI()/180)+$H$29</f>
        <v>6564.3048579331771</v>
      </c>
      <c r="T262" s="6">
        <v>259</v>
      </c>
      <c r="U262" s="52">
        <f t="shared" si="90"/>
        <v>-5954.0449768827275</v>
      </c>
      <c r="V262" s="52">
        <f t="shared" si="91"/>
        <v>-19908.13591723832</v>
      </c>
      <c r="X262" s="6">
        <v>258</v>
      </c>
      <c r="Y262" s="55">
        <v>129</v>
      </c>
      <c r="Z262" s="52">
        <f t="shared" ref="Z262:Z325" si="105">Z261+AB261*$G$4+((1/2)*AD261)*$G$4^2</f>
        <v>61017.969360413052</v>
      </c>
      <c r="AA262" s="52">
        <f t="shared" ref="AA262:AA325" si="106">AA261+AC261*$G$4+((1/2)*AE261)*$G$4^2</f>
        <v>-48909.110325028909</v>
      </c>
      <c r="AB262" s="52">
        <f t="shared" ref="AB262:AB325" si="107">AB261+AD261*$G$4</f>
        <v>-604.59379525461407</v>
      </c>
      <c r="AC262" s="52">
        <f t="shared" ref="AC262:AC325" si="108">AC261+AE261*$G$4</f>
        <v>788.25461658537813</v>
      </c>
      <c r="AD262" s="52">
        <f t="shared" si="92"/>
        <v>-158.07499657809967</v>
      </c>
      <c r="AE262" s="52">
        <f t="shared" si="93"/>
        <v>137.16203638017882</v>
      </c>
      <c r="AF262" s="52">
        <f t="shared" si="94"/>
        <v>-61.399460211333199</v>
      </c>
      <c r="AG262" s="52">
        <f t="shared" si="95"/>
        <v>84.438332247158314</v>
      </c>
      <c r="AH262" s="52">
        <f t="shared" si="96"/>
        <v>-14.370665158680819</v>
      </c>
      <c r="AI262" s="52">
        <f t="shared" si="97"/>
        <v>10.449078222521145</v>
      </c>
      <c r="AJ262" s="52">
        <f t="shared" si="98"/>
        <v>-82.304871208085643</v>
      </c>
      <c r="AK262" s="52">
        <f t="shared" si="99"/>
        <v>42.274625910499374</v>
      </c>
      <c r="AM262" s="52">
        <f t="shared" si="100"/>
        <v>69745.691896439501</v>
      </c>
      <c r="AN262" s="57">
        <f t="shared" si="101"/>
        <v>100170.82728305311</v>
      </c>
      <c r="AO262" s="57">
        <f t="shared" si="102"/>
        <v>74217.248948660301</v>
      </c>
    </row>
    <row r="263" spans="12:41" x14ac:dyDescent="0.25">
      <c r="L263" s="6">
        <v>260</v>
      </c>
      <c r="M263" s="52">
        <f t="shared" si="88"/>
        <v>19131.759111665349</v>
      </c>
      <c r="N263" s="52">
        <f t="shared" si="89"/>
        <v>2575.9612349389599</v>
      </c>
      <c r="P263" s="6">
        <v>260</v>
      </c>
      <c r="Q263" s="52">
        <f t="shared" si="103"/>
        <v>-20607.768621834257</v>
      </c>
      <c r="R263" s="52">
        <f t="shared" si="104"/>
        <v>6553.1728644572722</v>
      </c>
      <c r="T263" s="6">
        <v>260</v>
      </c>
      <c r="U263" s="52">
        <f t="shared" si="90"/>
        <v>-5868.2408883346516</v>
      </c>
      <c r="V263" s="52">
        <f t="shared" si="91"/>
        <v>-19924.038765061039</v>
      </c>
      <c r="X263" s="6">
        <v>259</v>
      </c>
      <c r="Y263" s="55">
        <v>129.5</v>
      </c>
      <c r="Z263" s="52">
        <f t="shared" si="105"/>
        <v>60695.913088213485</v>
      </c>
      <c r="AA263" s="52">
        <f t="shared" si="106"/>
        <v>-48497.837762188698</v>
      </c>
      <c r="AB263" s="52">
        <f t="shared" si="107"/>
        <v>-683.6312935436639</v>
      </c>
      <c r="AC263" s="52">
        <f t="shared" si="108"/>
        <v>856.8356347754675</v>
      </c>
      <c r="AD263" s="52">
        <f t="shared" si="92"/>
        <v>-160.27171692565327</v>
      </c>
      <c r="AE263" s="52">
        <f t="shared" si="93"/>
        <v>138.78501416507748</v>
      </c>
      <c r="AF263" s="52">
        <f t="shared" si="94"/>
        <v>-62.277481664113992</v>
      </c>
      <c r="AG263" s="52">
        <f t="shared" si="95"/>
        <v>85.694214721398467</v>
      </c>
      <c r="AH263" s="52">
        <f t="shared" si="96"/>
        <v>-14.529943920376258</v>
      </c>
      <c r="AI263" s="52">
        <f t="shared" si="97"/>
        <v>10.533003092966029</v>
      </c>
      <c r="AJ263" s="52">
        <f t="shared" si="98"/>
        <v>-83.464291341163033</v>
      </c>
      <c r="AK263" s="52">
        <f t="shared" si="99"/>
        <v>42.557796350713005</v>
      </c>
      <c r="AM263" s="52">
        <f t="shared" si="100"/>
        <v>69223.660522424208</v>
      </c>
      <c r="AN263" s="57">
        <f t="shared" si="101"/>
        <v>99668.587890026072</v>
      </c>
      <c r="AO263" s="57">
        <f t="shared" si="102"/>
        <v>73743.190405867397</v>
      </c>
    </row>
    <row r="264" spans="12:41" x14ac:dyDescent="0.25">
      <c r="L264" s="6">
        <v>261</v>
      </c>
      <c r="M264" s="52">
        <f t="shared" si="88"/>
        <v>19217.827674798846</v>
      </c>
      <c r="N264" s="52">
        <f t="shared" si="89"/>
        <v>2561.5582970243113</v>
      </c>
      <c r="P264" s="6">
        <v>261</v>
      </c>
      <c r="Q264" s="52">
        <f t="shared" si="103"/>
        <v>-20547.52062764081</v>
      </c>
      <c r="R264" s="52">
        <f t="shared" si="104"/>
        <v>6543.0908079170185</v>
      </c>
      <c r="T264" s="6">
        <v>261</v>
      </c>
      <c r="U264" s="52">
        <f t="shared" si="90"/>
        <v>-5782.1723252011552</v>
      </c>
      <c r="V264" s="52">
        <f t="shared" si="91"/>
        <v>-19938.441702975688</v>
      </c>
      <c r="X264" s="6">
        <v>260</v>
      </c>
      <c r="Y264" s="55">
        <v>130</v>
      </c>
      <c r="Z264" s="52">
        <f t="shared" si="105"/>
        <v>60334.063476825948</v>
      </c>
      <c r="AA264" s="52">
        <f t="shared" si="106"/>
        <v>-48052.071818030323</v>
      </c>
      <c r="AB264" s="52">
        <f t="shared" si="107"/>
        <v>-763.76715200649051</v>
      </c>
      <c r="AC264" s="52">
        <f t="shared" si="108"/>
        <v>926.22814185800621</v>
      </c>
      <c r="AD264" s="52">
        <f t="shared" si="92"/>
        <v>-162.72638894613033</v>
      </c>
      <c r="AE264" s="52">
        <f t="shared" si="93"/>
        <v>140.62687005724536</v>
      </c>
      <c r="AF264" s="52">
        <f t="shared" si="94"/>
        <v>-63.250576707044786</v>
      </c>
      <c r="AG264" s="52">
        <f t="shared" si="95"/>
        <v>87.114966281054095</v>
      </c>
      <c r="AH264" s="52">
        <f t="shared" si="96"/>
        <v>-14.707702913249497</v>
      </c>
      <c r="AI264" s="52">
        <f t="shared" si="97"/>
        <v>10.628276335660697</v>
      </c>
      <c r="AJ264" s="52">
        <f t="shared" si="98"/>
        <v>-84.768109325836036</v>
      </c>
      <c r="AK264" s="52">
        <f t="shared" si="99"/>
        <v>42.88362744053056</v>
      </c>
      <c r="AM264" s="52">
        <f t="shared" si="100"/>
        <v>68650.341294331694</v>
      </c>
      <c r="AN264" s="57">
        <f t="shared" si="101"/>
        <v>99114.099890300422</v>
      </c>
      <c r="AO264" s="57">
        <f t="shared" si="102"/>
        <v>73218.708687453342</v>
      </c>
    </row>
    <row r="265" spans="12:41" x14ac:dyDescent="0.25">
      <c r="L265" s="6">
        <v>262</v>
      </c>
      <c r="M265" s="52">
        <f t="shared" si="88"/>
        <v>19304.134495199676</v>
      </c>
      <c r="N265" s="52">
        <f t="shared" si="89"/>
        <v>2548.6596562921486</v>
      </c>
      <c r="P265" s="6">
        <v>262</v>
      </c>
      <c r="Q265" s="52">
        <f t="shared" si="103"/>
        <v>-20487.105853360226</v>
      </c>
      <c r="R265" s="52">
        <f t="shared" si="104"/>
        <v>6534.0617594045034</v>
      </c>
      <c r="T265" s="6">
        <v>262</v>
      </c>
      <c r="U265" s="52">
        <f t="shared" si="90"/>
        <v>-5695.8655048003247</v>
      </c>
      <c r="V265" s="52">
        <f t="shared" si="91"/>
        <v>-19951.340343707852</v>
      </c>
      <c r="X265" s="6">
        <v>261</v>
      </c>
      <c r="Y265" s="55">
        <v>130.5</v>
      </c>
      <c r="Z265" s="52">
        <f t="shared" si="105"/>
        <v>59931.839102204438</v>
      </c>
      <c r="AA265" s="52">
        <f t="shared" si="106"/>
        <v>-47571.379388344161</v>
      </c>
      <c r="AB265" s="52">
        <f t="shared" si="107"/>
        <v>-845.13034647955567</v>
      </c>
      <c r="AC265" s="52">
        <f t="shared" si="108"/>
        <v>996.54157688662895</v>
      </c>
      <c r="AD265" s="52">
        <f t="shared" si="92"/>
        <v>-165.45726064321272</v>
      </c>
      <c r="AE265" s="52">
        <f t="shared" si="93"/>
        <v>142.70238626414138</v>
      </c>
      <c r="AF265" s="52">
        <f t="shared" si="94"/>
        <v>-64.325507784981014</v>
      </c>
      <c r="AG265" s="52">
        <f t="shared" si="95"/>
        <v>88.713530937246801</v>
      </c>
      <c r="AH265" s="52">
        <f t="shared" si="96"/>
        <v>-14.905083936836052</v>
      </c>
      <c r="AI265" s="52">
        <f t="shared" si="97"/>
        <v>10.735474771767599</v>
      </c>
      <c r="AJ265" s="52">
        <f t="shared" si="98"/>
        <v>-86.226668921395657</v>
      </c>
      <c r="AK265" s="52">
        <f t="shared" si="99"/>
        <v>43.253380555126974</v>
      </c>
      <c r="AM265" s="52">
        <f t="shared" si="100"/>
        <v>68025.058631501975</v>
      </c>
      <c r="AN265" s="57">
        <f t="shared" si="101"/>
        <v>98506.66285555184</v>
      </c>
      <c r="AO265" s="57">
        <f t="shared" si="102"/>
        <v>72643.227381869641</v>
      </c>
    </row>
    <row r="266" spans="12:41" x14ac:dyDescent="0.25">
      <c r="L266" s="6">
        <v>263</v>
      </c>
      <c r="M266" s="52">
        <f t="shared" si="88"/>
        <v>19390.653282974265</v>
      </c>
      <c r="N266" s="52">
        <f t="shared" si="89"/>
        <v>2537.2692417933895</v>
      </c>
      <c r="P266" s="6">
        <v>263</v>
      </c>
      <c r="Q266" s="52">
        <f t="shared" si="103"/>
        <v>-20426.542701918013</v>
      </c>
      <c r="R266" s="52">
        <f t="shared" si="104"/>
        <v>6526.0884692553727</v>
      </c>
      <c r="T266" s="6">
        <v>263</v>
      </c>
      <c r="U266" s="52">
        <f t="shared" si="90"/>
        <v>-5609.3467170257354</v>
      </c>
      <c r="V266" s="52">
        <f t="shared" si="91"/>
        <v>-19962.73075820661</v>
      </c>
      <c r="X266" s="6">
        <v>262</v>
      </c>
      <c r="Y266" s="55">
        <v>131</v>
      </c>
      <c r="Z266" s="52">
        <f t="shared" si="105"/>
        <v>59488.591771384265</v>
      </c>
      <c r="AA266" s="52">
        <f t="shared" si="106"/>
        <v>-47055.270801617829</v>
      </c>
      <c r="AB266" s="52">
        <f t="shared" si="107"/>
        <v>-927.85897680116204</v>
      </c>
      <c r="AC266" s="52">
        <f t="shared" si="108"/>
        <v>1067.8927700186996</v>
      </c>
      <c r="AD266" s="52">
        <f t="shared" si="92"/>
        <v>-168.48536772742273</v>
      </c>
      <c r="AE266" s="52">
        <f t="shared" si="93"/>
        <v>145.02876444638994</v>
      </c>
      <c r="AF266" s="52">
        <f t="shared" si="94"/>
        <v>-65.51000310768903</v>
      </c>
      <c r="AG266" s="52">
        <f t="shared" si="95"/>
        <v>90.505024348441523</v>
      </c>
      <c r="AH266" s="52">
        <f t="shared" si="96"/>
        <v>-15.123398919311661</v>
      </c>
      <c r="AI266" s="52">
        <f t="shared" si="97"/>
        <v>10.855263649202712</v>
      </c>
      <c r="AJ266" s="52">
        <f t="shared" si="98"/>
        <v>-87.851965700422042</v>
      </c>
      <c r="AK266" s="52">
        <f t="shared" si="99"/>
        <v>43.668476448745707</v>
      </c>
      <c r="AM266" s="52">
        <f t="shared" si="100"/>
        <v>67347.05971551314</v>
      </c>
      <c r="AN266" s="57">
        <f t="shared" si="101"/>
        <v>97845.491199358396</v>
      </c>
      <c r="AO266" s="57">
        <f t="shared" si="102"/>
        <v>72016.101358108135</v>
      </c>
    </row>
    <row r="267" spans="12:41" x14ac:dyDescent="0.25">
      <c r="L267" s="6">
        <v>264</v>
      </c>
      <c r="M267" s="52">
        <f t="shared" si="88"/>
        <v>19477.357683661732</v>
      </c>
      <c r="N267" s="52">
        <f t="shared" si="89"/>
        <v>2527.3905231586332</v>
      </c>
      <c r="P267" s="6">
        <v>264</v>
      </c>
      <c r="Q267" s="52">
        <f t="shared" si="103"/>
        <v>-20365.849621436788</v>
      </c>
      <c r="R267" s="52">
        <f t="shared" si="104"/>
        <v>6519.1733662110437</v>
      </c>
      <c r="T267" s="6">
        <v>264</v>
      </c>
      <c r="U267" s="52">
        <f t="shared" si="90"/>
        <v>-5522.6423163382669</v>
      </c>
      <c r="V267" s="52">
        <f t="shared" si="91"/>
        <v>-19972.609476841368</v>
      </c>
      <c r="X267" s="6">
        <v>263</v>
      </c>
      <c r="Y267" s="55">
        <v>131.5</v>
      </c>
      <c r="Z267" s="52">
        <f t="shared" si="105"/>
        <v>59003.601612017759</v>
      </c>
      <c r="AA267" s="52">
        <f t="shared" si="106"/>
        <v>-46503.195821052679</v>
      </c>
      <c r="AB267" s="52">
        <f t="shared" si="107"/>
        <v>-1012.1016606648734</v>
      </c>
      <c r="AC267" s="52">
        <f t="shared" si="108"/>
        <v>1140.4071522418947</v>
      </c>
      <c r="AD267" s="52">
        <f t="shared" si="92"/>
        <v>-171.83493922736992</v>
      </c>
      <c r="AE267" s="52">
        <f t="shared" si="93"/>
        <v>147.62598621007399</v>
      </c>
      <c r="AF267" s="52">
        <f t="shared" si="94"/>
        <v>-66.812892474885061</v>
      </c>
      <c r="AG267" s="52">
        <f t="shared" si="95"/>
        <v>92.507090795954269</v>
      </c>
      <c r="AH267" s="52">
        <f t="shared" si="96"/>
        <v>-15.364153151428859</v>
      </c>
      <c r="AI267" s="52">
        <f t="shared" si="97"/>
        <v>10.988407318480688</v>
      </c>
      <c r="AJ267" s="52">
        <f t="shared" si="98"/>
        <v>-89.657893601056003</v>
      </c>
      <c r="AK267" s="52">
        <f t="shared" si="99"/>
        <v>44.130488095639031</v>
      </c>
      <c r="AM267" s="52">
        <f t="shared" si="100"/>
        <v>66615.509437337154</v>
      </c>
      <c r="AN267" s="57">
        <f t="shared" si="101"/>
        <v>97129.708151845276</v>
      </c>
      <c r="AO267" s="57">
        <f t="shared" si="102"/>
        <v>71336.613083671647</v>
      </c>
    </row>
    <row r="268" spans="12:41" x14ac:dyDescent="0.25">
      <c r="L268" s="6">
        <v>265</v>
      </c>
      <c r="M268" s="52">
        <f t="shared" si="88"/>
        <v>19564.221286261709</v>
      </c>
      <c r="N268" s="52">
        <f t="shared" si="89"/>
        <v>2519.0265095412724</v>
      </c>
      <c r="P268" s="6">
        <v>265</v>
      </c>
      <c r="Q268" s="52">
        <f t="shared" si="103"/>
        <v>-20305.045099616804</v>
      </c>
      <c r="R268" s="52">
        <f t="shared" si="104"/>
        <v>6513.3185566788907</v>
      </c>
      <c r="T268" s="6">
        <v>265</v>
      </c>
      <c r="U268" s="52">
        <f t="shared" si="90"/>
        <v>-5435.7787137382911</v>
      </c>
      <c r="V268" s="52">
        <f t="shared" si="91"/>
        <v>-19980.973490458728</v>
      </c>
      <c r="X268" s="6">
        <v>264</v>
      </c>
      <c r="Y268" s="55">
        <v>132</v>
      </c>
      <c r="Z268" s="52">
        <f t="shared" si="105"/>
        <v>58476.071414281898</v>
      </c>
      <c r="AA268" s="52">
        <f t="shared" si="106"/>
        <v>-45914.538996655472</v>
      </c>
      <c r="AB268" s="52">
        <f t="shared" si="107"/>
        <v>-1098.0191302785584</v>
      </c>
      <c r="AC268" s="52">
        <f t="shared" si="108"/>
        <v>1214.2201453469318</v>
      </c>
      <c r="AD268" s="52">
        <f t="shared" si="92"/>
        <v>-175.53388528321878</v>
      </c>
      <c r="AE268" s="52">
        <f t="shared" si="93"/>
        <v>150.5172516380004</v>
      </c>
      <c r="AF268" s="52">
        <f t="shared" si="94"/>
        <v>-68.244268437386808</v>
      </c>
      <c r="AG268" s="52">
        <f t="shared" si="95"/>
        <v>94.740341301943587</v>
      </c>
      <c r="AH268" s="52">
        <f t="shared" si="96"/>
        <v>-15.629073181502282</v>
      </c>
      <c r="AI268" s="52">
        <f t="shared" si="97"/>
        <v>11.135781979647511</v>
      </c>
      <c r="AJ268" s="52">
        <f t="shared" si="98"/>
        <v>-91.660543664329694</v>
      </c>
      <c r="AK268" s="52">
        <f t="shared" si="99"/>
        <v>44.641128356409304</v>
      </c>
      <c r="AM268" s="52">
        <f t="shared" si="100"/>
        <v>65829.484637980786</v>
      </c>
      <c r="AN268" s="57">
        <f t="shared" si="101"/>
        <v>96358.338797573611</v>
      </c>
      <c r="AO268" s="57">
        <f t="shared" si="102"/>
        <v>70603.968468966021</v>
      </c>
    </row>
    <row r="269" spans="12:41" x14ac:dyDescent="0.25">
      <c r="L269" s="6">
        <v>266</v>
      </c>
      <c r="M269" s="52">
        <f t="shared" si="88"/>
        <v>19651.217631279371</v>
      </c>
      <c r="N269" s="52">
        <f t="shared" si="89"/>
        <v>2512.1797487008789</v>
      </c>
      <c r="P269" s="6">
        <v>266</v>
      </c>
      <c r="Q269" s="52">
        <f t="shared" si="103"/>
        <v>-20244.147658104441</v>
      </c>
      <c r="R269" s="52">
        <f t="shared" si="104"/>
        <v>6508.5258240906151</v>
      </c>
      <c r="T269" s="6">
        <v>266</v>
      </c>
      <c r="U269" s="52">
        <f t="shared" si="90"/>
        <v>-5348.7823687206283</v>
      </c>
      <c r="V269" s="52">
        <f t="shared" si="91"/>
        <v>-19987.820251299119</v>
      </c>
      <c r="X269" s="6">
        <v>265</v>
      </c>
      <c r="Y269" s="55">
        <v>132.5</v>
      </c>
      <c r="Z269" s="52">
        <f t="shared" si="105"/>
        <v>57905.120113482219</v>
      </c>
      <c r="AA269" s="52">
        <f t="shared" si="106"/>
        <v>-45288.614267527257</v>
      </c>
      <c r="AB269" s="52">
        <f t="shared" si="107"/>
        <v>-1185.7860729201677</v>
      </c>
      <c r="AC269" s="52">
        <f t="shared" si="108"/>
        <v>1289.4787711659319</v>
      </c>
      <c r="AD269" s="52">
        <f t="shared" si="92"/>
        <v>-179.61438512763226</v>
      </c>
      <c r="AE269" s="52">
        <f t="shared" si="93"/>
        <v>153.72951429433971</v>
      </c>
      <c r="AF269" s="52">
        <f t="shared" si="94"/>
        <v>-69.815677808177384</v>
      </c>
      <c r="AG269" s="52">
        <f t="shared" si="95"/>
        <v>97.228893474234823</v>
      </c>
      <c r="AH269" s="52">
        <f t="shared" si="96"/>
        <v>-15.920140392550357</v>
      </c>
      <c r="AI269" s="52">
        <f t="shared" si="97"/>
        <v>11.298390914055844</v>
      </c>
      <c r="AJ269" s="52">
        <f t="shared" si="98"/>
        <v>-93.878566926904512</v>
      </c>
      <c r="AK269" s="52">
        <f t="shared" si="99"/>
        <v>45.202229906049041</v>
      </c>
      <c r="AM269" s="52">
        <f t="shared" si="100"/>
        <v>64987.967556335352</v>
      </c>
      <c r="AN269" s="57">
        <f t="shared" si="101"/>
        <v>95530.302038251248</v>
      </c>
      <c r="AO269" s="57">
        <f t="shared" si="102"/>
        <v>69817.29220428619</v>
      </c>
    </row>
    <row r="270" spans="12:41" x14ac:dyDescent="0.25">
      <c r="L270" s="6">
        <v>267</v>
      </c>
      <c r="M270" s="52">
        <f t="shared" si="88"/>
        <v>19738.32021878528</v>
      </c>
      <c r="N270" s="52">
        <f t="shared" si="89"/>
        <v>2506.852326227131</v>
      </c>
      <c r="P270" s="6">
        <v>267</v>
      </c>
      <c r="Q270" s="52">
        <f t="shared" si="103"/>
        <v>-20183.175846850307</v>
      </c>
      <c r="R270" s="52">
        <f t="shared" si="104"/>
        <v>6504.7966283589922</v>
      </c>
      <c r="T270" s="6">
        <v>267</v>
      </c>
      <c r="U270" s="52">
        <f t="shared" si="90"/>
        <v>-5261.6797812147215</v>
      </c>
      <c r="V270" s="52">
        <f t="shared" si="91"/>
        <v>-19993.14767377287</v>
      </c>
      <c r="X270" s="6">
        <v>266</v>
      </c>
      <c r="Y270" s="55">
        <v>133</v>
      </c>
      <c r="Z270" s="52">
        <f t="shared" si="105"/>
        <v>57289.775278881185</v>
      </c>
      <c r="AA270" s="52">
        <f t="shared" si="106"/>
        <v>-44624.658692657496</v>
      </c>
      <c r="AB270" s="52">
        <f t="shared" si="107"/>
        <v>-1275.5932654839839</v>
      </c>
      <c r="AC270" s="52">
        <f t="shared" si="108"/>
        <v>1366.3435283131018</v>
      </c>
      <c r="AD270" s="52">
        <f t="shared" si="92"/>
        <v>-184.11359792237232</v>
      </c>
      <c r="AE270" s="52">
        <f t="shared" si="93"/>
        <v>157.29413644613743</v>
      </c>
      <c r="AF270" s="52">
        <f t="shared" si="94"/>
        <v>-71.54034961805354</v>
      </c>
      <c r="AG270" s="52">
        <f t="shared" si="95"/>
        <v>100.00103992866738</v>
      </c>
      <c r="AH270" s="52">
        <f t="shared" si="96"/>
        <v>-16.23963155813782</v>
      </c>
      <c r="AI270" s="52">
        <f t="shared" si="97"/>
        <v>11.477382719214306</v>
      </c>
      <c r="AJ270" s="52">
        <f t="shared" si="98"/>
        <v>-96.333616746180979</v>
      </c>
      <c r="AK270" s="52">
        <f t="shared" si="99"/>
        <v>45.815713798255743</v>
      </c>
      <c r="AM270" s="52">
        <f t="shared" si="100"/>
        <v>64089.838384688512</v>
      </c>
      <c r="AN270" s="57">
        <f t="shared" si="101"/>
        <v>94644.40131328041</v>
      </c>
      <c r="AO270" s="57">
        <f t="shared" si="102"/>
        <v>68975.622555725902</v>
      </c>
    </row>
    <row r="271" spans="12:41" x14ac:dyDescent="0.25">
      <c r="L271" s="6">
        <v>268</v>
      </c>
      <c r="M271" s="52">
        <f t="shared" si="88"/>
        <v>19825.502516487493</v>
      </c>
      <c r="N271" s="52">
        <f t="shared" si="89"/>
        <v>2503.0458649045213</v>
      </c>
      <c r="P271" s="6">
        <v>268</v>
      </c>
      <c r="Q271" s="52">
        <f t="shared" si="103"/>
        <v>-20122.148238458754</v>
      </c>
      <c r="R271" s="52">
        <f t="shared" si="104"/>
        <v>6502.1321054331656</v>
      </c>
      <c r="T271" s="6">
        <v>268</v>
      </c>
      <c r="U271" s="52">
        <f t="shared" si="90"/>
        <v>-5174.4974835125086</v>
      </c>
      <c r="V271" s="52">
        <f t="shared" si="91"/>
        <v>-19996.954135095479</v>
      </c>
      <c r="X271" s="6">
        <v>267</v>
      </c>
      <c r="Y271" s="55">
        <v>133.5</v>
      </c>
      <c r="Z271" s="52">
        <f t="shared" si="105"/>
        <v>56628.964446398895</v>
      </c>
      <c r="AA271" s="52">
        <f t="shared" si="106"/>
        <v>-43921.82516144518</v>
      </c>
      <c r="AB271" s="52">
        <f t="shared" si="107"/>
        <v>-1367.6500644451701</v>
      </c>
      <c r="AC271" s="52">
        <f t="shared" si="108"/>
        <v>1444.9905965361706</v>
      </c>
      <c r="AD271" s="52">
        <f t="shared" si="92"/>
        <v>-189.07452508973148</v>
      </c>
      <c r="AE271" s="52">
        <f t="shared" si="93"/>
        <v>161.24769528028509</v>
      </c>
      <c r="AF271" s="52">
        <f t="shared" si="94"/>
        <v>-73.433466900788531</v>
      </c>
      <c r="AG271" s="52">
        <f t="shared" si="95"/>
        <v>103.09008056989603</v>
      </c>
      <c r="AH271" s="52">
        <f t="shared" si="96"/>
        <v>-16.590168033116953</v>
      </c>
      <c r="AI271" s="52">
        <f t="shared" si="97"/>
        <v>11.674073198607198</v>
      </c>
      <c r="AJ271" s="52">
        <f t="shared" si="98"/>
        <v>-99.050890155825982</v>
      </c>
      <c r="AK271" s="52">
        <f t="shared" si="99"/>
        <v>46.483541511781844</v>
      </c>
      <c r="AM271" s="52">
        <f t="shared" si="100"/>
        <v>63133.866817658098</v>
      </c>
      <c r="AN271" s="57">
        <f t="shared" si="101"/>
        <v>93699.313876190834</v>
      </c>
      <c r="AO271" s="57">
        <f t="shared" si="102"/>
        <v>68077.90558914619</v>
      </c>
    </row>
    <row r="272" spans="12:41" x14ac:dyDescent="0.25">
      <c r="L272" s="6">
        <v>269</v>
      </c>
      <c r="M272" s="52">
        <f t="shared" si="88"/>
        <v>19912.737967813584</v>
      </c>
      <c r="N272" s="52">
        <f t="shared" si="89"/>
        <v>2500.7615242180436</v>
      </c>
      <c r="P272" s="6">
        <v>269</v>
      </c>
      <c r="Q272" s="52">
        <f t="shared" si="103"/>
        <v>-20061.083422530493</v>
      </c>
      <c r="R272" s="52">
        <f t="shared" si="104"/>
        <v>6500.5330669526302</v>
      </c>
      <c r="T272" s="6">
        <v>269</v>
      </c>
      <c r="U272" s="52">
        <f t="shared" si="90"/>
        <v>-5087.2620321864179</v>
      </c>
      <c r="V272" s="52">
        <f t="shared" si="91"/>
        <v>-19999.238475781956</v>
      </c>
      <c r="X272" s="6">
        <v>268</v>
      </c>
      <c r="Y272" s="55">
        <v>134</v>
      </c>
      <c r="Z272" s="52">
        <f t="shared" si="105"/>
        <v>55921.505098540089</v>
      </c>
      <c r="AA272" s="52">
        <f t="shared" si="106"/>
        <v>-43179.173901267059</v>
      </c>
      <c r="AB272" s="52">
        <f t="shared" si="107"/>
        <v>-1462.1873269900359</v>
      </c>
      <c r="AC272" s="52">
        <f t="shared" si="108"/>
        <v>1525.6144441763131</v>
      </c>
      <c r="AD272" s="52">
        <f t="shared" si="92"/>
        <v>-194.54706045027808</v>
      </c>
      <c r="AE272" s="52">
        <f t="shared" si="93"/>
        <v>165.63298029897493</v>
      </c>
      <c r="AF272" s="52">
        <f t="shared" si="94"/>
        <v>-75.512491205274145</v>
      </c>
      <c r="AG272" s="52">
        <f t="shared" si="95"/>
        <v>106.53536545899131</v>
      </c>
      <c r="AH272" s="52">
        <f t="shared" si="96"/>
        <v>-16.974775709122742</v>
      </c>
      <c r="AI272" s="52">
        <f t="shared" si="97"/>
        <v>11.889971730655278</v>
      </c>
      <c r="AJ272" s="52">
        <f t="shared" si="98"/>
        <v>-102.05979353588121</v>
      </c>
      <c r="AK272" s="52">
        <f t="shared" si="99"/>
        <v>47.207643109328352</v>
      </c>
      <c r="AM272" s="52">
        <f t="shared" si="100"/>
        <v>62118.702464389171</v>
      </c>
      <c r="AN272" s="57">
        <f t="shared" si="101"/>
        <v>92693.57838193998</v>
      </c>
      <c r="AO272" s="57">
        <f t="shared" si="102"/>
        <v>67122.988798393781</v>
      </c>
    </row>
    <row r="273" spans="12:41" x14ac:dyDescent="0.25">
      <c r="L273" s="6">
        <v>270</v>
      </c>
      <c r="M273" s="52">
        <f t="shared" si="88"/>
        <v>20000</v>
      </c>
      <c r="N273" s="52">
        <f t="shared" si="89"/>
        <v>2500</v>
      </c>
      <c r="P273" s="6">
        <v>270</v>
      </c>
      <c r="Q273" s="52">
        <f t="shared" si="103"/>
        <v>-20000</v>
      </c>
      <c r="R273" s="52">
        <f t="shared" si="104"/>
        <v>6500</v>
      </c>
      <c r="T273" s="6">
        <v>270</v>
      </c>
      <c r="U273" s="52">
        <f t="shared" si="90"/>
        <v>-5000.0000000000009</v>
      </c>
      <c r="V273" s="52">
        <f t="shared" si="91"/>
        <v>-20000</v>
      </c>
      <c r="X273" s="6">
        <v>269</v>
      </c>
      <c r="Y273" s="55">
        <v>134.5</v>
      </c>
      <c r="Z273" s="52">
        <f t="shared" si="105"/>
        <v>55166.093052488781</v>
      </c>
      <c r="AA273" s="52">
        <f t="shared" si="106"/>
        <v>-42395.662556641531</v>
      </c>
      <c r="AB273" s="52">
        <f t="shared" si="107"/>
        <v>-1559.4608572151749</v>
      </c>
      <c r="AC273" s="52">
        <f t="shared" si="108"/>
        <v>1608.4309343258005</v>
      </c>
      <c r="AD273" s="52">
        <f t="shared" si="92"/>
        <v>-200.58927436103886</v>
      </c>
      <c r="AE273" s="52">
        <f t="shared" si="93"/>
        <v>170.50023476277372</v>
      </c>
      <c r="AF273" s="52">
        <f t="shared" si="94"/>
        <v>-77.797550451397882</v>
      </c>
      <c r="AG273" s="52">
        <f t="shared" si="95"/>
        <v>110.38361069176329</v>
      </c>
      <c r="AH273" s="52">
        <f t="shared" si="96"/>
        <v>-17.396958494047656</v>
      </c>
      <c r="AI273" s="52">
        <f t="shared" si="97"/>
        <v>12.126813164673839</v>
      </c>
      <c r="AJ273" s="52">
        <f t="shared" si="98"/>
        <v>-105.39476541559333</v>
      </c>
      <c r="AK273" s="52">
        <f t="shared" si="99"/>
        <v>47.989810906336579</v>
      </c>
      <c r="AM273" s="52">
        <f t="shared" si="100"/>
        <v>61042.86397722947</v>
      </c>
      <c r="AN273" s="57">
        <f t="shared" si="101"/>
        <v>91625.580486700594</v>
      </c>
      <c r="AO273" s="57">
        <f t="shared" si="102"/>
        <v>66109.61412773568</v>
      </c>
    </row>
    <row r="274" spans="12:41" x14ac:dyDescent="0.25">
      <c r="L274" s="6">
        <v>271</v>
      </c>
      <c r="M274" s="52">
        <f t="shared" si="88"/>
        <v>20087.262032186416</v>
      </c>
      <c r="N274" s="52">
        <f t="shared" si="89"/>
        <v>2500.7615242180436</v>
      </c>
      <c r="P274" s="6">
        <v>271</v>
      </c>
      <c r="Q274" s="52">
        <f t="shared" si="103"/>
        <v>-19938.91657746951</v>
      </c>
      <c r="R274" s="52">
        <f t="shared" si="104"/>
        <v>6500.5330669526302</v>
      </c>
      <c r="T274" s="6">
        <v>271</v>
      </c>
      <c r="U274" s="52">
        <f t="shared" si="90"/>
        <v>-4912.737967813584</v>
      </c>
      <c r="V274" s="52">
        <f t="shared" si="91"/>
        <v>-19999.238475781956</v>
      </c>
      <c r="X274" s="6">
        <v>270</v>
      </c>
      <c r="Y274" s="55">
        <v>135</v>
      </c>
      <c r="Z274" s="52">
        <f t="shared" si="105"/>
        <v>54361.288964586063</v>
      </c>
      <c r="AA274" s="52">
        <f t="shared" si="106"/>
        <v>-41570.13456013328</v>
      </c>
      <c r="AB274" s="52">
        <f t="shared" si="107"/>
        <v>-1659.7554943956943</v>
      </c>
      <c r="AC274" s="52">
        <f t="shared" si="108"/>
        <v>1693.6810517071874</v>
      </c>
      <c r="AD274" s="52">
        <f t="shared" si="92"/>
        <v>-207.2689907910829</v>
      </c>
      <c r="AE274" s="52">
        <f t="shared" si="93"/>
        <v>175.90871132439437</v>
      </c>
      <c r="AF274" s="52">
        <f t="shared" si="94"/>
        <v>-80.311902595048252</v>
      </c>
      <c r="AG274" s="52">
        <f t="shared" si="95"/>
        <v>114.69057145036031</v>
      </c>
      <c r="AH274" s="52">
        <f t="shared" si="96"/>
        <v>-17.860788918806026</v>
      </c>
      <c r="AI274" s="52">
        <f t="shared" si="97"/>
        <v>12.386596584301037</v>
      </c>
      <c r="AJ274" s="52">
        <f t="shared" si="98"/>
        <v>-109.09629927722862</v>
      </c>
      <c r="AK274" s="52">
        <f t="shared" si="99"/>
        <v>48.831543289733027</v>
      </c>
      <c r="AM274" s="52">
        <f t="shared" si="100"/>
        <v>59904.726733851065</v>
      </c>
      <c r="AN274" s="57">
        <f t="shared" si="101"/>
        <v>90493.536095264411</v>
      </c>
      <c r="AO274" s="57">
        <f t="shared" si="102"/>
        <v>65036.410402794187</v>
      </c>
    </row>
    <row r="275" spans="12:41" x14ac:dyDescent="0.25">
      <c r="L275" s="6">
        <v>272</v>
      </c>
      <c r="M275" s="52">
        <f t="shared" si="88"/>
        <v>20174.497483512507</v>
      </c>
      <c r="N275" s="52">
        <f t="shared" si="89"/>
        <v>2503.0458649045213</v>
      </c>
      <c r="P275" s="6">
        <v>272</v>
      </c>
      <c r="Q275" s="52">
        <f t="shared" si="103"/>
        <v>-19877.851761541246</v>
      </c>
      <c r="R275" s="52">
        <f t="shared" si="104"/>
        <v>6502.1321054331647</v>
      </c>
      <c r="T275" s="6">
        <v>272</v>
      </c>
      <c r="U275" s="52">
        <f t="shared" si="90"/>
        <v>-4825.5025164874933</v>
      </c>
      <c r="V275" s="52">
        <f t="shared" si="91"/>
        <v>-19996.954135095479</v>
      </c>
      <c r="X275" s="6">
        <v>271</v>
      </c>
      <c r="Y275" s="55">
        <v>135.5</v>
      </c>
      <c r="Z275" s="52">
        <f t="shared" si="105"/>
        <v>53505.502593539328</v>
      </c>
      <c r="AA275" s="52">
        <f t="shared" si="106"/>
        <v>-40701.305445364138</v>
      </c>
      <c r="AB275" s="52">
        <f t="shared" si="107"/>
        <v>-1763.3899897912358</v>
      </c>
      <c r="AC275" s="52">
        <f t="shared" si="108"/>
        <v>1781.6354073693847</v>
      </c>
      <c r="AD275" s="52">
        <f t="shared" si="92"/>
        <v>-214.66573268523911</v>
      </c>
      <c r="AE275" s="52">
        <f t="shared" si="93"/>
        <v>181.9286357475672</v>
      </c>
      <c r="AF275" s="52">
        <f t="shared" si="94"/>
        <v>-83.082489342626999</v>
      </c>
      <c r="AG275" s="52">
        <f t="shared" si="95"/>
        <v>119.52318681939053</v>
      </c>
      <c r="AH275" s="52">
        <f t="shared" si="96"/>
        <v>-18.371020617872116</v>
      </c>
      <c r="AI275" s="52">
        <f t="shared" si="97"/>
        <v>12.671632664568483</v>
      </c>
      <c r="AJ275" s="52">
        <f t="shared" si="98"/>
        <v>-113.21222272473997</v>
      </c>
      <c r="AK275" s="52">
        <f t="shared" si="99"/>
        <v>49.733816263608183</v>
      </c>
      <c r="AM275" s="52">
        <f t="shared" si="100"/>
        <v>58702.508895982981</v>
      </c>
      <c r="AN275" s="57">
        <f t="shared" si="101"/>
        <v>89295.471807885813</v>
      </c>
      <c r="AO275" s="57">
        <f t="shared" si="102"/>
        <v>63901.885225074082</v>
      </c>
    </row>
    <row r="276" spans="12:41" x14ac:dyDescent="0.25">
      <c r="L276" s="6">
        <v>273</v>
      </c>
      <c r="M276" s="52">
        <f t="shared" si="88"/>
        <v>20261.67978121472</v>
      </c>
      <c r="N276" s="52">
        <f t="shared" si="89"/>
        <v>2506.852326227131</v>
      </c>
      <c r="P276" s="6">
        <v>273</v>
      </c>
      <c r="Q276" s="52">
        <f t="shared" si="103"/>
        <v>-19816.824153149697</v>
      </c>
      <c r="R276" s="52">
        <f t="shared" si="104"/>
        <v>6504.7966283589922</v>
      </c>
      <c r="T276" s="6">
        <v>273</v>
      </c>
      <c r="U276" s="52">
        <f t="shared" si="90"/>
        <v>-4738.3202187852803</v>
      </c>
      <c r="V276" s="52">
        <f t="shared" si="91"/>
        <v>-19993.14767377287</v>
      </c>
      <c r="X276" s="6">
        <v>272</v>
      </c>
      <c r="Y276" s="55">
        <v>136</v>
      </c>
      <c r="Z276" s="52">
        <f t="shared" si="105"/>
        <v>52596.974382058055</v>
      </c>
      <c r="AA276" s="52">
        <f t="shared" si="106"/>
        <v>-39787.746662211001</v>
      </c>
      <c r="AB276" s="52">
        <f t="shared" si="107"/>
        <v>-1870.7228561338554</v>
      </c>
      <c r="AC276" s="52">
        <f t="shared" si="108"/>
        <v>1872.5997252431682</v>
      </c>
      <c r="AD276" s="52">
        <f t="shared" si="92"/>
        <v>-222.87313201974536</v>
      </c>
      <c r="AE276" s="52">
        <f t="shared" si="93"/>
        <v>188.64370559597791</v>
      </c>
      <c r="AF276" s="52">
        <f t="shared" si="94"/>
        <v>-86.140595406210821</v>
      </c>
      <c r="AG276" s="52">
        <f t="shared" si="95"/>
        <v>124.96235402580743</v>
      </c>
      <c r="AH276" s="52">
        <f t="shared" si="96"/>
        <v>-18.933228994435115</v>
      </c>
      <c r="AI276" s="52">
        <f t="shared" si="97"/>
        <v>12.984601861114649</v>
      </c>
      <c r="AJ276" s="52">
        <f t="shared" si="98"/>
        <v>-117.79930761909941</v>
      </c>
      <c r="AK276" s="52">
        <f t="shared" si="99"/>
        <v>50.696749709055837</v>
      </c>
      <c r="AM276" s="52">
        <f t="shared" si="100"/>
        <v>57434.255660311268</v>
      </c>
      <c r="AN276" s="57">
        <f t="shared" si="101"/>
        <v>88029.202013477858</v>
      </c>
      <c r="AO276" s="57">
        <f t="shared" si="102"/>
        <v>62704.416451773192</v>
      </c>
    </row>
    <row r="277" spans="12:41" x14ac:dyDescent="0.25">
      <c r="L277" s="6">
        <v>274</v>
      </c>
      <c r="M277" s="52">
        <f t="shared" si="88"/>
        <v>20348.782368720626</v>
      </c>
      <c r="N277" s="52">
        <f t="shared" si="89"/>
        <v>2512.179748700878</v>
      </c>
      <c r="P277" s="6">
        <v>274</v>
      </c>
      <c r="Q277" s="52">
        <f t="shared" si="103"/>
        <v>-19755.852341895563</v>
      </c>
      <c r="R277" s="52">
        <f t="shared" si="104"/>
        <v>6508.5258240906151</v>
      </c>
      <c r="T277" s="6">
        <v>274</v>
      </c>
      <c r="U277" s="52">
        <f t="shared" si="90"/>
        <v>-4651.2176312793736</v>
      </c>
      <c r="V277" s="52">
        <f t="shared" si="91"/>
        <v>-19987.820251299123</v>
      </c>
      <c r="X277" s="6">
        <v>273</v>
      </c>
      <c r="Y277" s="55">
        <v>136.5</v>
      </c>
      <c r="Z277" s="52">
        <f t="shared" si="105"/>
        <v>51633.753812488656</v>
      </c>
      <c r="AA277" s="52">
        <f t="shared" si="106"/>
        <v>-38827.866336389918</v>
      </c>
      <c r="AB277" s="52">
        <f t="shared" si="107"/>
        <v>-1982.1594221437281</v>
      </c>
      <c r="AC277" s="52">
        <f t="shared" si="108"/>
        <v>1966.9215780411571</v>
      </c>
      <c r="AD277" s="52">
        <f t="shared" si="92"/>
        <v>-232.00192770656489</v>
      </c>
      <c r="AE277" s="52">
        <f t="shared" si="93"/>
        <v>196.15429708737167</v>
      </c>
      <c r="AF277" s="52">
        <f t="shared" si="94"/>
        <v>-89.522628586697365</v>
      </c>
      <c r="AG277" s="52">
        <f t="shared" si="95"/>
        <v>131.10655143334429</v>
      </c>
      <c r="AH277" s="52">
        <f t="shared" si="96"/>
        <v>-19.553988545436116</v>
      </c>
      <c r="AI277" s="52">
        <f t="shared" si="97"/>
        <v>13.328626355937214</v>
      </c>
      <c r="AJ277" s="52">
        <f t="shared" si="98"/>
        <v>-122.92531057443141</v>
      </c>
      <c r="AK277" s="52">
        <f t="shared" si="99"/>
        <v>51.719119298090177</v>
      </c>
      <c r="AM277" s="52">
        <f t="shared" si="100"/>
        <v>56097.821522333208</v>
      </c>
      <c r="AN277" s="57">
        <f t="shared" si="101"/>
        <v>86692.301943324783</v>
      </c>
      <c r="AO277" s="57">
        <f t="shared" si="102"/>
        <v>61442.24348962558</v>
      </c>
    </row>
    <row r="278" spans="12:41" x14ac:dyDescent="0.25">
      <c r="L278" s="6">
        <v>275</v>
      </c>
      <c r="M278" s="52">
        <f t="shared" si="88"/>
        <v>20435.778713738291</v>
      </c>
      <c r="N278" s="52">
        <f t="shared" si="89"/>
        <v>2519.0265095412724</v>
      </c>
      <c r="P278" s="6">
        <v>275</v>
      </c>
      <c r="Q278" s="52">
        <f t="shared" si="103"/>
        <v>-19694.954900383196</v>
      </c>
      <c r="R278" s="52">
        <f t="shared" si="104"/>
        <v>6513.3185566788907</v>
      </c>
      <c r="T278" s="6">
        <v>275</v>
      </c>
      <c r="U278" s="52">
        <f t="shared" si="90"/>
        <v>-4564.2212862617107</v>
      </c>
      <c r="V278" s="52">
        <f t="shared" si="91"/>
        <v>-19980.973490458728</v>
      </c>
      <c r="X278" s="6">
        <v>274</v>
      </c>
      <c r="Y278" s="55">
        <v>137</v>
      </c>
      <c r="Z278" s="52">
        <f t="shared" si="105"/>
        <v>50613.673860453469</v>
      </c>
      <c r="AA278" s="52">
        <f t="shared" si="106"/>
        <v>-37819.886260233412</v>
      </c>
      <c r="AB278" s="52">
        <f t="shared" si="107"/>
        <v>-2098.1603859970105</v>
      </c>
      <c r="AC278" s="52">
        <f t="shared" si="108"/>
        <v>2064.9987265848431</v>
      </c>
      <c r="AD278" s="52">
        <f t="shared" si="92"/>
        <v>-242.1837078931122</v>
      </c>
      <c r="AE278" s="52">
        <f t="shared" si="93"/>
        <v>204.58161903003014</v>
      </c>
      <c r="AF278" s="52">
        <f t="shared" si="94"/>
        <v>-93.271032457550277</v>
      </c>
      <c r="AG278" s="52">
        <f t="shared" si="95"/>
        <v>138.07661901733292</v>
      </c>
      <c r="AH278" s="52">
        <f t="shared" si="96"/>
        <v>-20.241098351738579</v>
      </c>
      <c r="AI278" s="52">
        <f t="shared" si="97"/>
        <v>13.707359609629592</v>
      </c>
      <c r="AJ278" s="52">
        <f t="shared" si="98"/>
        <v>-128.67157708382334</v>
      </c>
      <c r="AK278" s="52">
        <f t="shared" si="99"/>
        <v>52.797640403067639</v>
      </c>
      <c r="AM278" s="52">
        <f t="shared" si="100"/>
        <v>54690.850403652577</v>
      </c>
      <c r="AN278" s="57">
        <f t="shared" si="101"/>
        <v>85282.075830810732</v>
      </c>
      <c r="AO278" s="57">
        <f t="shared" si="102"/>
        <v>60113.458802391957</v>
      </c>
    </row>
    <row r="279" spans="12:41" x14ac:dyDescent="0.25">
      <c r="L279" s="6">
        <v>276</v>
      </c>
      <c r="M279" s="52">
        <f t="shared" si="88"/>
        <v>20522.642316338264</v>
      </c>
      <c r="N279" s="52">
        <f t="shared" si="89"/>
        <v>2527.3905231586332</v>
      </c>
      <c r="P279" s="6">
        <v>276</v>
      </c>
      <c r="Q279" s="52">
        <f t="shared" si="103"/>
        <v>-19634.150378563216</v>
      </c>
      <c r="R279" s="52">
        <f t="shared" si="104"/>
        <v>6519.1733662110437</v>
      </c>
      <c r="T279" s="6">
        <v>276</v>
      </c>
      <c r="U279" s="52">
        <f t="shared" si="90"/>
        <v>-4477.3576836617349</v>
      </c>
      <c r="V279" s="52">
        <f t="shared" si="91"/>
        <v>-19972.609476841368</v>
      </c>
      <c r="X279" s="6">
        <v>275</v>
      </c>
      <c r="Y279" s="55">
        <v>137.5</v>
      </c>
      <c r="Z279" s="52">
        <f t="shared" si="105"/>
        <v>49534.320703968326</v>
      </c>
      <c r="AA279" s="52">
        <f t="shared" si="106"/>
        <v>-36761.814194562234</v>
      </c>
      <c r="AB279" s="52">
        <f t="shared" si="107"/>
        <v>-2219.2522399435666</v>
      </c>
      <c r="AC279" s="52">
        <f t="shared" si="108"/>
        <v>2167.2895360998582</v>
      </c>
      <c r="AD279" s="52">
        <f t="shared" si="92"/>
        <v>-253.57559348797008</v>
      </c>
      <c r="AE279" s="52">
        <f t="shared" si="93"/>
        <v>214.07314708488607</v>
      </c>
      <c r="AF279" s="52">
        <f t="shared" si="94"/>
        <v>-97.435332949599157</v>
      </c>
      <c r="AG279" s="52">
        <f t="shared" si="95"/>
        <v>146.02213628773256</v>
      </c>
      <c r="AH279" s="52">
        <f t="shared" si="96"/>
        <v>-21.003871533906075</v>
      </c>
      <c r="AI279" s="52">
        <f t="shared" si="97"/>
        <v>14.12509862886915</v>
      </c>
      <c r="AJ279" s="52">
        <f t="shared" si="98"/>
        <v>-135.13638900446483</v>
      </c>
      <c r="AK279" s="52">
        <f t="shared" si="99"/>
        <v>53.925912168284349</v>
      </c>
      <c r="AM279" s="52">
        <f t="shared" si="100"/>
        <v>53210.753567665277</v>
      </c>
      <c r="AN279" s="57">
        <f t="shared" si="101"/>
        <v>83795.519107700966</v>
      </c>
      <c r="AO279" s="57">
        <f t="shared" si="102"/>
        <v>58716.000303851753</v>
      </c>
    </row>
    <row r="280" spans="12:41" x14ac:dyDescent="0.25">
      <c r="L280" s="6">
        <v>277</v>
      </c>
      <c r="M280" s="52">
        <f t="shared" si="88"/>
        <v>20609.346717025739</v>
      </c>
      <c r="N280" s="52">
        <f t="shared" si="89"/>
        <v>2537.2692417933904</v>
      </c>
      <c r="P280" s="6">
        <v>277</v>
      </c>
      <c r="Q280" s="52">
        <f t="shared" si="103"/>
        <v>-19573.457298081983</v>
      </c>
      <c r="R280" s="52">
        <f t="shared" si="104"/>
        <v>6526.0884692553736</v>
      </c>
      <c r="T280" s="6">
        <v>277</v>
      </c>
      <c r="U280" s="52">
        <f t="shared" si="90"/>
        <v>-4390.6532829742619</v>
      </c>
      <c r="V280" s="52">
        <f t="shared" si="91"/>
        <v>-19962.73075820661</v>
      </c>
      <c r="X280" s="6">
        <v>276</v>
      </c>
      <c r="Y280" s="55">
        <v>138</v>
      </c>
      <c r="Z280" s="52">
        <f t="shared" si="105"/>
        <v>48392.997634810548</v>
      </c>
      <c r="AA280" s="52">
        <f t="shared" si="106"/>
        <v>-35651.410283126694</v>
      </c>
      <c r="AB280" s="52">
        <f t="shared" si="107"/>
        <v>-2346.0400366875515</v>
      </c>
      <c r="AC280" s="52">
        <f t="shared" si="108"/>
        <v>2274.3261096423012</v>
      </c>
      <c r="AD280" s="52">
        <f t="shared" si="92"/>
        <v>-266.3661051813279</v>
      </c>
      <c r="AE280" s="52">
        <f t="shared" si="93"/>
        <v>224.80980853039199</v>
      </c>
      <c r="AF280" s="52">
        <f t="shared" si="94"/>
        <v>-102.07329557516141</v>
      </c>
      <c r="AG280" s="52">
        <f t="shared" si="95"/>
        <v>155.13003286819173</v>
      </c>
      <c r="AH280" s="52">
        <f t="shared" si="96"/>
        <v>-21.853510645178503</v>
      </c>
      <c r="AI280" s="52">
        <f t="shared" si="97"/>
        <v>14.58692578320243</v>
      </c>
      <c r="AJ280" s="52">
        <f t="shared" si="98"/>
        <v>-142.43929896098797</v>
      </c>
      <c r="AK280" s="52">
        <f t="shared" si="99"/>
        <v>55.092849878997832</v>
      </c>
      <c r="AM280" s="52">
        <f t="shared" si="100"/>
        <v>51654.685403292213</v>
      </c>
      <c r="AN280" s="57">
        <f t="shared" si="101"/>
        <v>82229.273293113598</v>
      </c>
      <c r="AO280" s="57">
        <f t="shared" si="102"/>
        <v>57247.64574297284</v>
      </c>
    </row>
    <row r="281" spans="12:41" x14ac:dyDescent="0.25">
      <c r="L281" s="6">
        <v>278</v>
      </c>
      <c r="M281" s="52">
        <f t="shared" si="88"/>
        <v>20695.865504800327</v>
      </c>
      <c r="N281" s="52">
        <f t="shared" si="89"/>
        <v>2548.6596562921486</v>
      </c>
      <c r="P281" s="6">
        <v>278</v>
      </c>
      <c r="Q281" s="52">
        <f t="shared" si="103"/>
        <v>-19512.89414663977</v>
      </c>
      <c r="R281" s="52">
        <f t="shared" si="104"/>
        <v>6534.0617594045034</v>
      </c>
      <c r="T281" s="6">
        <v>278</v>
      </c>
      <c r="U281" s="52">
        <f t="shared" si="90"/>
        <v>-4304.1344951996725</v>
      </c>
      <c r="V281" s="52">
        <f t="shared" si="91"/>
        <v>-19951.340343707852</v>
      </c>
      <c r="X281" s="6">
        <v>277</v>
      </c>
      <c r="Y281" s="55">
        <v>138.5</v>
      </c>
      <c r="Z281" s="52">
        <f t="shared" si="105"/>
        <v>47186.681853319104</v>
      </c>
      <c r="AA281" s="52">
        <f t="shared" si="106"/>
        <v>-34486.146002239242</v>
      </c>
      <c r="AB281" s="52">
        <f t="shared" si="107"/>
        <v>-2479.2230892782154</v>
      </c>
      <c r="AC281" s="52">
        <f t="shared" si="108"/>
        <v>2386.7310139074971</v>
      </c>
      <c r="AD281" s="52">
        <f t="shared" si="92"/>
        <v>-280.78250009827963</v>
      </c>
      <c r="AE281" s="52">
        <f t="shared" si="93"/>
        <v>237.01558876138296</v>
      </c>
      <c r="AF281" s="52">
        <f t="shared" si="94"/>
        <v>-107.25211737953325</v>
      </c>
      <c r="AG281" s="52">
        <f t="shared" si="95"/>
        <v>165.63636134935751</v>
      </c>
      <c r="AH281" s="52">
        <f t="shared" si="96"/>
        <v>-22.803599968232678</v>
      </c>
      <c r="AI281" s="52">
        <f t="shared" si="97"/>
        <v>15.098889386711722</v>
      </c>
      <c r="AJ281" s="52">
        <f t="shared" si="98"/>
        <v>-150.72678275051371</v>
      </c>
      <c r="AK281" s="52">
        <f t="shared" si="99"/>
        <v>56.280338025313725</v>
      </c>
      <c r="AM281" s="52">
        <f t="shared" si="100"/>
        <v>50019.517453839362</v>
      </c>
      <c r="AN281" s="57">
        <f t="shared" si="101"/>
        <v>80579.571881412136</v>
      </c>
      <c r="AO281" s="57">
        <f t="shared" si="102"/>
        <v>55706.010886439624</v>
      </c>
    </row>
    <row r="282" spans="12:41" x14ac:dyDescent="0.25">
      <c r="L282" s="6">
        <v>279</v>
      </c>
      <c r="M282" s="52">
        <f t="shared" si="88"/>
        <v>20782.172325201154</v>
      </c>
      <c r="N282" s="52">
        <f t="shared" si="89"/>
        <v>2561.5582970243113</v>
      </c>
      <c r="P282" s="6">
        <v>279</v>
      </c>
      <c r="Q282" s="52">
        <f t="shared" si="103"/>
        <v>-19452.479372359194</v>
      </c>
      <c r="R282" s="52">
        <f t="shared" si="104"/>
        <v>6543.0908079170176</v>
      </c>
      <c r="T282" s="6">
        <v>279</v>
      </c>
      <c r="U282" s="52">
        <f t="shared" si="90"/>
        <v>-4217.8276747988466</v>
      </c>
      <c r="V282" s="52">
        <f t="shared" si="91"/>
        <v>-19938.441702975688</v>
      </c>
      <c r="X282" s="6">
        <v>278</v>
      </c>
      <c r="Y282" s="55">
        <v>139</v>
      </c>
      <c r="Z282" s="52">
        <f t="shared" si="105"/>
        <v>45911.972496167713</v>
      </c>
      <c r="AA282" s="52">
        <f t="shared" si="106"/>
        <v>-33263.153546690322</v>
      </c>
      <c r="AB282" s="52">
        <f t="shared" si="107"/>
        <v>-2619.6143393273551</v>
      </c>
      <c r="AC282" s="52">
        <f t="shared" si="108"/>
        <v>2505.2388082881885</v>
      </c>
      <c r="AD282" s="52">
        <f t="shared" si="92"/>
        <v>-297.09988814257275</v>
      </c>
      <c r="AE282" s="52">
        <f t="shared" si="93"/>
        <v>250.97052915843767</v>
      </c>
      <c r="AF282" s="52">
        <f t="shared" si="94"/>
        <v>-113.04946924878298</v>
      </c>
      <c r="AG282" s="52">
        <f t="shared" si="95"/>
        <v>177.84261209915729</v>
      </c>
      <c r="AH282" s="52">
        <f t="shared" si="96"/>
        <v>-23.870758998049585</v>
      </c>
      <c r="AI282" s="52">
        <f t="shared" si="97"/>
        <v>15.668235567805288</v>
      </c>
      <c r="AJ282" s="52">
        <f t="shared" si="98"/>
        <v>-160.17965989574017</v>
      </c>
      <c r="AK282" s="52">
        <f t="shared" si="99"/>
        <v>57.459681491475095</v>
      </c>
      <c r="AM282" s="52">
        <f t="shared" si="100"/>
        <v>48301.811619371008</v>
      </c>
      <c r="AN282" s="57">
        <f t="shared" si="101"/>
        <v>78842.175091381592</v>
      </c>
      <c r="AO282" s="57">
        <f t="shared" si="102"/>
        <v>54088.55443548593</v>
      </c>
    </row>
    <row r="283" spans="12:41" x14ac:dyDescent="0.25">
      <c r="L283" s="6">
        <v>280</v>
      </c>
      <c r="M283" s="52">
        <f t="shared" si="88"/>
        <v>20868.240888334651</v>
      </c>
      <c r="N283" s="52">
        <f t="shared" si="89"/>
        <v>2575.961234938959</v>
      </c>
      <c r="P283" s="6">
        <v>280</v>
      </c>
      <c r="Q283" s="52">
        <f t="shared" si="103"/>
        <v>-19392.231378165747</v>
      </c>
      <c r="R283" s="52">
        <f t="shared" si="104"/>
        <v>6553.1728644572713</v>
      </c>
      <c r="T283" s="6">
        <v>280</v>
      </c>
      <c r="U283" s="52">
        <f t="shared" si="90"/>
        <v>-4131.7591116653502</v>
      </c>
      <c r="V283" s="52">
        <f t="shared" si="91"/>
        <v>-19924.038765061043</v>
      </c>
      <c r="X283" s="6">
        <v>279</v>
      </c>
      <c r="Y283" s="55">
        <v>139.5</v>
      </c>
      <c r="Z283" s="52">
        <f t="shared" si="105"/>
        <v>44565.027840486218</v>
      </c>
      <c r="AA283" s="52">
        <f t="shared" si="106"/>
        <v>-31979.162826401425</v>
      </c>
      <c r="AB283" s="52">
        <f t="shared" si="107"/>
        <v>-2768.1642833986416</v>
      </c>
      <c r="AC283" s="52">
        <f t="shared" si="108"/>
        <v>2630.7240728674074</v>
      </c>
      <c r="AD283" s="52">
        <f t="shared" si="92"/>
        <v>-315.65239714094656</v>
      </c>
      <c r="AE283" s="52">
        <f t="shared" si="93"/>
        <v>267.02853307503636</v>
      </c>
      <c r="AF283" s="52">
        <f t="shared" si="94"/>
        <v>-119.55398428935288</v>
      </c>
      <c r="AG283" s="52">
        <f t="shared" si="95"/>
        <v>192.13864698029911</v>
      </c>
      <c r="AH283" s="52">
        <f t="shared" si="96"/>
        <v>-25.075521436391117</v>
      </c>
      <c r="AI283" s="52">
        <f t="shared" si="97"/>
        <v>16.303708563958935</v>
      </c>
      <c r="AJ283" s="52">
        <f t="shared" si="98"/>
        <v>-171.02289141520257</v>
      </c>
      <c r="AK283" s="52">
        <f t="shared" si="99"/>
        <v>58.586177530778308</v>
      </c>
      <c r="AM283" s="52">
        <f t="shared" si="100"/>
        <v>46497.794466806481</v>
      </c>
      <c r="AN283" s="57">
        <f t="shared" si="101"/>
        <v>77012.290783019067</v>
      </c>
      <c r="AO283" s="57">
        <f t="shared" si="102"/>
        <v>52392.594468241652</v>
      </c>
    </row>
    <row r="284" spans="12:41" x14ac:dyDescent="0.25">
      <c r="L284" s="6">
        <v>281</v>
      </c>
      <c r="M284" s="52">
        <f t="shared" si="88"/>
        <v>20954.04497688272</v>
      </c>
      <c r="N284" s="52">
        <f t="shared" si="89"/>
        <v>2591.8640827616791</v>
      </c>
      <c r="P284" s="6">
        <v>281</v>
      </c>
      <c r="Q284" s="52">
        <f t="shared" si="103"/>
        <v>-19332.168516182093</v>
      </c>
      <c r="R284" s="52">
        <f t="shared" si="104"/>
        <v>6564.3048579331753</v>
      </c>
      <c r="T284" s="6">
        <v>281</v>
      </c>
      <c r="U284" s="52">
        <f t="shared" si="90"/>
        <v>-4045.9550231172789</v>
      </c>
      <c r="V284" s="52">
        <f t="shared" si="91"/>
        <v>-19908.13591723832</v>
      </c>
      <c r="X284" s="6">
        <v>280</v>
      </c>
      <c r="Y284" s="55">
        <v>140</v>
      </c>
      <c r="Z284" s="52">
        <f t="shared" si="105"/>
        <v>43141.489149144283</v>
      </c>
      <c r="AA284" s="52">
        <f t="shared" si="106"/>
        <v>-30630.422223333342</v>
      </c>
      <c r="AB284" s="52">
        <f t="shared" si="107"/>
        <v>-2925.9904819691151</v>
      </c>
      <c r="AC284" s="52">
        <f t="shared" si="108"/>
        <v>2764.2383394049257</v>
      </c>
      <c r="AD284" s="52">
        <f t="shared" si="92"/>
        <v>-336.84644525539773</v>
      </c>
      <c r="AE284" s="52">
        <f t="shared" si="93"/>
        <v>285.64207111330472</v>
      </c>
      <c r="AF284" s="52">
        <f t="shared" si="94"/>
        <v>-126.86434296570003</v>
      </c>
      <c r="AG284" s="52">
        <f t="shared" si="95"/>
        <v>209.03542253445636</v>
      </c>
      <c r="AH284" s="52">
        <f t="shared" si="96"/>
        <v>-26.443534738742137</v>
      </c>
      <c r="AI284" s="52">
        <f t="shared" si="97"/>
        <v>17.015943019250702</v>
      </c>
      <c r="AJ284" s="52">
        <f t="shared" si="98"/>
        <v>-183.53856755095555</v>
      </c>
      <c r="AK284" s="52">
        <f t="shared" si="99"/>
        <v>59.590705559597673</v>
      </c>
      <c r="AM284" s="52">
        <f t="shared" si="100"/>
        <v>44603.336410739903</v>
      </c>
      <c r="AN284" s="57">
        <f t="shared" si="101"/>
        <v>75084.478169711248</v>
      </c>
      <c r="AO284" s="57">
        <f t="shared" si="102"/>
        <v>50615.344277964265</v>
      </c>
    </row>
    <row r="285" spans="12:41" x14ac:dyDescent="0.25">
      <c r="L285" s="6">
        <v>282</v>
      </c>
      <c r="M285" s="52">
        <f t="shared" si="88"/>
        <v>21039.558454088794</v>
      </c>
      <c r="N285" s="52">
        <f t="shared" si="89"/>
        <v>2609.2619963309708</v>
      </c>
      <c r="P285" s="6">
        <v>282</v>
      </c>
      <c r="Q285" s="52">
        <f t="shared" si="103"/>
        <v>-19272.309082137846</v>
      </c>
      <c r="R285" s="52">
        <f t="shared" si="104"/>
        <v>6576.4833974316798</v>
      </c>
      <c r="T285" s="6">
        <v>282</v>
      </c>
      <c r="U285" s="52">
        <f t="shared" si="90"/>
        <v>-3960.441545911207</v>
      </c>
      <c r="V285" s="52">
        <f t="shared" si="91"/>
        <v>-19890.73800366903</v>
      </c>
      <c r="X285" s="6">
        <v>281</v>
      </c>
      <c r="Y285" s="55">
        <v>140.5</v>
      </c>
      <c r="Z285" s="52">
        <f t="shared" si="105"/>
        <v>41636.388102502802</v>
      </c>
      <c r="AA285" s="52">
        <f t="shared" si="106"/>
        <v>-29212.597794741716</v>
      </c>
      <c r="AB285" s="52">
        <f t="shared" si="107"/>
        <v>-3094.4137045968141</v>
      </c>
      <c r="AC285" s="52">
        <f t="shared" si="108"/>
        <v>2907.0593749615782</v>
      </c>
      <c r="AD285" s="52">
        <f t="shared" si="92"/>
        <v>-361.17555824762348</v>
      </c>
      <c r="AE285" s="52">
        <f t="shared" si="93"/>
        <v>307.39689533766938</v>
      </c>
      <c r="AF285" s="52">
        <f t="shared" si="94"/>
        <v>-135.08519850514224</v>
      </c>
      <c r="AG285" s="52">
        <f t="shared" si="95"/>
        <v>229.21240538149053</v>
      </c>
      <c r="AH285" s="52">
        <f t="shared" si="96"/>
        <v>-28.007223241140366</v>
      </c>
      <c r="AI285" s="52">
        <f t="shared" si="97"/>
        <v>17.817980808284656</v>
      </c>
      <c r="AJ285" s="52">
        <f t="shared" si="98"/>
        <v>-198.08313650134085</v>
      </c>
      <c r="AK285" s="52">
        <f t="shared" si="99"/>
        <v>60.366509147894185</v>
      </c>
      <c r="AM285" s="52">
        <f t="shared" si="100"/>
        <v>42613.942870386905</v>
      </c>
      <c r="AN285" s="57">
        <f t="shared" si="101"/>
        <v>73052.53016928662</v>
      </c>
      <c r="AO285" s="57">
        <f t="shared" si="102"/>
        <v>48753.980671555037</v>
      </c>
    </row>
    <row r="286" spans="12:41" x14ac:dyDescent="0.25">
      <c r="L286" s="6">
        <v>283</v>
      </c>
      <c r="M286" s="52">
        <f t="shared" si="88"/>
        <v>21124.755271719325</v>
      </c>
      <c r="N286" s="52">
        <f t="shared" si="89"/>
        <v>2628.1496760738237</v>
      </c>
      <c r="P286" s="6">
        <v>283</v>
      </c>
      <c r="Q286" s="52">
        <f t="shared" si="103"/>
        <v>-19212.671309796471</v>
      </c>
      <c r="R286" s="52">
        <f t="shared" si="104"/>
        <v>6589.7047732516767</v>
      </c>
      <c r="T286" s="6">
        <v>283</v>
      </c>
      <c r="U286" s="52">
        <f t="shared" si="90"/>
        <v>-3875.2447282806752</v>
      </c>
      <c r="V286" s="52">
        <f t="shared" si="91"/>
        <v>-19871.850323926177</v>
      </c>
      <c r="X286" s="6">
        <v>282</v>
      </c>
      <c r="Y286" s="55">
        <v>141</v>
      </c>
      <c r="Z286" s="52">
        <f t="shared" si="105"/>
        <v>40044.034305423447</v>
      </c>
      <c r="AA286" s="52">
        <f t="shared" si="106"/>
        <v>-27720.643495343716</v>
      </c>
      <c r="AB286" s="52">
        <f t="shared" si="107"/>
        <v>-3275.0014837206259</v>
      </c>
      <c r="AC286" s="52">
        <f t="shared" si="108"/>
        <v>3060.7578226304131</v>
      </c>
      <c r="AD286" s="52">
        <f t="shared" si="92"/>
        <v>-389.23458671413812</v>
      </c>
      <c r="AE286" s="52">
        <f t="shared" si="93"/>
        <v>333.06139465674323</v>
      </c>
      <c r="AF286" s="52">
        <f t="shared" si="94"/>
        <v>-144.31631061342776</v>
      </c>
      <c r="AG286" s="52">
        <f t="shared" si="95"/>
        <v>253.58733921661221</v>
      </c>
      <c r="AH286" s="52">
        <f t="shared" si="96"/>
        <v>-29.808134430645552</v>
      </c>
      <c r="AI286" s="52">
        <f t="shared" si="97"/>
        <v>18.725957126736599</v>
      </c>
      <c r="AJ286" s="52">
        <f t="shared" si="98"/>
        <v>-215.11014167006482</v>
      </c>
      <c r="AK286" s="52">
        <f t="shared" si="99"/>
        <v>60.748098313394436</v>
      </c>
      <c r="AM286" s="52">
        <f t="shared" si="100"/>
        <v>40524.770689827346</v>
      </c>
      <c r="AN286" s="57">
        <f t="shared" si="101"/>
        <v>70909.329438189467</v>
      </c>
      <c r="AO286" s="57">
        <f t="shared" si="102"/>
        <v>46805.766711419164</v>
      </c>
    </row>
    <row r="287" spans="12:41" x14ac:dyDescent="0.25">
      <c r="L287" s="6">
        <v>284</v>
      </c>
      <c r="M287" s="52">
        <f t="shared" si="88"/>
        <v>21209.609477998336</v>
      </c>
      <c r="N287" s="52">
        <f t="shared" si="89"/>
        <v>2648.5213686200168</v>
      </c>
      <c r="P287" s="6">
        <v>284</v>
      </c>
      <c r="Q287" s="52">
        <f t="shared" si="103"/>
        <v>-19153.273365401164</v>
      </c>
      <c r="R287" s="52">
        <f t="shared" si="104"/>
        <v>6603.9649580340119</v>
      </c>
      <c r="T287" s="6">
        <v>284</v>
      </c>
      <c r="U287" s="52">
        <f t="shared" si="90"/>
        <v>-3790.3905220016627</v>
      </c>
      <c r="V287" s="52">
        <f t="shared" si="91"/>
        <v>-19851.478631379985</v>
      </c>
      <c r="X287" s="6">
        <v>283</v>
      </c>
      <c r="Y287" s="55">
        <v>141.5</v>
      </c>
      <c r="Z287" s="52">
        <f t="shared" si="105"/>
        <v>38357.879240223869</v>
      </c>
      <c r="AA287" s="52">
        <f t="shared" si="106"/>
        <v>-26148.631909696418</v>
      </c>
      <c r="AB287" s="52">
        <f t="shared" si="107"/>
        <v>-3469.6187770776951</v>
      </c>
      <c r="AC287" s="52">
        <f t="shared" si="108"/>
        <v>3227.2885199587845</v>
      </c>
      <c r="AD287" s="52">
        <f t="shared" si="92"/>
        <v>-421.72735991878392</v>
      </c>
      <c r="AE287" s="52">
        <f t="shared" si="93"/>
        <v>363.65742191489966</v>
      </c>
      <c r="AF287" s="52">
        <f t="shared" si="94"/>
        <v>-154.62730257497969</v>
      </c>
      <c r="AG287" s="52">
        <f t="shared" si="95"/>
        <v>283.42038420943959</v>
      </c>
      <c r="AH287" s="52">
        <f t="shared" si="96"/>
        <v>-31.900312719252117</v>
      </c>
      <c r="AI287" s="52">
        <f t="shared" si="97"/>
        <v>19.760016595970249</v>
      </c>
      <c r="AJ287" s="52">
        <f t="shared" si="98"/>
        <v>-235.19974462455207</v>
      </c>
      <c r="AK287" s="52">
        <f t="shared" si="99"/>
        <v>60.477021109489833</v>
      </c>
      <c r="AM287" s="52">
        <f t="shared" si="100"/>
        <v>38330.694744458808</v>
      </c>
      <c r="AN287" s="57">
        <f t="shared" si="101"/>
        <v>68646.672594957388</v>
      </c>
      <c r="AO287" s="57">
        <f t="shared" si="102"/>
        <v>44768.26650282248</v>
      </c>
    </row>
    <row r="288" spans="12:41" x14ac:dyDescent="0.25">
      <c r="L288" s="6">
        <v>285</v>
      </c>
      <c r="M288" s="52">
        <f t="shared" si="88"/>
        <v>21294.095225512607</v>
      </c>
      <c r="N288" s="52">
        <f t="shared" si="89"/>
        <v>2670.370868554659</v>
      </c>
      <c r="P288" s="6">
        <v>285</v>
      </c>
      <c r="Q288" s="52">
        <f t="shared" si="103"/>
        <v>-19094.133342141176</v>
      </c>
      <c r="R288" s="52">
        <f t="shared" si="104"/>
        <v>6619.2596079882615</v>
      </c>
      <c r="T288" s="6">
        <v>285</v>
      </c>
      <c r="U288" s="52">
        <f t="shared" si="90"/>
        <v>-3705.9047744873942</v>
      </c>
      <c r="V288" s="52">
        <f t="shared" si="91"/>
        <v>-19829.629131445341</v>
      </c>
      <c r="X288" s="6">
        <v>284</v>
      </c>
      <c r="Y288" s="55">
        <v>142</v>
      </c>
      <c r="Z288" s="52">
        <f t="shared" si="105"/>
        <v>36570.353931695179</v>
      </c>
      <c r="AA288" s="52">
        <f t="shared" si="106"/>
        <v>-24489.530471977665</v>
      </c>
      <c r="AB288" s="52">
        <f t="shared" si="107"/>
        <v>-3680.482457037087</v>
      </c>
      <c r="AC288" s="52">
        <f t="shared" si="108"/>
        <v>3409.1172309162343</v>
      </c>
      <c r="AD288" s="52">
        <f t="shared" si="92"/>
        <v>-459.45277002399121</v>
      </c>
      <c r="AE288" s="52">
        <f t="shared" si="93"/>
        <v>400.56229823806052</v>
      </c>
      <c r="AF288" s="52">
        <f t="shared" si="94"/>
        <v>-166.0019281378365</v>
      </c>
      <c r="AG288" s="52">
        <f t="shared" si="95"/>
        <v>320.47135266163332</v>
      </c>
      <c r="AH288" s="52">
        <f t="shared" si="96"/>
        <v>-34.355253363484621</v>
      </c>
      <c r="AI288" s="52">
        <f t="shared" si="97"/>
        <v>20.945539057137545</v>
      </c>
      <c r="AJ288" s="52">
        <f t="shared" si="98"/>
        <v>-259.09558852267008</v>
      </c>
      <c r="AK288" s="52">
        <f t="shared" si="99"/>
        <v>59.1454065192897</v>
      </c>
      <c r="AM288" s="52">
        <f t="shared" si="100"/>
        <v>36026.472062071713</v>
      </c>
      <c r="AN288" s="57">
        <f t="shared" si="101"/>
        <v>66255.057589098331</v>
      </c>
      <c r="AO288" s="57">
        <f t="shared" si="102"/>
        <v>42639.71757159043</v>
      </c>
    </row>
    <row r="289" spans="12:41" x14ac:dyDescent="0.25">
      <c r="L289" s="6">
        <v>286</v>
      </c>
      <c r="M289" s="52">
        <f t="shared" si="88"/>
        <v>21378.186779084997</v>
      </c>
      <c r="N289" s="52">
        <f t="shared" si="89"/>
        <v>2693.6915203084063</v>
      </c>
      <c r="P289" s="6">
        <v>286</v>
      </c>
      <c r="Q289" s="52">
        <f t="shared" si="103"/>
        <v>-19035.269254640501</v>
      </c>
      <c r="R289" s="52">
        <f t="shared" si="104"/>
        <v>6635.5840642158837</v>
      </c>
      <c r="T289" s="6">
        <v>286</v>
      </c>
      <c r="U289" s="52">
        <f t="shared" si="90"/>
        <v>-3621.8132209150031</v>
      </c>
      <c r="V289" s="52">
        <f t="shared" si="91"/>
        <v>-19806.308479691594</v>
      </c>
      <c r="X289" s="6">
        <v>285</v>
      </c>
      <c r="Y289" s="55">
        <v>142.5</v>
      </c>
      <c r="Z289" s="52">
        <f t="shared" si="105"/>
        <v>34672.681106923636</v>
      </c>
      <c r="AA289" s="52">
        <f t="shared" si="106"/>
        <v>-22734.901569239788</v>
      </c>
      <c r="AB289" s="52">
        <f t="shared" si="107"/>
        <v>-3910.2088420490827</v>
      </c>
      <c r="AC289" s="52">
        <f t="shared" si="108"/>
        <v>3609.3983800352644</v>
      </c>
      <c r="AD289" s="52">
        <f t="shared" si="92"/>
        <v>-503.23288779771252</v>
      </c>
      <c r="AE289" s="52">
        <f t="shared" si="93"/>
        <v>445.65435149041917</v>
      </c>
      <c r="AF289" s="52">
        <f t="shared" si="94"/>
        <v>-178.21685082299607</v>
      </c>
      <c r="AG289" s="52">
        <f t="shared" si="95"/>
        <v>367.23819616515442</v>
      </c>
      <c r="AH289" s="52">
        <f t="shared" si="96"/>
        <v>-37.269345267627131</v>
      </c>
      <c r="AI289" s="52">
        <f t="shared" si="97"/>
        <v>22.314770817619326</v>
      </c>
      <c r="AJ289" s="52">
        <f t="shared" si="98"/>
        <v>-287.74669170708933</v>
      </c>
      <c r="AK289" s="52">
        <f t="shared" si="99"/>
        <v>56.10138450764542</v>
      </c>
      <c r="AM289" s="52">
        <f t="shared" si="100"/>
        <v>33607.095140269004</v>
      </c>
      <c r="AN289" s="57">
        <f t="shared" si="101"/>
        <v>63723.432426127059</v>
      </c>
      <c r="AO289" s="57">
        <f t="shared" si="102"/>
        <v>40419.677491260169</v>
      </c>
    </row>
    <row r="290" spans="12:41" x14ac:dyDescent="0.25">
      <c r="L290" s="6">
        <v>287</v>
      </c>
      <c r="M290" s="52">
        <f t="shared" si="88"/>
        <v>21461.858523613682</v>
      </c>
      <c r="N290" s="52">
        <f t="shared" si="89"/>
        <v>2718.4762201848225</v>
      </c>
      <c r="P290" s="6">
        <v>287</v>
      </c>
      <c r="Q290" s="52">
        <f t="shared" si="103"/>
        <v>-18976.699033470421</v>
      </c>
      <c r="R290" s="52">
        <f t="shared" si="104"/>
        <v>6652.9333541293763</v>
      </c>
      <c r="T290" s="6">
        <v>287</v>
      </c>
      <c r="U290" s="52">
        <f t="shared" si="90"/>
        <v>-3538.1414763863168</v>
      </c>
      <c r="V290" s="52">
        <f t="shared" si="91"/>
        <v>-19781.523779815179</v>
      </c>
      <c r="X290" s="6">
        <v>286</v>
      </c>
      <c r="Y290" s="55">
        <v>143</v>
      </c>
      <c r="Z290" s="52">
        <f t="shared" si="105"/>
        <v>32654.672574924378</v>
      </c>
      <c r="AA290" s="52">
        <f t="shared" si="106"/>
        <v>-20874.495585285851</v>
      </c>
      <c r="AB290" s="52">
        <f t="shared" si="107"/>
        <v>-4161.8252859479389</v>
      </c>
      <c r="AC290" s="52">
        <f t="shared" si="108"/>
        <v>3832.2255557804738</v>
      </c>
      <c r="AD290" s="52">
        <f t="shared" si="92"/>
        <v>-553.69572523130228</v>
      </c>
      <c r="AE290" s="52">
        <f t="shared" si="93"/>
        <v>501.51230410862462</v>
      </c>
      <c r="AF290" s="52">
        <f t="shared" si="94"/>
        <v>-190.57702651333804</v>
      </c>
      <c r="AG290" s="52">
        <f t="shared" si="95"/>
        <v>427.3146512043935</v>
      </c>
      <c r="AH290" s="52">
        <f t="shared" si="96"/>
        <v>-40.775334929922373</v>
      </c>
      <c r="AI290" s="52">
        <f t="shared" si="97"/>
        <v>23.908949324318314</v>
      </c>
      <c r="AJ290" s="52">
        <f t="shared" si="98"/>
        <v>-322.34336378804187</v>
      </c>
      <c r="AK290" s="52">
        <f t="shared" si="99"/>
        <v>50.288703579912784</v>
      </c>
      <c r="AM290" s="52">
        <f t="shared" si="100"/>
        <v>31068.516824881575</v>
      </c>
      <c r="AN290" s="57">
        <f t="shared" si="101"/>
        <v>61038.91399442104</v>
      </c>
      <c r="AO290" s="57">
        <f t="shared" si="102"/>
        <v>38110.156980866726</v>
      </c>
    </row>
    <row r="291" spans="12:41" x14ac:dyDescent="0.25">
      <c r="L291" s="6">
        <v>288</v>
      </c>
      <c r="M291" s="52">
        <f t="shared" si="88"/>
        <v>21545.084971874738</v>
      </c>
      <c r="N291" s="52">
        <f t="shared" si="89"/>
        <v>2744.717418524232</v>
      </c>
      <c r="P291" s="6">
        <v>288</v>
      </c>
      <c r="Q291" s="52">
        <f t="shared" si="103"/>
        <v>-18918.440519687683</v>
      </c>
      <c r="R291" s="52">
        <f t="shared" si="104"/>
        <v>6671.3021929669621</v>
      </c>
      <c r="T291" s="6">
        <v>288</v>
      </c>
      <c r="U291" s="52">
        <f t="shared" si="90"/>
        <v>-3454.9150281252641</v>
      </c>
      <c r="V291" s="52">
        <f t="shared" si="91"/>
        <v>-19755.282581475767</v>
      </c>
      <c r="X291" s="6">
        <v>287</v>
      </c>
      <c r="Y291" s="55">
        <v>143.5</v>
      </c>
      <c r="Z291" s="52">
        <f t="shared" si="105"/>
        <v>30504.547966296494</v>
      </c>
      <c r="AA291" s="52">
        <f t="shared" si="106"/>
        <v>-18895.693769382036</v>
      </c>
      <c r="AB291" s="52">
        <f t="shared" si="107"/>
        <v>-4438.6731485635901</v>
      </c>
      <c r="AC291" s="52">
        <f t="shared" si="108"/>
        <v>4082.981707834786</v>
      </c>
      <c r="AD291" s="52">
        <f t="shared" si="92"/>
        <v>-610.70278439139929</v>
      </c>
      <c r="AE291" s="52">
        <f t="shared" si="93"/>
        <v>571.65455733605154</v>
      </c>
      <c r="AF291" s="52">
        <f t="shared" si="94"/>
        <v>-201.33019425639711</v>
      </c>
      <c r="AG291" s="52">
        <f t="shared" si="95"/>
        <v>505.8999369770749</v>
      </c>
      <c r="AH291" s="52">
        <f t="shared" si="96"/>
        <v>-45.060459264276652</v>
      </c>
      <c r="AI291" s="52">
        <f t="shared" si="97"/>
        <v>25.780910520715064</v>
      </c>
      <c r="AJ291" s="52">
        <f t="shared" si="98"/>
        <v>-364.31213087072547</v>
      </c>
      <c r="AK291" s="52">
        <f t="shared" si="99"/>
        <v>39.973709838261634</v>
      </c>
      <c r="AM291" s="52">
        <f t="shared" si="100"/>
        <v>28409.121379289743</v>
      </c>
      <c r="AN291" s="57">
        <f t="shared" si="101"/>
        <v>58186.514620604721</v>
      </c>
      <c r="AO291" s="57">
        <f t="shared" si="102"/>
        <v>35717.633687519818</v>
      </c>
    </row>
    <row r="292" spans="12:41" x14ac:dyDescent="0.25">
      <c r="L292" s="6">
        <v>289</v>
      </c>
      <c r="M292" s="52">
        <f t="shared" si="88"/>
        <v>21627.840772285781</v>
      </c>
      <c r="N292" s="52">
        <f t="shared" si="89"/>
        <v>2772.4071220034148</v>
      </c>
      <c r="P292" s="6">
        <v>289</v>
      </c>
      <c r="Q292" s="52">
        <f t="shared" si="103"/>
        <v>-18860.511459399953</v>
      </c>
      <c r="R292" s="52">
        <f t="shared" si="104"/>
        <v>6690.6849854023912</v>
      </c>
      <c r="T292" s="6">
        <v>289</v>
      </c>
      <c r="U292" s="52">
        <f t="shared" si="90"/>
        <v>-3372.1592277142181</v>
      </c>
      <c r="V292" s="52">
        <f t="shared" si="91"/>
        <v>-19727.592877996583</v>
      </c>
      <c r="X292" s="6">
        <v>288</v>
      </c>
      <c r="Y292" s="55">
        <v>144</v>
      </c>
      <c r="Z292" s="52">
        <f t="shared" si="105"/>
        <v>28208.873543965772</v>
      </c>
      <c r="AA292" s="52">
        <f t="shared" si="106"/>
        <v>-16782.746095797636</v>
      </c>
      <c r="AB292" s="52">
        <f t="shared" si="107"/>
        <v>-4744.0245407592902</v>
      </c>
      <c r="AC292" s="52">
        <f t="shared" si="108"/>
        <v>4368.8089865028114</v>
      </c>
      <c r="AD292" s="52">
        <f t="shared" si="92"/>
        <v>-671.91847600713913</v>
      </c>
      <c r="AE292" s="52">
        <f t="shared" si="93"/>
        <v>660.69369123125114</v>
      </c>
      <c r="AF292" s="52">
        <f t="shared" si="94"/>
        <v>-206.35082831275048</v>
      </c>
      <c r="AG292" s="52">
        <f t="shared" si="95"/>
        <v>610.40832749328843</v>
      </c>
      <c r="AH292" s="52">
        <f t="shared" si="96"/>
        <v>-50.395919042850331</v>
      </c>
      <c r="AI292" s="52">
        <f t="shared" si="97"/>
        <v>27.997773122785986</v>
      </c>
      <c r="AJ292" s="52">
        <f t="shared" si="98"/>
        <v>-415.17172865153833</v>
      </c>
      <c r="AK292" s="52">
        <f t="shared" si="99"/>
        <v>22.287590615176828</v>
      </c>
      <c r="AM292" s="52">
        <f t="shared" si="100"/>
        <v>25632.740056689152</v>
      </c>
      <c r="AN292" s="57">
        <f t="shared" si="101"/>
        <v>55148.988901067321</v>
      </c>
      <c r="AO292" s="57">
        <f t="shared" si="102"/>
        <v>33256.690540418953</v>
      </c>
    </row>
    <row r="293" spans="12:41" x14ac:dyDescent="0.25">
      <c r="L293" s="6">
        <v>290</v>
      </c>
      <c r="M293" s="52">
        <f t="shared" si="88"/>
        <v>21710.100716628342</v>
      </c>
      <c r="N293" s="52">
        <f t="shared" si="89"/>
        <v>2801.5368960704573</v>
      </c>
      <c r="P293" s="6">
        <v>290</v>
      </c>
      <c r="Q293" s="52">
        <f t="shared" si="103"/>
        <v>-18802.929498360161</v>
      </c>
      <c r="R293" s="52">
        <f t="shared" si="104"/>
        <v>6711.0758272493204</v>
      </c>
      <c r="T293" s="6">
        <v>290</v>
      </c>
      <c r="U293" s="52">
        <f t="shared" si="90"/>
        <v>-3289.8992833716593</v>
      </c>
      <c r="V293" s="52">
        <f t="shared" si="91"/>
        <v>-19698.463103929542</v>
      </c>
      <c r="X293" s="6">
        <v>289</v>
      </c>
      <c r="Y293" s="55">
        <v>144.5</v>
      </c>
      <c r="Z293" s="52">
        <f t="shared" si="105"/>
        <v>25752.871464085234</v>
      </c>
      <c r="AA293" s="52">
        <f t="shared" si="106"/>
        <v>-14515.754891142324</v>
      </c>
      <c r="AB293" s="52">
        <f t="shared" si="107"/>
        <v>-5079.9837787628594</v>
      </c>
      <c r="AC293" s="52">
        <f t="shared" si="108"/>
        <v>4699.1558321184366</v>
      </c>
      <c r="AD293" s="52">
        <f t="shared" si="92"/>
        <v>-729.34760685392575</v>
      </c>
      <c r="AE293" s="52">
        <f t="shared" si="93"/>
        <v>773.85635717224443</v>
      </c>
      <c r="AF293" s="52">
        <f t="shared" si="94"/>
        <v>-196.1656867603258</v>
      </c>
      <c r="AG293" s="52">
        <f t="shared" si="95"/>
        <v>750.70957255511337</v>
      </c>
      <c r="AH293" s="52">
        <f t="shared" si="96"/>
        <v>-57.186019340085728</v>
      </c>
      <c r="AI293" s="52">
        <f t="shared" si="97"/>
        <v>30.641976961864906</v>
      </c>
      <c r="AJ293" s="52">
        <f t="shared" si="98"/>
        <v>-475.99590075351421</v>
      </c>
      <c r="AK293" s="52">
        <f t="shared" si="99"/>
        <v>-7.4951923447337681</v>
      </c>
      <c r="AM293" s="52">
        <f t="shared" si="100"/>
        <v>22754.977334841344</v>
      </c>
      <c r="AN293" s="57">
        <f t="shared" si="101"/>
        <v>51907.104379763601</v>
      </c>
      <c r="AO293" s="57">
        <f t="shared" si="102"/>
        <v>30756.683771369117</v>
      </c>
    </row>
    <row r="294" spans="12:41" x14ac:dyDescent="0.25">
      <c r="L294" s="6">
        <v>291</v>
      </c>
      <c r="M294" s="52">
        <f t="shared" si="88"/>
        <v>21791.839747726499</v>
      </c>
      <c r="N294" s="52">
        <f t="shared" si="89"/>
        <v>2832.0978675139895</v>
      </c>
      <c r="P294" s="6">
        <v>291</v>
      </c>
      <c r="Q294" s="52">
        <f t="shared" si="103"/>
        <v>-18745.712176591453</v>
      </c>
      <c r="R294" s="52">
        <f t="shared" si="104"/>
        <v>6732.4685072597931</v>
      </c>
      <c r="T294" s="6">
        <v>291</v>
      </c>
      <c r="U294" s="52">
        <f t="shared" si="90"/>
        <v>-3208.160252273502</v>
      </c>
      <c r="V294" s="52">
        <f t="shared" si="91"/>
        <v>-19667.902132486011</v>
      </c>
      <c r="X294" s="6">
        <v>290</v>
      </c>
      <c r="Y294" s="55">
        <v>145</v>
      </c>
      <c r="Z294" s="52">
        <f t="shared" si="105"/>
        <v>23121.711123847064</v>
      </c>
      <c r="AA294" s="52">
        <f t="shared" si="106"/>
        <v>-12069.444930436573</v>
      </c>
      <c r="AB294" s="52">
        <f t="shared" si="107"/>
        <v>-5444.6575821898223</v>
      </c>
      <c r="AC294" s="52">
        <f t="shared" si="108"/>
        <v>5086.0840107045588</v>
      </c>
      <c r="AD294" s="52">
        <f t="shared" si="92"/>
        <v>-761.38551829830067</v>
      </c>
      <c r="AE294" s="52">
        <f t="shared" si="93"/>
        <v>913.81690508836323</v>
      </c>
      <c r="AF294" s="52">
        <f t="shared" si="94"/>
        <v>-149.45366721052409</v>
      </c>
      <c r="AG294" s="52">
        <f t="shared" si="95"/>
        <v>936.89812865318481</v>
      </c>
      <c r="AH294" s="52">
        <f t="shared" si="96"/>
        <v>-66.051539335494041</v>
      </c>
      <c r="AI294" s="52">
        <f t="shared" si="97"/>
        <v>33.804799761971999</v>
      </c>
      <c r="AJ294" s="52">
        <f t="shared" si="98"/>
        <v>-545.88031175228252</v>
      </c>
      <c r="AK294" s="52">
        <f t="shared" si="99"/>
        <v>-56.886023326793605</v>
      </c>
      <c r="AM294" s="52">
        <f t="shared" si="100"/>
        <v>19816.867946931983</v>
      </c>
      <c r="AN294" s="57">
        <f t="shared" si="101"/>
        <v>48441.122713930657</v>
      </c>
      <c r="AO294" s="57">
        <f t="shared" si="102"/>
        <v>28273.994934371189</v>
      </c>
    </row>
    <row r="295" spans="12:41" x14ac:dyDescent="0.25">
      <c r="L295" s="6">
        <v>292</v>
      </c>
      <c r="M295" s="52">
        <f t="shared" si="88"/>
        <v>21873.032967079558</v>
      </c>
      <c r="N295" s="52">
        <f t="shared" si="89"/>
        <v>2864.0807271660633</v>
      </c>
      <c r="P295" s="6">
        <v>292</v>
      </c>
      <c r="Q295" s="52">
        <f t="shared" si="103"/>
        <v>-18688.876923044307</v>
      </c>
      <c r="R295" s="52">
        <f t="shared" si="104"/>
        <v>6754.8565090162447</v>
      </c>
      <c r="T295" s="6">
        <v>292</v>
      </c>
      <c r="U295" s="52">
        <f t="shared" si="90"/>
        <v>-3126.96703292044</v>
      </c>
      <c r="V295" s="52">
        <f t="shared" si="91"/>
        <v>-19635.919272833937</v>
      </c>
      <c r="X295" s="6">
        <v>291</v>
      </c>
      <c r="Y295" s="55">
        <v>145.5</v>
      </c>
      <c r="Z295" s="52">
        <f t="shared" si="105"/>
        <v>20304.209142964864</v>
      </c>
      <c r="AA295" s="52">
        <f t="shared" si="106"/>
        <v>-9412.1758119482492</v>
      </c>
      <c r="AB295" s="52">
        <f t="shared" si="107"/>
        <v>-5825.3503413389726</v>
      </c>
      <c r="AC295" s="52">
        <f t="shared" si="108"/>
        <v>5542.99246324874</v>
      </c>
      <c r="AD295" s="52">
        <f t="shared" si="92"/>
        <v>-717.21546538937991</v>
      </c>
      <c r="AE295" s="52">
        <f t="shared" si="93"/>
        <v>1068.1717413346005</v>
      </c>
      <c r="AF295" s="52">
        <f t="shared" si="94"/>
        <v>-20.994095428473308</v>
      </c>
      <c r="AG295" s="52">
        <f t="shared" si="95"/>
        <v>1167.143858461111</v>
      </c>
      <c r="AH295" s="52">
        <f t="shared" si="96"/>
        <v>-77.970290419982533</v>
      </c>
      <c r="AI295" s="52">
        <f t="shared" si="97"/>
        <v>37.55372001898121</v>
      </c>
      <c r="AJ295" s="52">
        <f t="shared" si="98"/>
        <v>-618.25107954092414</v>
      </c>
      <c r="AK295" s="52">
        <f t="shared" si="99"/>
        <v>-136.52583714549169</v>
      </c>
      <c r="AM295" s="52">
        <f t="shared" si="100"/>
        <v>16914.911584070156</v>
      </c>
      <c r="AN295" s="57">
        <f t="shared" si="101"/>
        <v>44735.46517466697</v>
      </c>
      <c r="AO295" s="57">
        <f t="shared" si="102"/>
        <v>25913.833747778091</v>
      </c>
    </row>
    <row r="296" spans="12:41" x14ac:dyDescent="0.25">
      <c r="L296" s="6">
        <v>293</v>
      </c>
      <c r="M296" s="52">
        <f t="shared" si="88"/>
        <v>21953.655642446367</v>
      </c>
      <c r="N296" s="52">
        <f t="shared" si="89"/>
        <v>2897.4757327377974</v>
      </c>
      <c r="P296" s="6">
        <v>293</v>
      </c>
      <c r="Q296" s="52">
        <f t="shared" si="103"/>
        <v>-18632.441050287543</v>
      </c>
      <c r="R296" s="52">
        <f t="shared" si="104"/>
        <v>6778.2330129164584</v>
      </c>
      <c r="T296" s="6">
        <v>293</v>
      </c>
      <c r="U296" s="52">
        <f t="shared" si="90"/>
        <v>-3046.3443575536326</v>
      </c>
      <c r="V296" s="52">
        <f t="shared" si="91"/>
        <v>-19602.524267262204</v>
      </c>
      <c r="X296" s="6">
        <v>292</v>
      </c>
      <c r="Y296" s="55">
        <v>146</v>
      </c>
      <c r="Z296" s="52">
        <f t="shared" si="105"/>
        <v>17301.882039121709</v>
      </c>
      <c r="AA296" s="52">
        <f t="shared" si="106"/>
        <v>-6507.1581126570545</v>
      </c>
      <c r="AB296" s="52">
        <f t="shared" si="107"/>
        <v>-6183.9580740336623</v>
      </c>
      <c r="AC296" s="52">
        <f t="shared" si="108"/>
        <v>6077.0783339160407</v>
      </c>
      <c r="AD296" s="52">
        <f t="shared" si="92"/>
        <v>-501.36134157138781</v>
      </c>
      <c r="AE296" s="52">
        <f t="shared" si="93"/>
        <v>1172.3631283118079</v>
      </c>
      <c r="AF296" s="52">
        <f t="shared" si="94"/>
        <v>267.2167992093145</v>
      </c>
      <c r="AG296" s="52">
        <f t="shared" si="95"/>
        <v>1387.2440016168146</v>
      </c>
      <c r="AH296" s="52">
        <f t="shared" si="96"/>
        <v>-94.497241673425748</v>
      </c>
      <c r="AI296" s="52">
        <f t="shared" si="97"/>
        <v>41.817753535256529</v>
      </c>
      <c r="AJ296" s="52">
        <f t="shared" si="98"/>
        <v>-674.08089910727654</v>
      </c>
      <c r="AK296" s="52">
        <f t="shared" si="99"/>
        <v>-256.69862684026322</v>
      </c>
      <c r="AM296" s="52">
        <f t="shared" si="100"/>
        <v>14264.652779643407</v>
      </c>
      <c r="AN296" s="57">
        <f t="shared" si="101"/>
        <v>40791.134730683953</v>
      </c>
      <c r="AO296" s="57">
        <f t="shared" si="102"/>
        <v>23864.247438591192</v>
      </c>
    </row>
    <row r="297" spans="12:41" x14ac:dyDescent="0.25">
      <c r="L297" s="6">
        <v>294</v>
      </c>
      <c r="M297" s="52">
        <f t="shared" si="88"/>
        <v>22033.683215379002</v>
      </c>
      <c r="N297" s="52">
        <f t="shared" si="89"/>
        <v>2932.2727117869963</v>
      </c>
      <c r="P297" s="6">
        <v>294</v>
      </c>
      <c r="Q297" s="52">
        <f t="shared" si="103"/>
        <v>-18576.421749234698</v>
      </c>
      <c r="R297" s="52">
        <f t="shared" si="104"/>
        <v>6802.5908982508972</v>
      </c>
      <c r="T297" s="6">
        <v>294</v>
      </c>
      <c r="U297" s="52">
        <f t="shared" si="90"/>
        <v>-2966.3167846209972</v>
      </c>
      <c r="V297" s="52">
        <f t="shared" si="91"/>
        <v>-19567.727288213006</v>
      </c>
      <c r="X297" s="6">
        <v>293</v>
      </c>
      <c r="Y297" s="55">
        <v>146.5</v>
      </c>
      <c r="Z297" s="52">
        <f t="shared" si="105"/>
        <v>14147.232834408454</v>
      </c>
      <c r="AA297" s="52">
        <f t="shared" si="106"/>
        <v>-3322.0735546600581</v>
      </c>
      <c r="AB297" s="52">
        <f t="shared" si="107"/>
        <v>-6434.6387448193564</v>
      </c>
      <c r="AC297" s="52">
        <f t="shared" si="108"/>
        <v>6663.2598980719449</v>
      </c>
      <c r="AD297" s="52">
        <f t="shared" si="92"/>
        <v>-26.17169736071105</v>
      </c>
      <c r="AE297" s="52">
        <f t="shared" si="93"/>
        <v>1054.8752508164084</v>
      </c>
      <c r="AF297" s="52">
        <f t="shared" si="94"/>
        <v>768.92521982815583</v>
      </c>
      <c r="AG297" s="52">
        <f t="shared" si="95"/>
        <v>1421.7830731307433</v>
      </c>
      <c r="AH297" s="52">
        <f t="shared" si="96"/>
        <v>-118.01853908121132</v>
      </c>
      <c r="AI297" s="52">
        <f t="shared" si="97"/>
        <v>46.043310920032752</v>
      </c>
      <c r="AJ297" s="52">
        <f t="shared" si="98"/>
        <v>-677.07837810765557</v>
      </c>
      <c r="AK297" s="52">
        <f t="shared" si="99"/>
        <v>-412.95113323436772</v>
      </c>
      <c r="AM297" s="52">
        <f t="shared" si="100"/>
        <v>12303.339364461141</v>
      </c>
      <c r="AN297" s="57">
        <f t="shared" si="101"/>
        <v>36653.937769946024</v>
      </c>
      <c r="AO297" s="57">
        <f t="shared" si="102"/>
        <v>22427.449504520551</v>
      </c>
    </row>
    <row r="298" spans="12:41" x14ac:dyDescent="0.25">
      <c r="L298" s="6">
        <v>295</v>
      </c>
      <c r="M298" s="52">
        <f t="shared" si="88"/>
        <v>22113.091308703497</v>
      </c>
      <c r="N298" s="52">
        <f t="shared" si="89"/>
        <v>2968.46106481675</v>
      </c>
      <c r="P298" s="6">
        <v>295</v>
      </c>
      <c r="Q298" s="52">
        <f t="shared" si="103"/>
        <v>-18520.83608390755</v>
      </c>
      <c r="R298" s="52">
        <f t="shared" si="104"/>
        <v>6827.9227453717249</v>
      </c>
      <c r="T298" s="6">
        <v>295</v>
      </c>
      <c r="U298" s="52">
        <f t="shared" si="90"/>
        <v>-2886.9086912965022</v>
      </c>
      <c r="V298" s="52">
        <f t="shared" si="91"/>
        <v>-19531.538935183249</v>
      </c>
      <c r="X298" s="6">
        <v>294</v>
      </c>
      <c r="Y298" s="55">
        <v>147</v>
      </c>
      <c r="Z298" s="52">
        <f t="shared" si="105"/>
        <v>10926.641999828687</v>
      </c>
      <c r="AA298" s="52">
        <f t="shared" si="106"/>
        <v>141.4158007279654</v>
      </c>
      <c r="AB298" s="52">
        <f t="shared" si="107"/>
        <v>-6447.7245934997118</v>
      </c>
      <c r="AC298" s="52">
        <f t="shared" si="108"/>
        <v>7190.6975234801494</v>
      </c>
      <c r="AD298" s="52">
        <f t="shared" si="92"/>
        <v>562.21891409350371</v>
      </c>
      <c r="AE298" s="52">
        <f t="shared" si="93"/>
        <v>544.57834280327234</v>
      </c>
      <c r="AF298" s="52">
        <f t="shared" si="94"/>
        <v>1306.4414655722289</v>
      </c>
      <c r="AG298" s="52">
        <f t="shared" si="95"/>
        <v>1059.5371113596634</v>
      </c>
      <c r="AH298" s="52">
        <f t="shared" si="96"/>
        <v>-151.69443740655319</v>
      </c>
      <c r="AI298" s="52">
        <f t="shared" si="97"/>
        <v>48.356119094403788</v>
      </c>
      <c r="AJ298" s="52">
        <f t="shared" si="98"/>
        <v>-592.52811407217212</v>
      </c>
      <c r="AK298" s="52">
        <f t="shared" si="99"/>
        <v>-563.31488765079484</v>
      </c>
      <c r="AM298" s="52">
        <f t="shared" si="100"/>
        <v>11682.233811093185</v>
      </c>
      <c r="AN298" s="57">
        <f t="shared" si="101"/>
        <v>32459.957914324288</v>
      </c>
      <c r="AO298" s="57">
        <f t="shared" si="102"/>
        <v>21975.449889393429</v>
      </c>
    </row>
    <row r="299" spans="12:41" x14ac:dyDescent="0.25">
      <c r="L299" s="6">
        <v>296</v>
      </c>
      <c r="M299" s="52">
        <f t="shared" si="88"/>
        <v>22191.855733945387</v>
      </c>
      <c r="N299" s="52">
        <f t="shared" si="89"/>
        <v>3006.0297685041651</v>
      </c>
      <c r="P299" s="6">
        <v>296</v>
      </c>
      <c r="Q299" s="52">
        <f t="shared" si="103"/>
        <v>-18465.700986238229</v>
      </c>
      <c r="R299" s="52">
        <f t="shared" si="104"/>
        <v>6854.2208379529147</v>
      </c>
      <c r="T299" s="6">
        <v>296</v>
      </c>
      <c r="U299" s="52">
        <f t="shared" si="90"/>
        <v>-2808.1442660546131</v>
      </c>
      <c r="V299" s="52">
        <f t="shared" si="91"/>
        <v>-19493.970231495834</v>
      </c>
      <c r="X299" s="6">
        <v>295</v>
      </c>
      <c r="Y299" s="55">
        <v>147.5</v>
      </c>
      <c r="Z299" s="52">
        <f t="shared" si="105"/>
        <v>7773.0570673405191</v>
      </c>
      <c r="AA299" s="52">
        <f t="shared" si="106"/>
        <v>3804.8368553184491</v>
      </c>
      <c r="AB299" s="52">
        <f t="shared" si="107"/>
        <v>-6166.6151364529596</v>
      </c>
      <c r="AC299" s="52">
        <f t="shared" si="108"/>
        <v>7462.9866948817853</v>
      </c>
      <c r="AD299" s="52">
        <f t="shared" si="92"/>
        <v>864.86697913249122</v>
      </c>
      <c r="AE299" s="52">
        <f t="shared" si="93"/>
        <v>-145.3591204908073</v>
      </c>
      <c r="AF299" s="52">
        <f t="shared" si="94"/>
        <v>1499.7041506677358</v>
      </c>
      <c r="AG299" s="52">
        <f t="shared" si="95"/>
        <v>453.23279383851684</v>
      </c>
      <c r="AH299" s="52">
        <f t="shared" si="96"/>
        <v>-198.21521112031715</v>
      </c>
      <c r="AI299" s="52">
        <f t="shared" si="97"/>
        <v>44.21463462486053</v>
      </c>
      <c r="AJ299" s="52">
        <f t="shared" si="98"/>
        <v>-436.62196041492734</v>
      </c>
      <c r="AK299" s="52">
        <f t="shared" si="99"/>
        <v>-642.80654895418468</v>
      </c>
      <c r="AM299" s="52">
        <f t="shared" si="100"/>
        <v>12773.110981445532</v>
      </c>
      <c r="AN299" s="57">
        <f t="shared" si="101"/>
        <v>28455.627655263092</v>
      </c>
      <c r="AO299" s="57">
        <f t="shared" si="102"/>
        <v>22732.639002119413</v>
      </c>
    </row>
    <row r="300" spans="12:41" x14ac:dyDescent="0.25">
      <c r="L300" s="6">
        <v>297</v>
      </c>
      <c r="M300" s="52">
        <f t="shared" si="88"/>
        <v>22269.952498697734</v>
      </c>
      <c r="N300" s="52">
        <f t="shared" si="89"/>
        <v>3044.9673790581601</v>
      </c>
      <c r="P300" s="6">
        <v>297</v>
      </c>
      <c r="Q300" s="52">
        <f t="shared" si="103"/>
        <v>-18411.033250911587</v>
      </c>
      <c r="R300" s="52">
        <f t="shared" si="104"/>
        <v>6881.4771653407124</v>
      </c>
      <c r="T300" s="6">
        <v>297</v>
      </c>
      <c r="U300" s="52">
        <f t="shared" si="90"/>
        <v>-2730.0475013022669</v>
      </c>
      <c r="V300" s="52">
        <f t="shared" si="91"/>
        <v>-19455.032620941842</v>
      </c>
      <c r="X300" s="6">
        <v>296</v>
      </c>
      <c r="Y300" s="55">
        <v>148</v>
      </c>
      <c r="Z300" s="52">
        <f t="shared" si="105"/>
        <v>4797.857871505601</v>
      </c>
      <c r="AA300" s="52">
        <f t="shared" si="106"/>
        <v>7518.1603126979908</v>
      </c>
      <c r="AB300" s="52">
        <f t="shared" si="107"/>
        <v>-5734.1816468867137</v>
      </c>
      <c r="AC300" s="52">
        <f t="shared" si="108"/>
        <v>7390.3071346363813</v>
      </c>
      <c r="AD300" s="52">
        <f t="shared" si="92"/>
        <v>789.2170800602579</v>
      </c>
      <c r="AE300" s="52">
        <f t="shared" si="93"/>
        <v>-608.3492361647709</v>
      </c>
      <c r="AF300" s="52">
        <f t="shared" si="94"/>
        <v>1321.155408109033</v>
      </c>
      <c r="AG300" s="52">
        <f t="shared" si="95"/>
        <v>-1.5782377990619307</v>
      </c>
      <c r="AH300" s="52">
        <f t="shared" si="96"/>
        <v>-256.74619245583466</v>
      </c>
      <c r="AI300" s="52">
        <f t="shared" si="97"/>
        <v>25.695884430919293</v>
      </c>
      <c r="AJ300" s="52">
        <f t="shared" si="98"/>
        <v>-275.19213559294042</v>
      </c>
      <c r="AK300" s="52">
        <f t="shared" si="99"/>
        <v>-632.46688279662828</v>
      </c>
      <c r="AM300" s="52">
        <f t="shared" si="100"/>
        <v>15202.152975545981</v>
      </c>
      <c r="AN300" s="57">
        <f t="shared" si="101"/>
        <v>24921.743182387134</v>
      </c>
      <c r="AO300" s="57">
        <f t="shared" si="102"/>
        <v>24557.39323988992</v>
      </c>
    </row>
    <row r="301" spans="12:41" x14ac:dyDescent="0.25">
      <c r="L301" s="6">
        <v>298</v>
      </c>
      <c r="M301" s="52">
        <f t="shared" si="88"/>
        <v>22347.357813929451</v>
      </c>
      <c r="N301" s="52">
        <f t="shared" si="89"/>
        <v>3085.2620357053647</v>
      </c>
      <c r="P301" s="6">
        <v>298</v>
      </c>
      <c r="Q301" s="52">
        <f t="shared" si="103"/>
        <v>-18356.849530249383</v>
      </c>
      <c r="R301" s="52">
        <f t="shared" si="104"/>
        <v>6909.6834249937547</v>
      </c>
      <c r="T301" s="6">
        <v>298</v>
      </c>
      <c r="U301" s="52">
        <f t="shared" si="90"/>
        <v>-2652.6421860705477</v>
      </c>
      <c r="V301" s="52">
        <f t="shared" si="91"/>
        <v>-19414.737964294636</v>
      </c>
      <c r="X301" s="6">
        <v>297</v>
      </c>
      <c r="Y301" s="55">
        <v>148.5</v>
      </c>
      <c r="Z301" s="52">
        <f t="shared" si="105"/>
        <v>2029.4191830697764</v>
      </c>
      <c r="AA301" s="52">
        <f t="shared" si="106"/>
        <v>11137.270225495586</v>
      </c>
      <c r="AB301" s="52">
        <f t="shared" si="107"/>
        <v>-5339.5731068565847</v>
      </c>
      <c r="AC301" s="52">
        <f t="shared" si="108"/>
        <v>7086.1325165539956</v>
      </c>
      <c r="AD301" s="52">
        <f t="shared" si="92"/>
        <v>560.53967895215567</v>
      </c>
      <c r="AE301" s="52">
        <f t="shared" si="93"/>
        <v>-795.22261716747289</v>
      </c>
      <c r="AF301" s="52">
        <f t="shared" si="94"/>
        <v>1032.9392844039228</v>
      </c>
      <c r="AG301" s="52">
        <f t="shared" si="95"/>
        <v>-209.0683290752367</v>
      </c>
      <c r="AH301" s="52">
        <f t="shared" si="96"/>
        <v>-319.18956823608403</v>
      </c>
      <c r="AI301" s="52">
        <f t="shared" si="97"/>
        <v>-16.478182616937502</v>
      </c>
      <c r="AJ301" s="52">
        <f t="shared" si="98"/>
        <v>-153.21003721568312</v>
      </c>
      <c r="AK301" s="52">
        <f t="shared" si="99"/>
        <v>-569.67610547529864</v>
      </c>
      <c r="AM301" s="52">
        <f t="shared" si="100"/>
        <v>18334.98049061131</v>
      </c>
      <c r="AN301" s="57">
        <f t="shared" si="101"/>
        <v>22058.755475076134</v>
      </c>
      <c r="AO301" s="57">
        <f t="shared" si="102"/>
        <v>27066.023514581662</v>
      </c>
    </row>
    <row r="302" spans="12:41" x14ac:dyDescent="0.25">
      <c r="L302" s="6">
        <v>299</v>
      </c>
      <c r="M302" s="52">
        <f t="shared" si="88"/>
        <v>22424.048101231681</v>
      </c>
      <c r="N302" s="52">
        <f t="shared" si="89"/>
        <v>3126.9014643030196</v>
      </c>
      <c r="P302" s="6">
        <v>299</v>
      </c>
      <c r="Q302" s="52">
        <f t="shared" si="103"/>
        <v>-18303.166329137821</v>
      </c>
      <c r="R302" s="52">
        <f t="shared" si="104"/>
        <v>6938.831025012114</v>
      </c>
      <c r="T302" s="6">
        <v>299</v>
      </c>
      <c r="U302" s="52">
        <f t="shared" si="90"/>
        <v>-2575.9518987683173</v>
      </c>
      <c r="V302" s="52">
        <f t="shared" si="91"/>
        <v>-19373.09853569698</v>
      </c>
      <c r="X302" s="6">
        <v>298</v>
      </c>
      <c r="Y302" s="55">
        <v>149</v>
      </c>
      <c r="Z302" s="52">
        <f t="shared" si="105"/>
        <v>-570.29991048949648</v>
      </c>
      <c r="AA302" s="52">
        <f t="shared" si="106"/>
        <v>14580.93365662665</v>
      </c>
      <c r="AB302" s="52">
        <f t="shared" si="107"/>
        <v>-5059.3032673805064</v>
      </c>
      <c r="AC302" s="52">
        <f t="shared" si="108"/>
        <v>6688.5212079702596</v>
      </c>
      <c r="AD302" s="52">
        <f t="shared" si="92"/>
        <v>342.12847956334156</v>
      </c>
      <c r="AE302" s="52">
        <f t="shared" si="93"/>
        <v>-850.7639646187431</v>
      </c>
      <c r="AF302" s="52">
        <f t="shared" si="94"/>
        <v>784.68008060217835</v>
      </c>
      <c r="AG302" s="52">
        <f t="shared" si="95"/>
        <v>-270.11116107194664</v>
      </c>
      <c r="AH302" s="52">
        <f t="shared" si="96"/>
        <v>-368.61406478003346</v>
      </c>
      <c r="AI302" s="52">
        <f t="shared" si="97"/>
        <v>-86.908010307808752</v>
      </c>
      <c r="AJ302" s="52">
        <f t="shared" si="98"/>
        <v>-73.937536258803348</v>
      </c>
      <c r="AK302" s="52">
        <f t="shared" si="99"/>
        <v>-493.74479323898771</v>
      </c>
      <c r="AM302" s="52">
        <f t="shared" si="100"/>
        <v>21754.927254694099</v>
      </c>
      <c r="AN302" s="57">
        <f t="shared" si="101"/>
        <v>19962.419661322103</v>
      </c>
      <c r="AO302" s="57">
        <f t="shared" si="102"/>
        <v>29910.765267387538</v>
      </c>
    </row>
    <row r="303" spans="12:41" x14ac:dyDescent="0.25">
      <c r="L303" s="6">
        <v>300</v>
      </c>
      <c r="M303" s="52">
        <f t="shared" si="88"/>
        <v>22500</v>
      </c>
      <c r="N303" s="52">
        <f t="shared" si="89"/>
        <v>3169.8729810778068</v>
      </c>
      <c r="P303" s="6">
        <v>300</v>
      </c>
      <c r="Q303" s="52">
        <f t="shared" si="103"/>
        <v>-18250</v>
      </c>
      <c r="R303" s="52">
        <f t="shared" si="104"/>
        <v>6968.911086754465</v>
      </c>
      <c r="T303" s="6">
        <v>300</v>
      </c>
      <c r="U303" s="52">
        <f t="shared" si="90"/>
        <v>-2499.9999999999995</v>
      </c>
      <c r="V303" s="52">
        <f t="shared" si="91"/>
        <v>-19330.127018922194</v>
      </c>
      <c r="X303" s="6">
        <v>299</v>
      </c>
      <c r="Y303" s="55">
        <v>149.5</v>
      </c>
      <c r="Z303" s="52">
        <f t="shared" si="105"/>
        <v>-3057.1854842343323</v>
      </c>
      <c r="AA303" s="52">
        <f t="shared" si="106"/>
        <v>17818.84876503444</v>
      </c>
      <c r="AB303" s="52">
        <f t="shared" si="107"/>
        <v>-4888.2390275988355</v>
      </c>
      <c r="AC303" s="52">
        <f t="shared" si="108"/>
        <v>6263.1392256608879</v>
      </c>
      <c r="AD303" s="52">
        <f t="shared" si="92"/>
        <v>192.57226764247224</v>
      </c>
      <c r="AE303" s="52">
        <f t="shared" si="93"/>
        <v>-870.29779277771559</v>
      </c>
      <c r="AF303" s="52">
        <f t="shared" si="94"/>
        <v>602.03414886601183</v>
      </c>
      <c r="AG303" s="52">
        <f t="shared" si="95"/>
        <v>-269.43008017098833</v>
      </c>
      <c r="AH303" s="52">
        <f t="shared" si="96"/>
        <v>-384.39287550479276</v>
      </c>
      <c r="AI303" s="52">
        <f t="shared" si="97"/>
        <v>-177.39141021298391</v>
      </c>
      <c r="AJ303" s="52">
        <f t="shared" si="98"/>
        <v>-25.069005718746844</v>
      </c>
      <c r="AK303" s="52">
        <f t="shared" si="99"/>
        <v>-423.47630239374342</v>
      </c>
      <c r="AM303" s="52">
        <f t="shared" si="100"/>
        <v>25260.887599014393</v>
      </c>
      <c r="AN303" s="57">
        <f t="shared" si="101"/>
        <v>18659.939971128537</v>
      </c>
      <c r="AO303" s="57">
        <f t="shared" si="102"/>
        <v>32876.303966609026</v>
      </c>
    </row>
    <row r="304" spans="12:41" x14ac:dyDescent="0.25">
      <c r="L304" s="6">
        <v>301</v>
      </c>
      <c r="M304" s="52">
        <f t="shared" si="88"/>
        <v>22575.190374550271</v>
      </c>
      <c r="N304" s="52">
        <f t="shared" si="89"/>
        <v>3214.1634964894383</v>
      </c>
      <c r="P304" s="6">
        <v>301</v>
      </c>
      <c r="Q304" s="52">
        <f t="shared" si="103"/>
        <v>-18197.366737814809</v>
      </c>
      <c r="R304" s="52">
        <f t="shared" si="104"/>
        <v>6999.9144475426074</v>
      </c>
      <c r="T304" s="6">
        <v>301</v>
      </c>
      <c r="U304" s="52">
        <f t="shared" si="90"/>
        <v>-2424.8096254497291</v>
      </c>
      <c r="V304" s="52">
        <f t="shared" si="91"/>
        <v>-19285.83650351056</v>
      </c>
      <c r="X304" s="6">
        <v>300</v>
      </c>
      <c r="Y304" s="55">
        <v>150</v>
      </c>
      <c r="Z304" s="52">
        <f t="shared" si="105"/>
        <v>-5477.2334645784413</v>
      </c>
      <c r="AA304" s="52">
        <f t="shared" si="106"/>
        <v>20841.63115376767</v>
      </c>
      <c r="AB304" s="52">
        <f t="shared" si="107"/>
        <v>-4791.9528937775995</v>
      </c>
      <c r="AC304" s="52">
        <f t="shared" si="108"/>
        <v>5827.9903292720301</v>
      </c>
      <c r="AD304" s="52">
        <f t="shared" si="92"/>
        <v>121.74961318761663</v>
      </c>
      <c r="AE304" s="52">
        <f t="shared" si="93"/>
        <v>-877.14214502116158</v>
      </c>
      <c r="AF304" s="52">
        <f t="shared" si="94"/>
        <v>472.57317442427217</v>
      </c>
      <c r="AG304" s="52">
        <f t="shared" si="95"/>
        <v>-247.47180635211393</v>
      </c>
      <c r="AH304" s="52">
        <f t="shared" si="96"/>
        <v>-355.6722608478716</v>
      </c>
      <c r="AI304" s="52">
        <f t="shared" si="97"/>
        <v>-265.51879453093022</v>
      </c>
      <c r="AJ304" s="52">
        <f t="shared" si="98"/>
        <v>4.848699611216067</v>
      </c>
      <c r="AK304" s="52">
        <f t="shared" si="99"/>
        <v>-364.1515441381174</v>
      </c>
      <c r="AM304" s="52">
        <f t="shared" si="100"/>
        <v>28759.147185753263</v>
      </c>
      <c r="AN304" s="57">
        <f t="shared" si="101"/>
        <v>18123.236849876073</v>
      </c>
      <c r="AO304" s="57">
        <f t="shared" si="102"/>
        <v>35844.808209034156</v>
      </c>
    </row>
    <row r="305" spans="12:41" x14ac:dyDescent="0.25">
      <c r="L305" s="6">
        <v>302</v>
      </c>
      <c r="M305" s="52">
        <f t="shared" si="88"/>
        <v>22649.596321166024</v>
      </c>
      <c r="N305" s="52">
        <f t="shared" si="89"/>
        <v>3259.7595192178687</v>
      </c>
      <c r="P305" s="6">
        <v>302</v>
      </c>
      <c r="Q305" s="52">
        <f t="shared" si="103"/>
        <v>-18145.282575183785</v>
      </c>
      <c r="R305" s="52">
        <f t="shared" si="104"/>
        <v>7031.831663452509</v>
      </c>
      <c r="T305" s="6">
        <v>302</v>
      </c>
      <c r="U305" s="52">
        <f t="shared" si="90"/>
        <v>-2350.4036788339768</v>
      </c>
      <c r="V305" s="52">
        <f t="shared" si="91"/>
        <v>-19240.240480782129</v>
      </c>
      <c r="X305" s="6">
        <v>301</v>
      </c>
      <c r="Y305" s="55">
        <v>150.5</v>
      </c>
      <c r="Z305" s="52">
        <f t="shared" si="105"/>
        <v>-7857.9912098187888</v>
      </c>
      <c r="AA305" s="52">
        <f t="shared" si="106"/>
        <v>23645.983550276043</v>
      </c>
      <c r="AB305" s="52">
        <f t="shared" si="107"/>
        <v>-4731.0780871837915</v>
      </c>
      <c r="AC305" s="52">
        <f t="shared" si="108"/>
        <v>5389.4192567614491</v>
      </c>
      <c r="AD305" s="52">
        <f t="shared" si="92"/>
        <v>112.58726449930344</v>
      </c>
      <c r="AE305" s="52">
        <f t="shared" si="93"/>
        <v>-863.67462868852908</v>
      </c>
      <c r="AF305" s="52">
        <f t="shared" si="94"/>
        <v>380.57914072429764</v>
      </c>
      <c r="AG305" s="52">
        <f t="shared" si="95"/>
        <v>-220.57672785634685</v>
      </c>
      <c r="AH305" s="52">
        <f t="shared" si="96"/>
        <v>-291.3369804771587</v>
      </c>
      <c r="AI305" s="52">
        <f t="shared" si="97"/>
        <v>-327.42355172673757</v>
      </c>
      <c r="AJ305" s="52">
        <f t="shared" si="98"/>
        <v>23.3451042521645</v>
      </c>
      <c r="AK305" s="52">
        <f t="shared" si="99"/>
        <v>-315.67434910544461</v>
      </c>
      <c r="AM305" s="52">
        <f t="shared" si="100"/>
        <v>32198.764868425085</v>
      </c>
      <c r="AN305" s="57">
        <f t="shared" si="101"/>
        <v>18265.849132061783</v>
      </c>
      <c r="AO305" s="57">
        <f t="shared" si="102"/>
        <v>38751.518142178735</v>
      </c>
    </row>
    <row r="306" spans="12:41" x14ac:dyDescent="0.25">
      <c r="L306" s="6">
        <v>303</v>
      </c>
      <c r="M306" s="52">
        <f t="shared" si="88"/>
        <v>22723.195175075132</v>
      </c>
      <c r="N306" s="52">
        <f t="shared" si="89"/>
        <v>3306.6471602728789</v>
      </c>
      <c r="P306" s="6">
        <v>303</v>
      </c>
      <c r="Q306" s="52">
        <f t="shared" si="103"/>
        <v>-18093.763377447405</v>
      </c>
      <c r="R306" s="52">
        <f t="shared" si="104"/>
        <v>7064.6530121910146</v>
      </c>
      <c r="T306" s="6">
        <v>303</v>
      </c>
      <c r="U306" s="52">
        <f t="shared" si="90"/>
        <v>-2276.8048249248668</v>
      </c>
      <c r="V306" s="52">
        <f t="shared" si="91"/>
        <v>-19193.352839727122</v>
      </c>
      <c r="X306" s="6">
        <v>302</v>
      </c>
      <c r="Y306" s="55">
        <v>151</v>
      </c>
      <c r="Z306" s="52">
        <f t="shared" si="105"/>
        <v>-10209.456845348272</v>
      </c>
      <c r="AA306" s="52">
        <f t="shared" si="106"/>
        <v>26232.733850070705</v>
      </c>
      <c r="AB306" s="52">
        <f t="shared" si="107"/>
        <v>-4674.7844549341398</v>
      </c>
      <c r="AC306" s="52">
        <f t="shared" si="108"/>
        <v>4957.5819424171841</v>
      </c>
      <c r="AD306" s="52">
        <f t="shared" si="92"/>
        <v>135.99845018146877</v>
      </c>
      <c r="AE306" s="52">
        <f t="shared" si="93"/>
        <v>-824.48965418735406</v>
      </c>
      <c r="AF306" s="52">
        <f t="shared" si="94"/>
        <v>314.15654858057616</v>
      </c>
      <c r="AG306" s="52">
        <f t="shared" si="95"/>
        <v>-194.80691235012819</v>
      </c>
      <c r="AH306" s="52">
        <f t="shared" si="96"/>
        <v>-213.07892886766155</v>
      </c>
      <c r="AI306" s="52">
        <f t="shared" si="97"/>
        <v>-353.28515351301127</v>
      </c>
      <c r="AJ306" s="52">
        <f t="shared" si="98"/>
        <v>34.920830468554158</v>
      </c>
      <c r="AK306" s="52">
        <f t="shared" si="99"/>
        <v>-276.39758832421467</v>
      </c>
      <c r="AM306" s="52">
        <f t="shared" si="100"/>
        <v>35546.119343587205</v>
      </c>
      <c r="AN306" s="57">
        <f t="shared" si="101"/>
        <v>18956.697589778898</v>
      </c>
      <c r="AO306" s="57">
        <f t="shared" si="102"/>
        <v>41560.519503181291</v>
      </c>
    </row>
    <row r="307" spans="12:41" x14ac:dyDescent="0.25">
      <c r="L307" s="6">
        <v>304</v>
      </c>
      <c r="M307" s="52">
        <f t="shared" si="88"/>
        <v>22795.964517353732</v>
      </c>
      <c r="N307" s="52">
        <f t="shared" si="89"/>
        <v>3354.8121372247897</v>
      </c>
      <c r="P307" s="6">
        <v>304</v>
      </c>
      <c r="Q307" s="52">
        <f t="shared" si="103"/>
        <v>-18042.824837852389</v>
      </c>
      <c r="R307" s="52">
        <f t="shared" si="104"/>
        <v>7098.3684960573528</v>
      </c>
      <c r="T307" s="6">
        <v>304</v>
      </c>
      <c r="U307" s="52">
        <f t="shared" si="90"/>
        <v>-2204.035482646269</v>
      </c>
      <c r="V307" s="52">
        <f t="shared" si="91"/>
        <v>-19145.187862775208</v>
      </c>
      <c r="X307" s="6">
        <v>303</v>
      </c>
      <c r="Y307" s="55">
        <v>151.5</v>
      </c>
      <c r="Z307" s="52">
        <f t="shared" si="105"/>
        <v>-12529.849266542658</v>
      </c>
      <c r="AA307" s="52">
        <f t="shared" si="106"/>
        <v>28608.463614505879</v>
      </c>
      <c r="AB307" s="52">
        <f t="shared" si="107"/>
        <v>-4606.7852298434054</v>
      </c>
      <c r="AC307" s="52">
        <f t="shared" si="108"/>
        <v>4545.3371153235075</v>
      </c>
      <c r="AD307" s="52">
        <f t="shared" si="92"/>
        <v>167.37906608471377</v>
      </c>
      <c r="AE307" s="52">
        <f t="shared" si="93"/>
        <v>-765.42431643129953</v>
      </c>
      <c r="AF307" s="52">
        <f t="shared" si="94"/>
        <v>265.19924645668931</v>
      </c>
      <c r="AG307" s="52">
        <f t="shared" si="95"/>
        <v>-172.08652270586944</v>
      </c>
      <c r="AH307" s="52">
        <f t="shared" si="96"/>
        <v>-140.03756063475788</v>
      </c>
      <c r="AI307" s="52">
        <f t="shared" si="97"/>
        <v>-348.83952743614793</v>
      </c>
      <c r="AJ307" s="52">
        <f t="shared" si="98"/>
        <v>42.217380262782342</v>
      </c>
      <c r="AK307" s="52">
        <f t="shared" si="99"/>
        <v>-244.4982662892821</v>
      </c>
      <c r="AM307" s="52">
        <f t="shared" si="100"/>
        <v>38778.322932650204</v>
      </c>
      <c r="AN307" s="57">
        <f t="shared" si="101"/>
        <v>20051.884451915299</v>
      </c>
      <c r="AO307" s="57">
        <f t="shared" si="102"/>
        <v>44253.776435401938</v>
      </c>
    </row>
    <row r="308" spans="12:41" x14ac:dyDescent="0.25">
      <c r="L308" s="6">
        <v>305</v>
      </c>
      <c r="M308" s="52">
        <f t="shared" si="88"/>
        <v>22867.882181755231</v>
      </c>
      <c r="N308" s="52">
        <f t="shared" si="89"/>
        <v>3404.2397785550411</v>
      </c>
      <c r="P308" s="6">
        <v>305</v>
      </c>
      <c r="Q308" s="52">
        <f t="shared" si="103"/>
        <v>-17992.482472771339</v>
      </c>
      <c r="R308" s="52">
        <f t="shared" si="104"/>
        <v>7132.9678449885287</v>
      </c>
      <c r="T308" s="6">
        <v>305</v>
      </c>
      <c r="U308" s="52">
        <f t="shared" si="90"/>
        <v>-2132.1178182447698</v>
      </c>
      <c r="V308" s="52">
        <f t="shared" si="91"/>
        <v>-19095.760221444958</v>
      </c>
      <c r="X308" s="6">
        <v>304</v>
      </c>
      <c r="Y308" s="55">
        <v>152</v>
      </c>
      <c r="Z308" s="52">
        <f t="shared" si="105"/>
        <v>-14812.319498203771</v>
      </c>
      <c r="AA308" s="52">
        <f t="shared" si="106"/>
        <v>30785.454132613719</v>
      </c>
      <c r="AB308" s="52">
        <f t="shared" si="107"/>
        <v>-4523.0956968010487</v>
      </c>
      <c r="AC308" s="52">
        <f t="shared" si="108"/>
        <v>4162.6249571078579</v>
      </c>
      <c r="AD308" s="52">
        <f t="shared" si="92"/>
        <v>193.73172788289227</v>
      </c>
      <c r="AE308" s="52">
        <f t="shared" si="93"/>
        <v>-697.18668423319275</v>
      </c>
      <c r="AF308" s="52">
        <f t="shared" si="94"/>
        <v>228.31179664989057</v>
      </c>
      <c r="AG308" s="52">
        <f t="shared" si="95"/>
        <v>-152.71443975745333</v>
      </c>
      <c r="AH308" s="52">
        <f t="shared" si="96"/>
        <v>-81.383843040633948</v>
      </c>
      <c r="AI308" s="52">
        <f t="shared" si="97"/>
        <v>-326.08024647454994</v>
      </c>
      <c r="AJ308" s="52">
        <f t="shared" si="98"/>
        <v>46.803774273635639</v>
      </c>
      <c r="AK308" s="52">
        <f t="shared" si="99"/>
        <v>-218.39199800118948</v>
      </c>
      <c r="AM308" s="52">
        <f t="shared" si="100"/>
        <v>41882.095971991126</v>
      </c>
      <c r="AN308" s="57">
        <f t="shared" si="101"/>
        <v>21423.0514280227</v>
      </c>
      <c r="AO308" s="57">
        <f t="shared" si="102"/>
        <v>46825.09395681449</v>
      </c>
    </row>
    <row r="309" spans="12:41" x14ac:dyDescent="0.25">
      <c r="L309" s="6">
        <v>306</v>
      </c>
      <c r="M309" s="52">
        <f t="shared" si="88"/>
        <v>22938.926261462366</v>
      </c>
      <c r="N309" s="52">
        <f t="shared" si="89"/>
        <v>3454.9150281252623</v>
      </c>
      <c r="P309" s="6">
        <v>306</v>
      </c>
      <c r="Q309" s="52">
        <f t="shared" si="103"/>
        <v>-17942.751616976344</v>
      </c>
      <c r="R309" s="52">
        <f t="shared" si="104"/>
        <v>7168.4405196876833</v>
      </c>
      <c r="T309" s="6">
        <v>306</v>
      </c>
      <c r="U309" s="52">
        <f t="shared" si="90"/>
        <v>-2061.0737385376356</v>
      </c>
      <c r="V309" s="52">
        <f t="shared" si="91"/>
        <v>-19045.084971874738</v>
      </c>
      <c r="X309" s="6">
        <v>305</v>
      </c>
      <c r="Y309" s="55">
        <v>152.5</v>
      </c>
      <c r="Z309" s="52">
        <f t="shared" si="105"/>
        <v>-17049.650880618934</v>
      </c>
      <c r="AA309" s="52">
        <f t="shared" si="106"/>
        <v>32779.618275638495</v>
      </c>
      <c r="AB309" s="52">
        <f t="shared" si="107"/>
        <v>-4426.2298328596025</v>
      </c>
      <c r="AC309" s="52">
        <f t="shared" si="108"/>
        <v>3814.0316149912614</v>
      </c>
      <c r="AD309" s="52">
        <f t="shared" si="92"/>
        <v>211.2714936692669</v>
      </c>
      <c r="AE309" s="52">
        <f t="shared" si="93"/>
        <v>-628.6788911487688</v>
      </c>
      <c r="AF309" s="52">
        <f t="shared" si="94"/>
        <v>199.90487716683899</v>
      </c>
      <c r="AG309" s="52">
        <f t="shared" si="95"/>
        <v>-136.39855885550708</v>
      </c>
      <c r="AH309" s="52">
        <f t="shared" si="96"/>
        <v>-38.268074058958589</v>
      </c>
      <c r="AI309" s="52">
        <f t="shared" si="97"/>
        <v>-295.46744603222254</v>
      </c>
      <c r="AJ309" s="52">
        <f t="shared" si="98"/>
        <v>49.63469056138652</v>
      </c>
      <c r="AK309" s="52">
        <f t="shared" si="99"/>
        <v>-196.81288626103918</v>
      </c>
      <c r="AM309" s="52">
        <f t="shared" si="100"/>
        <v>44852.377089043381</v>
      </c>
      <c r="AN309" s="57">
        <f t="shared" si="101"/>
        <v>22969.883950730706</v>
      </c>
      <c r="AO309" s="57">
        <f t="shared" si="102"/>
        <v>49275.612719787954</v>
      </c>
    </row>
    <row r="310" spans="12:41" x14ac:dyDescent="0.25">
      <c r="L310" s="6">
        <v>307</v>
      </c>
      <c r="M310" s="52">
        <f t="shared" si="88"/>
        <v>23009.075115760239</v>
      </c>
      <c r="N310" s="52">
        <f t="shared" si="89"/>
        <v>3506.8224497635347</v>
      </c>
      <c r="P310" s="6">
        <v>307</v>
      </c>
      <c r="Q310" s="52">
        <f t="shared" si="103"/>
        <v>-17893.647418967834</v>
      </c>
      <c r="R310" s="52">
        <f t="shared" si="104"/>
        <v>7204.7757148344745</v>
      </c>
      <c r="T310" s="6">
        <v>307</v>
      </c>
      <c r="U310" s="52">
        <f t="shared" si="90"/>
        <v>-1990.9248842397601</v>
      </c>
      <c r="V310" s="52">
        <f t="shared" si="91"/>
        <v>-18993.177550236465</v>
      </c>
      <c r="X310" s="6">
        <v>306</v>
      </c>
      <c r="Y310" s="55">
        <v>153</v>
      </c>
      <c r="Z310" s="52">
        <f t="shared" si="105"/>
        <v>-19236.356860340074</v>
      </c>
      <c r="AA310" s="52">
        <f t="shared" si="106"/>
        <v>34608.049221740526</v>
      </c>
      <c r="AB310" s="52">
        <f t="shared" si="107"/>
        <v>-4320.5940860249693</v>
      </c>
      <c r="AC310" s="52">
        <f t="shared" si="108"/>
        <v>3499.6921694168768</v>
      </c>
      <c r="AD310" s="52">
        <f t="shared" si="92"/>
        <v>220.69996797133615</v>
      </c>
      <c r="AE310" s="52">
        <f t="shared" si="93"/>
        <v>-565.02126906202307</v>
      </c>
      <c r="AF310" s="52">
        <f t="shared" si="94"/>
        <v>177.57158633778207</v>
      </c>
      <c r="AG310" s="52">
        <f t="shared" si="95"/>
        <v>-122.68262621733689</v>
      </c>
      <c r="AH310" s="52">
        <f t="shared" si="96"/>
        <v>-8.1786717970451903</v>
      </c>
      <c r="AI310" s="52">
        <f t="shared" si="97"/>
        <v>-263.553939919865</v>
      </c>
      <c r="AJ310" s="52">
        <f t="shared" si="98"/>
        <v>51.307053430599261</v>
      </c>
      <c r="AK310" s="52">
        <f t="shared" si="99"/>
        <v>-178.78470292482115</v>
      </c>
      <c r="AM310" s="52">
        <f t="shared" si="100"/>
        <v>47690.020258752913</v>
      </c>
      <c r="AN310" s="57">
        <f t="shared" si="101"/>
        <v>24619.895152992714</v>
      </c>
      <c r="AO310" s="57">
        <f t="shared" si="102"/>
        <v>51610.390467827143</v>
      </c>
    </row>
    <row r="311" spans="12:41" x14ac:dyDescent="0.25">
      <c r="L311" s="6">
        <v>308</v>
      </c>
      <c r="M311" s="52">
        <f t="shared" si="88"/>
        <v>23078.307376628294</v>
      </c>
      <c r="N311" s="52">
        <f t="shared" si="89"/>
        <v>3559.9462319663912</v>
      </c>
      <c r="P311" s="6">
        <v>308</v>
      </c>
      <c r="Q311" s="52">
        <f t="shared" si="103"/>
        <v>-17845.184836360197</v>
      </c>
      <c r="R311" s="52">
        <f t="shared" si="104"/>
        <v>7241.9623623764737</v>
      </c>
      <c r="T311" s="6">
        <v>308</v>
      </c>
      <c r="U311" s="52">
        <f t="shared" si="90"/>
        <v>-1921.6926233717072</v>
      </c>
      <c r="V311" s="52">
        <f t="shared" si="91"/>
        <v>-18940.053768033609</v>
      </c>
      <c r="X311" s="6">
        <v>307</v>
      </c>
      <c r="Y311" s="55">
        <v>153.5</v>
      </c>
      <c r="Z311" s="52">
        <f t="shared" si="105"/>
        <v>-21369.066407356142</v>
      </c>
      <c r="AA311" s="52">
        <f t="shared" si="106"/>
        <v>36287.26764781621</v>
      </c>
      <c r="AB311" s="52">
        <f t="shared" si="107"/>
        <v>-4210.2441020393017</v>
      </c>
      <c r="AC311" s="52">
        <f t="shared" si="108"/>
        <v>3217.1815348858654</v>
      </c>
      <c r="AD311" s="52">
        <f t="shared" si="92"/>
        <v>224.0484520899544</v>
      </c>
      <c r="AE311" s="52">
        <f t="shared" si="93"/>
        <v>-508.30590963815041</v>
      </c>
      <c r="AF311" s="52">
        <f t="shared" si="94"/>
        <v>159.67693552455634</v>
      </c>
      <c r="AG311" s="52">
        <f t="shared" si="95"/>
        <v>-111.11352223581071</v>
      </c>
      <c r="AH311" s="52">
        <f t="shared" si="96"/>
        <v>12.167567965765164</v>
      </c>
      <c r="AI311" s="52">
        <f t="shared" si="97"/>
        <v>-233.62790440292994</v>
      </c>
      <c r="AJ311" s="52">
        <f t="shared" si="98"/>
        <v>52.203948599632895</v>
      </c>
      <c r="AK311" s="52">
        <f t="shared" si="99"/>
        <v>-163.56448299940973</v>
      </c>
      <c r="AM311" s="52">
        <f t="shared" si="100"/>
        <v>50399.468588897325</v>
      </c>
      <c r="AN311" s="57">
        <f t="shared" si="101"/>
        <v>26322.894658750505</v>
      </c>
      <c r="AO311" s="57">
        <f t="shared" si="102"/>
        <v>53836.141743508793</v>
      </c>
    </row>
    <row r="312" spans="12:41" x14ac:dyDescent="0.25">
      <c r="L312" s="6">
        <v>309</v>
      </c>
      <c r="M312" s="52">
        <f t="shared" si="88"/>
        <v>23146.601955249189</v>
      </c>
      <c r="N312" s="52">
        <f t="shared" si="89"/>
        <v>3614.2701927151461</v>
      </c>
      <c r="P312" s="6">
        <v>309</v>
      </c>
      <c r="Q312" s="52">
        <f t="shared" si="103"/>
        <v>-17797.37863132557</v>
      </c>
      <c r="R312" s="52">
        <f t="shared" si="104"/>
        <v>7279.989134900602</v>
      </c>
      <c r="T312" s="6">
        <v>309</v>
      </c>
      <c r="U312" s="52">
        <f t="shared" si="90"/>
        <v>-1853.3980447508125</v>
      </c>
      <c r="V312" s="52">
        <f t="shared" si="91"/>
        <v>-18885.729807284853</v>
      </c>
      <c r="X312" s="6">
        <v>308</v>
      </c>
      <c r="Y312" s="55">
        <v>154</v>
      </c>
      <c r="Z312" s="52">
        <f t="shared" si="105"/>
        <v>-23446.182401864549</v>
      </c>
      <c r="AA312" s="52">
        <f t="shared" si="106"/>
        <v>37832.320176554371</v>
      </c>
      <c r="AB312" s="52">
        <f t="shared" si="107"/>
        <v>-4098.2198759943249</v>
      </c>
      <c r="AC312" s="52">
        <f t="shared" si="108"/>
        <v>2963.0285800667903</v>
      </c>
      <c r="AD312" s="52">
        <f t="shared" si="92"/>
        <v>223.2962060646779</v>
      </c>
      <c r="AE312" s="52">
        <f t="shared" si="93"/>
        <v>-458.85664986442197</v>
      </c>
      <c r="AF312" s="52">
        <f t="shared" si="94"/>
        <v>145.09207103307702</v>
      </c>
      <c r="AG312" s="52">
        <f t="shared" si="95"/>
        <v>-101.29725813299049</v>
      </c>
      <c r="AH312" s="52">
        <f t="shared" si="96"/>
        <v>25.627145487263796</v>
      </c>
      <c r="AI312" s="52">
        <f t="shared" si="97"/>
        <v>-206.97189969595254</v>
      </c>
      <c r="AJ312" s="52">
        <f t="shared" si="98"/>
        <v>52.576989544337103</v>
      </c>
      <c r="AK312" s="52">
        <f t="shared" si="99"/>
        <v>-150.58749203547893</v>
      </c>
      <c r="AM312" s="52">
        <f t="shared" si="100"/>
        <v>52986.983426017869</v>
      </c>
      <c r="AN312" s="57">
        <f t="shared" si="101"/>
        <v>28044.860840395631</v>
      </c>
      <c r="AO312" s="57">
        <f t="shared" si="102"/>
        <v>55959.94728768793</v>
      </c>
    </row>
    <row r="313" spans="12:41" x14ac:dyDescent="0.25">
      <c r="L313" s="6">
        <v>310</v>
      </c>
      <c r="M313" s="52">
        <f t="shared" si="88"/>
        <v>23213.938048432698</v>
      </c>
      <c r="N313" s="52">
        <f t="shared" si="89"/>
        <v>3669.7777844051093</v>
      </c>
      <c r="P313" s="6">
        <v>310</v>
      </c>
      <c r="Q313" s="52">
        <f t="shared" si="103"/>
        <v>-17750.243366097115</v>
      </c>
      <c r="R313" s="52">
        <f t="shared" si="104"/>
        <v>7318.8444490835764</v>
      </c>
      <c r="T313" s="6">
        <v>310</v>
      </c>
      <c r="U313" s="52">
        <f t="shared" si="90"/>
        <v>-1786.0619515673038</v>
      </c>
      <c r="V313" s="52">
        <f t="shared" si="91"/>
        <v>-18830.222215594891</v>
      </c>
      <c r="X313" s="6">
        <v>309</v>
      </c>
      <c r="Y313" s="55">
        <v>154.5</v>
      </c>
      <c r="Z313" s="52">
        <f t="shared" si="105"/>
        <v>-25467.38031410363</v>
      </c>
      <c r="AA313" s="52">
        <f t="shared" si="106"/>
        <v>39256.477385354716</v>
      </c>
      <c r="AB313" s="52">
        <f t="shared" si="107"/>
        <v>-3986.571772961986</v>
      </c>
      <c r="AC313" s="52">
        <f t="shared" si="108"/>
        <v>2733.6002551345791</v>
      </c>
      <c r="AD313" s="52">
        <f t="shared" si="92"/>
        <v>219.97153754686585</v>
      </c>
      <c r="AE313" s="52">
        <f t="shared" si="93"/>
        <v>-416.16034552374833</v>
      </c>
      <c r="AF313" s="52">
        <f t="shared" si="94"/>
        <v>133.02331156420792</v>
      </c>
      <c r="AG313" s="52">
        <f t="shared" si="95"/>
        <v>-92.909504709322377</v>
      </c>
      <c r="AH313" s="52">
        <f t="shared" si="96"/>
        <v>34.353459280036155</v>
      </c>
      <c r="AI313" s="52">
        <f t="shared" si="97"/>
        <v>-183.82866140524933</v>
      </c>
      <c r="AJ313" s="52">
        <f t="shared" si="98"/>
        <v>52.594766702621776</v>
      </c>
      <c r="AK313" s="52">
        <f t="shared" si="99"/>
        <v>-139.42217940917661</v>
      </c>
      <c r="AM313" s="52">
        <f t="shared" si="100"/>
        <v>55459.503500787709</v>
      </c>
      <c r="AN313" s="57">
        <f t="shared" si="101"/>
        <v>29762.958799467833</v>
      </c>
      <c r="AO313" s="57">
        <f t="shared" si="102"/>
        <v>57988.610909295494</v>
      </c>
    </row>
    <row r="314" spans="12:41" x14ac:dyDescent="0.25">
      <c r="L314" s="6">
        <v>311</v>
      </c>
      <c r="M314" s="52">
        <f t="shared" si="88"/>
        <v>23280.295144952535</v>
      </c>
      <c r="N314" s="52">
        <f t="shared" si="89"/>
        <v>3726.4520988861386</v>
      </c>
      <c r="P314" s="6">
        <v>311</v>
      </c>
      <c r="Q314" s="52">
        <f t="shared" si="103"/>
        <v>-17703.793398533224</v>
      </c>
      <c r="R314" s="52">
        <f t="shared" si="104"/>
        <v>7358.516469220297</v>
      </c>
      <c r="T314" s="6">
        <v>311</v>
      </c>
      <c r="U314" s="52">
        <f t="shared" si="90"/>
        <v>-1719.7048550474647</v>
      </c>
      <c r="V314" s="52">
        <f t="shared" si="91"/>
        <v>-18773.54790111386</v>
      </c>
      <c r="X314" s="6">
        <v>310</v>
      </c>
      <c r="Y314" s="55">
        <v>155</v>
      </c>
      <c r="Z314" s="52">
        <f t="shared" si="105"/>
        <v>-27433.169758391265</v>
      </c>
      <c r="AA314" s="52">
        <f t="shared" si="106"/>
        <v>40571.257469731536</v>
      </c>
      <c r="AB314" s="52">
        <f t="shared" si="107"/>
        <v>-3876.586004188553</v>
      </c>
      <c r="AC314" s="52">
        <f t="shared" si="108"/>
        <v>2525.520082372705</v>
      </c>
      <c r="AD314" s="52">
        <f t="shared" si="92"/>
        <v>215.14319972633623</v>
      </c>
      <c r="AE314" s="52">
        <f t="shared" si="93"/>
        <v>-379.39917579129548</v>
      </c>
      <c r="AF314" s="52">
        <f t="shared" si="94"/>
        <v>122.9020526752596</v>
      </c>
      <c r="AG314" s="52">
        <f t="shared" si="95"/>
        <v>-85.689517447080888</v>
      </c>
      <c r="AH314" s="52">
        <f t="shared" si="96"/>
        <v>39.868982041686579</v>
      </c>
      <c r="AI314" s="52">
        <f t="shared" si="97"/>
        <v>-163.97377628521883</v>
      </c>
      <c r="AJ314" s="52">
        <f t="shared" si="98"/>
        <v>52.372165009390045</v>
      </c>
      <c r="AK314" s="52">
        <f t="shared" si="99"/>
        <v>-129.73588205899574</v>
      </c>
      <c r="AM314" s="52">
        <f t="shared" si="100"/>
        <v>57823.988654862245</v>
      </c>
      <c r="AN314" s="57">
        <f t="shared" si="101"/>
        <v>31461.942024256525</v>
      </c>
      <c r="AO314" s="57">
        <f t="shared" si="102"/>
        <v>59928.388616547942</v>
      </c>
    </row>
    <row r="315" spans="12:41" x14ac:dyDescent="0.25">
      <c r="L315" s="6">
        <v>312</v>
      </c>
      <c r="M315" s="52">
        <f t="shared" si="88"/>
        <v>23345.653031794289</v>
      </c>
      <c r="N315" s="52">
        <f t="shared" si="89"/>
        <v>3784.2758726130273</v>
      </c>
      <c r="P315" s="6">
        <v>312</v>
      </c>
      <c r="Q315" s="52">
        <f t="shared" si="103"/>
        <v>-17658.042877743999</v>
      </c>
      <c r="R315" s="52">
        <f t="shared" si="104"/>
        <v>7398.9931108291185</v>
      </c>
      <c r="T315" s="6">
        <v>312</v>
      </c>
      <c r="U315" s="52">
        <f t="shared" si="90"/>
        <v>-1654.3469682057112</v>
      </c>
      <c r="V315" s="52">
        <f t="shared" si="91"/>
        <v>-18715.724127386973</v>
      </c>
      <c r="X315" s="6">
        <v>311</v>
      </c>
      <c r="Y315" s="55">
        <v>155.5</v>
      </c>
      <c r="Z315" s="52">
        <f t="shared" si="105"/>
        <v>-29344.56986051975</v>
      </c>
      <c r="AA315" s="52">
        <f t="shared" si="106"/>
        <v>41786.592613943976</v>
      </c>
      <c r="AB315" s="52">
        <f t="shared" si="107"/>
        <v>-3769.0144043253849</v>
      </c>
      <c r="AC315" s="52">
        <f t="shared" si="108"/>
        <v>2335.8204944770573</v>
      </c>
      <c r="AD315" s="52">
        <f t="shared" si="92"/>
        <v>209.52069774713155</v>
      </c>
      <c r="AE315" s="52">
        <f t="shared" si="93"/>
        <v>-347.71252182914475</v>
      </c>
      <c r="AF315" s="52">
        <f t="shared" si="94"/>
        <v>114.31333208085339</v>
      </c>
      <c r="AG315" s="52">
        <f t="shared" si="95"/>
        <v>-79.429502749290549</v>
      </c>
      <c r="AH315" s="52">
        <f t="shared" si="96"/>
        <v>43.218783159030103</v>
      </c>
      <c r="AI315" s="52">
        <f t="shared" si="97"/>
        <v>-147.01349276124543</v>
      </c>
      <c r="AJ315" s="52">
        <f t="shared" si="98"/>
        <v>51.988582507248054</v>
      </c>
      <c r="AK315" s="52">
        <f t="shared" si="99"/>
        <v>-121.26952631860875</v>
      </c>
      <c r="AM315" s="52">
        <f t="shared" si="100"/>
        <v>60087.07854268064</v>
      </c>
      <c r="AN315" s="57">
        <f t="shared" si="101"/>
        <v>33131.683565478103</v>
      </c>
      <c r="AO315" s="57">
        <f t="shared" si="102"/>
        <v>61784.910636787063</v>
      </c>
    </row>
    <row r="316" spans="12:41" x14ac:dyDescent="0.25">
      <c r="L316" s="6">
        <v>313</v>
      </c>
      <c r="M316" s="52">
        <f t="shared" si="88"/>
        <v>23409.991800312491</v>
      </c>
      <c r="N316" s="52">
        <f t="shared" si="89"/>
        <v>3843.2314919041451</v>
      </c>
      <c r="P316" s="6">
        <v>313</v>
      </c>
      <c r="Q316" s="52">
        <f t="shared" si="103"/>
        <v>-17613.005739781256</v>
      </c>
      <c r="R316" s="52">
        <f t="shared" si="104"/>
        <v>7440.2620443329015</v>
      </c>
      <c r="T316" s="6">
        <v>313</v>
      </c>
      <c r="U316" s="52">
        <f t="shared" si="90"/>
        <v>-1590.0081996875097</v>
      </c>
      <c r="V316" s="52">
        <f t="shared" si="91"/>
        <v>-18656.768508095854</v>
      </c>
      <c r="X316" s="6">
        <v>312</v>
      </c>
      <c r="Y316" s="55">
        <v>156</v>
      </c>
      <c r="Z316" s="52">
        <f t="shared" si="105"/>
        <v>-31202.886975464051</v>
      </c>
      <c r="AA316" s="52">
        <f t="shared" si="106"/>
        <v>42911.038795953864</v>
      </c>
      <c r="AB316" s="52">
        <f t="shared" si="107"/>
        <v>-3664.2540554518191</v>
      </c>
      <c r="AC316" s="52">
        <f t="shared" si="108"/>
        <v>2161.9642335624849</v>
      </c>
      <c r="AD316" s="52">
        <f t="shared" si="92"/>
        <v>203.55997518065908</v>
      </c>
      <c r="AE316" s="52">
        <f t="shared" si="93"/>
        <v>-320.30864708108936</v>
      </c>
      <c r="AF316" s="52">
        <f t="shared" si="94"/>
        <v>106.94891454508118</v>
      </c>
      <c r="AG316" s="52">
        <f t="shared" si="95"/>
        <v>-73.964035737980993</v>
      </c>
      <c r="AH316" s="52">
        <f t="shared" si="96"/>
        <v>45.111533195847223</v>
      </c>
      <c r="AI316" s="52">
        <f t="shared" si="97"/>
        <v>-132.52543048993761</v>
      </c>
      <c r="AJ316" s="52">
        <f t="shared" si="98"/>
        <v>51.499527439730699</v>
      </c>
      <c r="AK316" s="52">
        <f t="shared" si="99"/>
        <v>-113.81918085317074</v>
      </c>
      <c r="AM316" s="52">
        <f t="shared" si="100"/>
        <v>62254.937982707008</v>
      </c>
      <c r="AN316" s="57">
        <f t="shared" si="101"/>
        <v>34765.516697063518</v>
      </c>
      <c r="AO316" s="57">
        <f t="shared" si="102"/>
        <v>63563.194541144781</v>
      </c>
    </row>
    <row r="317" spans="12:41" x14ac:dyDescent="0.25">
      <c r="L317" s="6">
        <v>314</v>
      </c>
      <c r="M317" s="52">
        <f t="shared" si="88"/>
        <v>23473.291852294984</v>
      </c>
      <c r="N317" s="52">
        <f t="shared" si="89"/>
        <v>3903.3009983067413</v>
      </c>
      <c r="P317" s="6">
        <v>314</v>
      </c>
      <c r="Q317" s="52">
        <f t="shared" si="103"/>
        <v>-17568.69570339351</v>
      </c>
      <c r="R317" s="52">
        <f t="shared" si="104"/>
        <v>7482.3106988147192</v>
      </c>
      <c r="T317" s="6">
        <v>314</v>
      </c>
      <c r="U317" s="52">
        <f t="shared" si="90"/>
        <v>-1526.7081477050169</v>
      </c>
      <c r="V317" s="52">
        <f t="shared" si="91"/>
        <v>-18596.699001693258</v>
      </c>
      <c r="X317" s="6">
        <v>313</v>
      </c>
      <c r="Y317" s="55">
        <v>156.5</v>
      </c>
      <c r="Z317" s="52">
        <f t="shared" si="105"/>
        <v>-33009.569006292375</v>
      </c>
      <c r="AA317" s="52">
        <f t="shared" si="106"/>
        <v>43951.982331849969</v>
      </c>
      <c r="AB317" s="52">
        <f t="shared" si="107"/>
        <v>-3562.4740678614894</v>
      </c>
      <c r="AC317" s="52">
        <f t="shared" si="108"/>
        <v>2001.8099100219401</v>
      </c>
      <c r="AD317" s="52">
        <f t="shared" si="92"/>
        <v>197.54648524339234</v>
      </c>
      <c r="AE317" s="52">
        <f t="shared" si="93"/>
        <v>-296.50169649089543</v>
      </c>
      <c r="AF317" s="52">
        <f t="shared" si="94"/>
        <v>100.5760177327525</v>
      </c>
      <c r="AG317" s="52">
        <f t="shared" si="95"/>
        <v>-69.161007910985589</v>
      </c>
      <c r="AH317" s="52">
        <f t="shared" si="96"/>
        <v>46.026306609304854</v>
      </c>
      <c r="AI317" s="52">
        <f t="shared" si="97"/>
        <v>-120.11807217007724</v>
      </c>
      <c r="AJ317" s="52">
        <f t="shared" si="98"/>
        <v>50.944160901334996</v>
      </c>
      <c r="AK317" s="52">
        <f t="shared" si="99"/>
        <v>-107.22261640983258</v>
      </c>
      <c r="AM317" s="52">
        <f t="shared" si="100"/>
        <v>64333.206216963685</v>
      </c>
      <c r="AN317" s="57">
        <f t="shared" si="101"/>
        <v>36359.12526439182</v>
      </c>
      <c r="AO317" s="57">
        <f t="shared" si="102"/>
        <v>65267.696272911344</v>
      </c>
    </row>
    <row r="318" spans="12:41" x14ac:dyDescent="0.25">
      <c r="L318" s="6">
        <v>315</v>
      </c>
      <c r="M318" s="52">
        <f t="shared" si="88"/>
        <v>23535.533905932738</v>
      </c>
      <c r="N318" s="52">
        <f t="shared" si="89"/>
        <v>3964.4660940672616</v>
      </c>
      <c r="P318" s="6">
        <v>315</v>
      </c>
      <c r="Q318" s="52">
        <f t="shared" si="103"/>
        <v>-17525.126265847084</v>
      </c>
      <c r="R318" s="52">
        <f t="shared" si="104"/>
        <v>7525.1262658470832</v>
      </c>
      <c r="T318" s="6">
        <v>315</v>
      </c>
      <c r="U318" s="52">
        <f t="shared" si="90"/>
        <v>-1464.4660940672634</v>
      </c>
      <c r="V318" s="52">
        <f t="shared" si="91"/>
        <v>-18535.533905932738</v>
      </c>
      <c r="X318" s="6">
        <v>314</v>
      </c>
      <c r="Y318" s="55">
        <v>157</v>
      </c>
      <c r="Z318" s="52">
        <f t="shared" si="105"/>
        <v>-34766.1127295677</v>
      </c>
      <c r="AA318" s="52">
        <f t="shared" si="106"/>
        <v>44915.824574799575</v>
      </c>
      <c r="AB318" s="52">
        <f t="shared" si="107"/>
        <v>-3463.7008252397932</v>
      </c>
      <c r="AC318" s="52">
        <f t="shared" si="108"/>
        <v>1853.5590617764924</v>
      </c>
      <c r="AD318" s="52">
        <f t="shared" si="92"/>
        <v>191.65391632592969</v>
      </c>
      <c r="AE318" s="52">
        <f t="shared" si="93"/>
        <v>-275.71483348708915</v>
      </c>
      <c r="AF318" s="52">
        <f t="shared" si="94"/>
        <v>95.016122882675759</v>
      </c>
      <c r="AG318" s="52">
        <f t="shared" si="95"/>
        <v>-64.914349556097449</v>
      </c>
      <c r="AH318" s="52">
        <f t="shared" si="96"/>
        <v>46.287495845927175</v>
      </c>
      <c r="AI318" s="52">
        <f t="shared" si="97"/>
        <v>-109.45101900291891</v>
      </c>
      <c r="AJ318" s="52">
        <f t="shared" si="98"/>
        <v>50.350297597326758</v>
      </c>
      <c r="AK318" s="52">
        <f t="shared" si="99"/>
        <v>-101.34946492807279</v>
      </c>
      <c r="AM318" s="52">
        <f t="shared" si="100"/>
        <v>66327.000777359848</v>
      </c>
      <c r="AN318" s="57">
        <f t="shared" si="101"/>
        <v>37909.799404381964</v>
      </c>
      <c r="AO318" s="57">
        <f t="shared" si="102"/>
        <v>66902.372913877203</v>
      </c>
    </row>
    <row r="319" spans="12:41" x14ac:dyDescent="0.25">
      <c r="L319" s="6">
        <v>316</v>
      </c>
      <c r="M319" s="52">
        <f t="shared" si="88"/>
        <v>23596.699001693254</v>
      </c>
      <c r="N319" s="52">
        <f t="shared" si="89"/>
        <v>4026.7081477050119</v>
      </c>
      <c r="P319" s="6">
        <v>316</v>
      </c>
      <c r="Q319" s="52">
        <f t="shared" si="103"/>
        <v>-17482.310698814723</v>
      </c>
      <c r="R319" s="52">
        <f t="shared" si="104"/>
        <v>7568.6957033935087</v>
      </c>
      <c r="T319" s="6">
        <v>316</v>
      </c>
      <c r="U319" s="52">
        <f t="shared" si="90"/>
        <v>-1403.3009983067459</v>
      </c>
      <c r="V319" s="52">
        <f t="shared" si="91"/>
        <v>-18473.291852294988</v>
      </c>
      <c r="X319" s="6">
        <v>315</v>
      </c>
      <c r="Y319" s="55">
        <v>157.5</v>
      </c>
      <c r="Z319" s="52">
        <f t="shared" si="105"/>
        <v>-36474.006402646854</v>
      </c>
      <c r="AA319" s="52">
        <f t="shared" si="106"/>
        <v>45808.139751501934</v>
      </c>
      <c r="AB319" s="52">
        <f t="shared" si="107"/>
        <v>-3367.8738670768284</v>
      </c>
      <c r="AC319" s="52">
        <f t="shared" si="108"/>
        <v>1715.7016450329479</v>
      </c>
      <c r="AD319" s="52">
        <f t="shared" si="92"/>
        <v>185.98375566857351</v>
      </c>
      <c r="AE319" s="52">
        <f t="shared" si="93"/>
        <v>-257.46983537957448</v>
      </c>
      <c r="AF319" s="52">
        <f t="shared" si="94"/>
        <v>90.130377420828168</v>
      </c>
      <c r="AG319" s="52">
        <f t="shared" si="95"/>
        <v>-61.138341584543156</v>
      </c>
      <c r="AH319" s="52">
        <f t="shared" si="96"/>
        <v>46.115599536919532</v>
      </c>
      <c r="AI319" s="52">
        <f t="shared" si="97"/>
        <v>-100.23753740177</v>
      </c>
      <c r="AJ319" s="52">
        <f t="shared" si="98"/>
        <v>49.737778710825808</v>
      </c>
      <c r="AK319" s="52">
        <f t="shared" si="99"/>
        <v>-96.093956393261308</v>
      </c>
      <c r="AM319" s="52">
        <f t="shared" si="100"/>
        <v>68240.947900705491</v>
      </c>
      <c r="AN319" s="57">
        <f t="shared" si="101"/>
        <v>39415.932811713872</v>
      </c>
      <c r="AO319" s="57">
        <f t="shared" si="102"/>
        <v>68470.745133027769</v>
      </c>
    </row>
    <row r="320" spans="12:41" x14ac:dyDescent="0.25">
      <c r="L320" s="6">
        <v>317</v>
      </c>
      <c r="M320" s="52">
        <f t="shared" si="88"/>
        <v>23656.768508095854</v>
      </c>
      <c r="N320" s="52">
        <f t="shared" si="89"/>
        <v>4090.0081996875087</v>
      </c>
      <c r="P320" s="6">
        <v>317</v>
      </c>
      <c r="Q320" s="52">
        <f t="shared" si="103"/>
        <v>-17440.262044332903</v>
      </c>
      <c r="R320" s="52">
        <f t="shared" si="104"/>
        <v>7613.0057397812561</v>
      </c>
      <c r="T320" s="6">
        <v>317</v>
      </c>
      <c r="U320" s="52">
        <f t="shared" si="90"/>
        <v>-1343.2314919041464</v>
      </c>
      <c r="V320" s="52">
        <f t="shared" si="91"/>
        <v>-18409.991800312491</v>
      </c>
      <c r="X320" s="6">
        <v>316</v>
      </c>
      <c r="Y320" s="55">
        <v>158</v>
      </c>
      <c r="Z320" s="52">
        <f t="shared" si="105"/>
        <v>-38134.695366726693</v>
      </c>
      <c r="AA320" s="52">
        <f t="shared" si="106"/>
        <v>46633.806844595965</v>
      </c>
      <c r="AB320" s="52">
        <f t="shared" si="107"/>
        <v>-3274.8819892425417</v>
      </c>
      <c r="AC320" s="52">
        <f t="shared" si="108"/>
        <v>1586.9667273431608</v>
      </c>
      <c r="AD320" s="52">
        <f t="shared" si="92"/>
        <v>180.59132944107324</v>
      </c>
      <c r="AE320" s="52">
        <f t="shared" si="93"/>
        <v>-241.37264078012922</v>
      </c>
      <c r="AF320" s="52">
        <f t="shared" si="94"/>
        <v>85.809372376042617</v>
      </c>
      <c r="AG320" s="52">
        <f t="shared" si="95"/>
        <v>-57.763223542098999</v>
      </c>
      <c r="AH320" s="52">
        <f t="shared" si="96"/>
        <v>45.66117504516982</v>
      </c>
      <c r="AI320" s="52">
        <f t="shared" si="97"/>
        <v>-92.239909911647231</v>
      </c>
      <c r="AJ320" s="52">
        <f t="shared" si="98"/>
        <v>49.120782019860812</v>
      </c>
      <c r="AK320" s="52">
        <f t="shared" si="99"/>
        <v>-91.369507326383001</v>
      </c>
      <c r="AM320" s="52">
        <f t="shared" si="100"/>
        <v>70079.224050586199</v>
      </c>
      <c r="AN320" s="57">
        <f t="shared" si="101"/>
        <v>40876.680148602391</v>
      </c>
      <c r="AO320" s="57">
        <f t="shared" si="102"/>
        <v>69975.954321486352</v>
      </c>
    </row>
    <row r="321" spans="12:41" x14ac:dyDescent="0.25">
      <c r="L321" s="6">
        <v>318</v>
      </c>
      <c r="M321" s="52">
        <f t="shared" si="88"/>
        <v>23715.724127386973</v>
      </c>
      <c r="N321" s="52">
        <f t="shared" si="89"/>
        <v>4154.3469682057093</v>
      </c>
      <c r="P321" s="6">
        <v>318</v>
      </c>
      <c r="Q321" s="52">
        <f t="shared" si="103"/>
        <v>-17398.99311082912</v>
      </c>
      <c r="R321" s="52">
        <f t="shared" si="104"/>
        <v>7658.0428777439965</v>
      </c>
      <c r="T321" s="6">
        <v>318</v>
      </c>
      <c r="U321" s="52">
        <f t="shared" si="90"/>
        <v>-1284.2758726130287</v>
      </c>
      <c r="V321" s="52">
        <f t="shared" si="91"/>
        <v>-18345.653031794289</v>
      </c>
      <c r="X321" s="6">
        <v>317</v>
      </c>
      <c r="Y321" s="55">
        <v>158.5</v>
      </c>
      <c r="Z321" s="52">
        <f t="shared" si="105"/>
        <v>-39749.56244516783</v>
      </c>
      <c r="AA321" s="52">
        <f t="shared" si="106"/>
        <v>47397.118628170028</v>
      </c>
      <c r="AB321" s="52">
        <f t="shared" si="107"/>
        <v>-3184.5863245220053</v>
      </c>
      <c r="AC321" s="52">
        <f t="shared" si="108"/>
        <v>1466.2804069530962</v>
      </c>
      <c r="AD321" s="52">
        <f t="shared" si="92"/>
        <v>175.50275018246771</v>
      </c>
      <c r="AE321" s="52">
        <f t="shared" si="93"/>
        <v>-227.09896352903755</v>
      </c>
      <c r="AF321" s="52">
        <f t="shared" si="94"/>
        <v>81.965869283098442</v>
      </c>
      <c r="AG321" s="52">
        <f t="shared" si="95"/>
        <v>-54.731815203666478</v>
      </c>
      <c r="AH321" s="52">
        <f t="shared" si="96"/>
        <v>45.027454832349441</v>
      </c>
      <c r="AI321" s="52">
        <f t="shared" si="97"/>
        <v>-85.262500096651138</v>
      </c>
      <c r="AJ321" s="52">
        <f t="shared" si="98"/>
        <v>48.509426067019845</v>
      </c>
      <c r="AK321" s="52">
        <f t="shared" si="99"/>
        <v>-87.104648228719924</v>
      </c>
      <c r="AM321" s="52">
        <f t="shared" si="100"/>
        <v>71845.600333070382</v>
      </c>
      <c r="AN321" s="57">
        <f t="shared" si="101"/>
        <v>42291.721393967935</v>
      </c>
      <c r="AO321" s="57">
        <f t="shared" si="102"/>
        <v>71420.812815512967</v>
      </c>
    </row>
    <row r="322" spans="12:41" x14ac:dyDescent="0.25">
      <c r="L322" s="6">
        <v>319</v>
      </c>
      <c r="M322" s="52">
        <f t="shared" si="88"/>
        <v>23773.54790111386</v>
      </c>
      <c r="N322" s="52">
        <f t="shared" si="89"/>
        <v>4219.7048550474628</v>
      </c>
      <c r="P322" s="6">
        <v>319</v>
      </c>
      <c r="Q322" s="52">
        <f t="shared" si="103"/>
        <v>-17358.5164692203</v>
      </c>
      <c r="R322" s="52">
        <f t="shared" si="104"/>
        <v>7703.7933985332238</v>
      </c>
      <c r="T322" s="6">
        <v>319</v>
      </c>
      <c r="U322" s="52">
        <f t="shared" si="90"/>
        <v>-1226.4520988861404</v>
      </c>
      <c r="V322" s="52">
        <f t="shared" si="91"/>
        <v>-18280.295144952535</v>
      </c>
      <c r="X322" s="6">
        <v>318</v>
      </c>
      <c r="Y322" s="55">
        <v>159</v>
      </c>
      <c r="Z322" s="52">
        <f t="shared" si="105"/>
        <v>-41319.917763656027</v>
      </c>
      <c r="AA322" s="52">
        <f t="shared" si="106"/>
        <v>48101.871461205446</v>
      </c>
      <c r="AB322" s="52">
        <f t="shared" si="107"/>
        <v>-3096.8349494307713</v>
      </c>
      <c r="AC322" s="52">
        <f t="shared" si="108"/>
        <v>1352.7309251885774</v>
      </c>
      <c r="AD322" s="52">
        <f t="shared" si="92"/>
        <v>170.72588856623005</v>
      </c>
      <c r="AE322" s="52">
        <f t="shared" si="93"/>
        <v>-214.38153270477414</v>
      </c>
      <c r="AF322" s="52">
        <f t="shared" si="94"/>
        <v>78.529547109604181</v>
      </c>
      <c r="AG322" s="52">
        <f t="shared" si="95"/>
        <v>-51.996915422163219</v>
      </c>
      <c r="AH322" s="52">
        <f t="shared" si="96"/>
        <v>44.285443496664577</v>
      </c>
      <c r="AI322" s="52">
        <f t="shared" si="97"/>
        <v>-79.144689694292481</v>
      </c>
      <c r="AJ322" s="52">
        <f t="shared" si="98"/>
        <v>47.910897959961297</v>
      </c>
      <c r="AK322" s="52">
        <f t="shared" si="99"/>
        <v>-83.239927588318437</v>
      </c>
      <c r="AM322" s="52">
        <f t="shared" si="100"/>
        <v>73543.485644166925</v>
      </c>
      <c r="AN322" s="57">
        <f t="shared" si="101"/>
        <v>43661.09827174848</v>
      </c>
      <c r="AO322" s="57">
        <f t="shared" si="102"/>
        <v>72807.847161313795</v>
      </c>
    </row>
    <row r="323" spans="12:41" x14ac:dyDescent="0.25">
      <c r="L323" s="6">
        <v>320</v>
      </c>
      <c r="M323" s="52">
        <f t="shared" si="88"/>
        <v>23830.222215594888</v>
      </c>
      <c r="N323" s="52">
        <f t="shared" si="89"/>
        <v>4286.0619515673025</v>
      </c>
      <c r="P323" s="6">
        <v>320</v>
      </c>
      <c r="Q323" s="52">
        <f t="shared" si="103"/>
        <v>-17318.844449083579</v>
      </c>
      <c r="R323" s="52">
        <f t="shared" si="104"/>
        <v>7750.243366097111</v>
      </c>
      <c r="T323" s="6">
        <v>320</v>
      </c>
      <c r="U323" s="52">
        <f t="shared" si="90"/>
        <v>-1169.7777844051111</v>
      </c>
      <c r="V323" s="52">
        <f t="shared" si="91"/>
        <v>-18213.938048432698</v>
      </c>
      <c r="X323" s="6">
        <v>319</v>
      </c>
      <c r="Y323" s="55">
        <v>159.5</v>
      </c>
      <c r="Z323" s="52">
        <f t="shared" si="105"/>
        <v>-42846.994502300637</v>
      </c>
      <c r="AA323" s="52">
        <f t="shared" si="106"/>
        <v>48751.43923221164</v>
      </c>
      <c r="AB323" s="52">
        <f t="shared" si="107"/>
        <v>-3011.4720051476561</v>
      </c>
      <c r="AC323" s="52">
        <f t="shared" si="108"/>
        <v>1245.5401588361904</v>
      </c>
      <c r="AD323" s="52">
        <f t="shared" si="92"/>
        <v>166.25745758711358</v>
      </c>
      <c r="AE323" s="52">
        <f t="shared" si="93"/>
        <v>-202.99936242779063</v>
      </c>
      <c r="AF323" s="52">
        <f t="shared" si="94"/>
        <v>75.443153964045422</v>
      </c>
      <c r="AG323" s="52">
        <f t="shared" si="95"/>
        <v>-49.519292145629656</v>
      </c>
      <c r="AH323" s="52">
        <f t="shared" si="96"/>
        <v>43.484048527383131</v>
      </c>
      <c r="AI323" s="52">
        <f t="shared" si="97"/>
        <v>-73.754535368306179</v>
      </c>
      <c r="AJ323" s="52">
        <f t="shared" si="98"/>
        <v>47.33025509568504</v>
      </c>
      <c r="AK323" s="52">
        <f t="shared" si="99"/>
        <v>-79.725534913854801</v>
      </c>
      <c r="AM323" s="52">
        <f t="shared" si="100"/>
        <v>75175.966616339938</v>
      </c>
      <c r="AN323" s="57">
        <f t="shared" si="101"/>
        <v>44985.099759319717</v>
      </c>
      <c r="AO323" s="57">
        <f t="shared" si="102"/>
        <v>74139.335018838334</v>
      </c>
    </row>
    <row r="324" spans="12:41" x14ac:dyDescent="0.25">
      <c r="L324" s="6">
        <v>321</v>
      </c>
      <c r="M324" s="52">
        <f t="shared" si="88"/>
        <v>23885.729807284853</v>
      </c>
      <c r="N324" s="52">
        <f t="shared" si="89"/>
        <v>4353.3980447508111</v>
      </c>
      <c r="P324" s="6">
        <v>321</v>
      </c>
      <c r="Q324" s="52">
        <f t="shared" si="103"/>
        <v>-17279.989134900603</v>
      </c>
      <c r="R324" s="52">
        <f t="shared" si="104"/>
        <v>7797.3786313255678</v>
      </c>
      <c r="T324" s="6">
        <v>321</v>
      </c>
      <c r="U324" s="52">
        <f t="shared" si="90"/>
        <v>-1114.270192715147</v>
      </c>
      <c r="V324" s="52">
        <f t="shared" si="91"/>
        <v>-18146.601955249189</v>
      </c>
      <c r="X324" s="6">
        <v>320</v>
      </c>
      <c r="Y324" s="55">
        <v>160</v>
      </c>
      <c r="Z324" s="52">
        <f t="shared" si="105"/>
        <v>-44331.948322676079</v>
      </c>
      <c r="AA324" s="52">
        <f t="shared" si="106"/>
        <v>49348.834391326258</v>
      </c>
      <c r="AB324" s="52">
        <f t="shared" si="107"/>
        <v>-2928.3432763540991</v>
      </c>
      <c r="AC324" s="52">
        <f t="shared" si="108"/>
        <v>1144.0404776222949</v>
      </c>
      <c r="AD324" s="52">
        <f t="shared" si="92"/>
        <v>162.0875765233406</v>
      </c>
      <c r="AE324" s="52">
        <f t="shared" si="93"/>
        <v>-192.76897040631087</v>
      </c>
      <c r="AF324" s="52">
        <f t="shared" si="94"/>
        <v>72.659650169680617</v>
      </c>
      <c r="AG324" s="52">
        <f t="shared" si="95"/>
        <v>-47.266121206698401</v>
      </c>
      <c r="AH324" s="52">
        <f t="shared" si="96"/>
        <v>42.656925589352802</v>
      </c>
      <c r="AI324" s="52">
        <f t="shared" si="97"/>
        <v>-68.983390824248048</v>
      </c>
      <c r="AJ324" s="52">
        <f t="shared" si="98"/>
        <v>46.771000764307189</v>
      </c>
      <c r="AK324" s="52">
        <f t="shared" si="99"/>
        <v>-76.519458375364422</v>
      </c>
      <c r="AM324" s="52">
        <f t="shared" si="100"/>
        <v>76745.843632760443</v>
      </c>
      <c r="AN324" s="57">
        <f t="shared" si="101"/>
        <v>46264.181362403891</v>
      </c>
      <c r="AO324" s="57">
        <f t="shared" si="102"/>
        <v>75417.336510778434</v>
      </c>
    </row>
    <row r="325" spans="12:41" x14ac:dyDescent="0.25">
      <c r="L325" s="6">
        <v>322</v>
      </c>
      <c r="M325" s="52">
        <f t="shared" ref="M325:M388" si="109">$G$20*COS(L325*PI()/180)+$G$19</f>
        <v>23940.053768033609</v>
      </c>
      <c r="N325" s="52">
        <f t="shared" ref="N325:N388" si="110">$G$20*SIN(L325*PI()/180)+$H$19</f>
        <v>4421.6926233717058</v>
      </c>
      <c r="P325" s="6">
        <v>322</v>
      </c>
      <c r="Q325" s="52">
        <f t="shared" si="103"/>
        <v>-17241.962362376475</v>
      </c>
      <c r="R325" s="52">
        <f t="shared" si="104"/>
        <v>7845.1848363601939</v>
      </c>
      <c r="T325" s="6">
        <v>322</v>
      </c>
      <c r="U325" s="52">
        <f t="shared" ref="U325:U388" si="111">$G$40*COS(T325*PI()/180)+$G$39</f>
        <v>-1059.9462319663921</v>
      </c>
      <c r="V325" s="52">
        <f t="shared" ref="V325:V388" si="112">$G$40*SIN(T325*PI()/180)+$H$39</f>
        <v>-18078.307376628294</v>
      </c>
      <c r="X325" s="6">
        <v>321</v>
      </c>
      <c r="Y325" s="55">
        <v>160.5</v>
      </c>
      <c r="Z325" s="52">
        <f t="shared" si="105"/>
        <v>-45775.859013787711</v>
      </c>
      <c r="AA325" s="52">
        <f t="shared" si="106"/>
        <v>49896.758508836618</v>
      </c>
      <c r="AB325" s="52">
        <f t="shared" si="107"/>
        <v>-2847.2994880924289</v>
      </c>
      <c r="AC325" s="52">
        <f t="shared" si="108"/>
        <v>1047.6559924191395</v>
      </c>
      <c r="AD325" s="52">
        <f t="shared" ref="AD325:AD388" si="113">AF325+AH325+AJ325</f>
        <v>158.2027012931712</v>
      </c>
      <c r="AE325" s="52">
        <f t="shared" ref="AE325:AE388" si="114">AG325+AI325+AK325</f>
        <v>-183.53729097098741</v>
      </c>
      <c r="AF325" s="52">
        <f t="shared" ref="AF325:AF388" si="115">(($G$19-Z325)/(AM325^2+$G$24^2)^(3/2))*$G$23</f>
        <v>70.140060781777507</v>
      </c>
      <c r="AG325" s="52">
        <f t="shared" ref="AG325:AG388" si="116">(($H$19-AA325)/(AM325^2+$G$24^2)^(3/2))*$G$23</f>
        <v>-45.209766369403155</v>
      </c>
      <c r="AH325" s="52">
        <f t="shared" ref="AH325:AH388" si="117">(($G$29-Z325)/(AN325^2+$G$34^2)^(3/2))*$G$33</f>
        <v>41.827139431413727</v>
      </c>
      <c r="AI325" s="52">
        <f t="shared" ref="AI325:AI388" si="118">(($H$29-AA325)/(AN325^2+$G$34^2)^(3/2))*$G$33</f>
        <v>-64.741480783158948</v>
      </c>
      <c r="AJ325" s="52">
        <f t="shared" ref="AJ325:AJ388" si="119">(($G$39-Z325)/(AO325^2+$G$44^2)^(3/2))*$G$43</f>
        <v>46.235501079979976</v>
      </c>
      <c r="AK325" s="52">
        <f t="shared" ref="AK325:AK388" si="120">(($H$39-AA325)/(AO325^2+$G$44^2)^(3/2))*$G$43</f>
        <v>-73.58604381842531</v>
      </c>
      <c r="AM325" s="52">
        <f t="shared" ref="AM325:AM388" si="121">SQRT(($G$19-Z325)^2+($H$19-AA325)^2)</f>
        <v>78255.662805053842</v>
      </c>
      <c r="AN325" s="57">
        <f t="shared" ref="AN325:AN388" si="122">SQRT(($G$29-Z325)^2+($H$29-AA325)^2)</f>
        <v>47498.907854929552</v>
      </c>
      <c r="AO325" s="57">
        <f t="shared" ref="AO325:AO388" si="123">SQRT(($G$39-Z325)^2+($H$39-AA325)^2)</f>
        <v>76643.720833911444</v>
      </c>
    </row>
    <row r="326" spans="12:41" x14ac:dyDescent="0.25">
      <c r="L326" s="6">
        <v>323</v>
      </c>
      <c r="M326" s="52">
        <f t="shared" si="109"/>
        <v>23993.177550236465</v>
      </c>
      <c r="N326" s="52">
        <f t="shared" si="110"/>
        <v>4490.9248842397592</v>
      </c>
      <c r="P326" s="6">
        <v>323</v>
      </c>
      <c r="Q326" s="52">
        <f t="shared" ref="Q326:Q389" si="124">$G$30*COS(P326*PI()/180)+$G$29</f>
        <v>-17204.775714834475</v>
      </c>
      <c r="R326" s="52">
        <f t="shared" ref="R326:R389" si="125">$G$30*SIN(P326*PI()/180)+$H$29</f>
        <v>7893.6474189678311</v>
      </c>
      <c r="T326" s="6">
        <v>323</v>
      </c>
      <c r="U326" s="52">
        <f t="shared" si="111"/>
        <v>-1006.822449763536</v>
      </c>
      <c r="V326" s="52">
        <f t="shared" si="112"/>
        <v>-18009.075115760243</v>
      </c>
      <c r="X326" s="6">
        <v>322</v>
      </c>
      <c r="Y326" s="55">
        <v>161</v>
      </c>
      <c r="Z326" s="52">
        <f t="shared" ref="Z326:Z389" si="126">Z325+AB325*$G$4+((1/2)*AD325)*$G$4^2</f>
        <v>-47179.733420172277</v>
      </c>
      <c r="AA326" s="52">
        <f t="shared" ref="AA326:AA389" si="127">AA325+AC325*$G$4+((1/2)*AE325)*$G$4^2</f>
        <v>50397.644343674816</v>
      </c>
      <c r="AB326" s="52">
        <f t="shared" ref="AB326:AB389" si="128">AB325+AD325*$G$4</f>
        <v>-2768.1981374458433</v>
      </c>
      <c r="AC326" s="52">
        <f t="shared" ref="AC326:AC389" si="129">AC325+AE325*$G$4</f>
        <v>955.88734693364574</v>
      </c>
      <c r="AD326" s="52">
        <f t="shared" si="113"/>
        <v>154.58749442940422</v>
      </c>
      <c r="AE326" s="52">
        <f t="shared" si="114"/>
        <v>-175.17599314647947</v>
      </c>
      <c r="AF326" s="52">
        <f t="shared" si="115"/>
        <v>67.851842536384694</v>
      </c>
      <c r="AG326" s="52">
        <f t="shared" si="116"/>
        <v>-43.326819875633163</v>
      </c>
      <c r="AH326" s="52">
        <f t="shared" si="117"/>
        <v>41.010362532426228</v>
      </c>
      <c r="AI326" s="52">
        <f t="shared" si="118"/>
        <v>-60.95431527523867</v>
      </c>
      <c r="AJ326" s="52">
        <f t="shared" si="119"/>
        <v>45.725289360593308</v>
      </c>
      <c r="AK326" s="52">
        <f t="shared" si="120"/>
        <v>-70.894857995607637</v>
      </c>
      <c r="AM326" s="52">
        <f t="shared" si="121"/>
        <v>79707.744119638883</v>
      </c>
      <c r="AN326" s="57">
        <f t="shared" si="122"/>
        <v>48689.912479996012</v>
      </c>
      <c r="AO326" s="57">
        <f t="shared" si="123"/>
        <v>77820.188878584595</v>
      </c>
    </row>
    <row r="327" spans="12:41" x14ac:dyDescent="0.25">
      <c r="L327" s="6">
        <v>324</v>
      </c>
      <c r="M327" s="52">
        <f t="shared" si="109"/>
        <v>24045.084971874738</v>
      </c>
      <c r="N327" s="52">
        <f t="shared" si="110"/>
        <v>4561.0737385376333</v>
      </c>
      <c r="P327" s="6">
        <v>324</v>
      </c>
      <c r="Q327" s="52">
        <f t="shared" si="124"/>
        <v>-17168.440519687683</v>
      </c>
      <c r="R327" s="52">
        <f t="shared" si="125"/>
        <v>7942.751616976343</v>
      </c>
      <c r="T327" s="6">
        <v>324</v>
      </c>
      <c r="U327" s="52">
        <f t="shared" si="111"/>
        <v>-954.91502812526323</v>
      </c>
      <c r="V327" s="52">
        <f t="shared" si="112"/>
        <v>-17938.926261462366</v>
      </c>
      <c r="X327" s="6">
        <v>323</v>
      </c>
      <c r="Y327" s="55">
        <v>161.5</v>
      </c>
      <c r="Z327" s="52">
        <f t="shared" si="126"/>
        <v>-48544.509052091526</v>
      </c>
      <c r="AA327" s="52">
        <f t="shared" si="127"/>
        <v>50853.691017998324</v>
      </c>
      <c r="AB327" s="52">
        <f t="shared" si="128"/>
        <v>-2690.904390231141</v>
      </c>
      <c r="AC327" s="52">
        <f t="shared" si="129"/>
        <v>868.29935036040604</v>
      </c>
      <c r="AD327" s="52">
        <f t="shared" si="113"/>
        <v>151.2260055955318</v>
      </c>
      <c r="AE327" s="52">
        <f t="shared" si="114"/>
        <v>-167.57693517118264</v>
      </c>
      <c r="AF327" s="52">
        <f t="shared" si="115"/>
        <v>65.767628484671519</v>
      </c>
      <c r="AG327" s="52">
        <f t="shared" si="116"/>
        <v>-41.597342861469542</v>
      </c>
      <c r="AH327" s="52">
        <f t="shared" si="117"/>
        <v>40.217087227306443</v>
      </c>
      <c r="AI327" s="52">
        <f t="shared" si="118"/>
        <v>-57.559807815572739</v>
      </c>
      <c r="AJ327" s="52">
        <f t="shared" si="119"/>
        <v>45.241289883553826</v>
      </c>
      <c r="AK327" s="52">
        <f t="shared" si="120"/>
        <v>-68.419784494140373</v>
      </c>
      <c r="AM327" s="52">
        <f t="shared" si="121"/>
        <v>81104.206093619621</v>
      </c>
      <c r="AN327" s="57">
        <f t="shared" si="122"/>
        <v>49837.867799686333</v>
      </c>
      <c r="AO327" s="57">
        <f t="shared" si="123"/>
        <v>78948.292503902034</v>
      </c>
    </row>
    <row r="328" spans="12:41" x14ac:dyDescent="0.25">
      <c r="L328" s="6">
        <v>325</v>
      </c>
      <c r="M328" s="52">
        <f t="shared" si="109"/>
        <v>24095.760221444958</v>
      </c>
      <c r="N328" s="52">
        <f t="shared" si="110"/>
        <v>4632.1178182447675</v>
      </c>
      <c r="P328" s="6">
        <v>325</v>
      </c>
      <c r="Q328" s="52">
        <f t="shared" si="124"/>
        <v>-17132.967844988529</v>
      </c>
      <c r="R328" s="52">
        <f t="shared" si="125"/>
        <v>7992.4824727713376</v>
      </c>
      <c r="T328" s="6">
        <v>325</v>
      </c>
      <c r="U328" s="52">
        <f t="shared" si="111"/>
        <v>-904.23977855504199</v>
      </c>
      <c r="V328" s="52">
        <f t="shared" si="112"/>
        <v>-17867.882181755231</v>
      </c>
      <c r="X328" s="6">
        <v>324</v>
      </c>
      <c r="Y328" s="55">
        <v>162</v>
      </c>
      <c r="Z328" s="52">
        <f t="shared" si="126"/>
        <v>-49871.057996507654</v>
      </c>
      <c r="AA328" s="52">
        <f t="shared" si="127"/>
        <v>51266.893576282127</v>
      </c>
      <c r="AB328" s="52">
        <f t="shared" si="128"/>
        <v>-2615.2913874333749</v>
      </c>
      <c r="AC328" s="52">
        <f t="shared" si="129"/>
        <v>784.51088277481472</v>
      </c>
      <c r="AD328" s="52">
        <f t="shared" si="113"/>
        <v>148.10240334607806</v>
      </c>
      <c r="AE328" s="52">
        <f t="shared" si="114"/>
        <v>-160.64852627617</v>
      </c>
      <c r="AF328" s="52">
        <f t="shared" si="115"/>
        <v>63.864253172057566</v>
      </c>
      <c r="AG328" s="52">
        <f t="shared" si="116"/>
        <v>-40.004260019218414</v>
      </c>
      <c r="AH328" s="52">
        <f t="shared" si="117"/>
        <v>39.454166803991647</v>
      </c>
      <c r="AI328" s="52">
        <f t="shared" si="118"/>
        <v>-54.505967041125906</v>
      </c>
      <c r="AJ328" s="52">
        <f t="shared" si="119"/>
        <v>44.783983370028864</v>
      </c>
      <c r="AK328" s="52">
        <f t="shared" si="120"/>
        <v>-66.138299215825697</v>
      </c>
      <c r="AM328" s="52">
        <f t="shared" si="121"/>
        <v>82446.987324394955</v>
      </c>
      <c r="AN328" s="57">
        <f t="shared" si="122"/>
        <v>50943.464853373676</v>
      </c>
      <c r="AO328" s="57">
        <f t="shared" si="123"/>
        <v>80029.451016336825</v>
      </c>
    </row>
    <row r="329" spans="12:41" x14ac:dyDescent="0.25">
      <c r="L329" s="6">
        <v>326</v>
      </c>
      <c r="M329" s="52">
        <f t="shared" si="109"/>
        <v>24145.187862775208</v>
      </c>
      <c r="N329" s="52">
        <f t="shared" si="110"/>
        <v>4704.0354826462626</v>
      </c>
      <c r="P329" s="6">
        <v>326</v>
      </c>
      <c r="Q329" s="52">
        <f t="shared" si="124"/>
        <v>-17098.368496057356</v>
      </c>
      <c r="R329" s="52">
        <f t="shared" si="125"/>
        <v>8042.824837852384</v>
      </c>
      <c r="T329" s="6">
        <v>326</v>
      </c>
      <c r="U329" s="52">
        <f t="shared" si="111"/>
        <v>-854.81213722479333</v>
      </c>
      <c r="V329" s="52">
        <f t="shared" si="112"/>
        <v>-17795.964517353736</v>
      </c>
      <c r="X329" s="6">
        <v>325</v>
      </c>
      <c r="Y329" s="55">
        <v>162.5</v>
      </c>
      <c r="Z329" s="52">
        <f t="shared" si="126"/>
        <v>-51160.190889806079</v>
      </c>
      <c r="AA329" s="52">
        <f t="shared" si="127"/>
        <v>51639.067951885016</v>
      </c>
      <c r="AB329" s="52">
        <f t="shared" si="128"/>
        <v>-2541.2401857603359</v>
      </c>
      <c r="AC329" s="52">
        <f t="shared" si="129"/>
        <v>704.18661963672969</v>
      </c>
      <c r="AD329" s="52">
        <f t="shared" si="113"/>
        <v>145.20141491130599</v>
      </c>
      <c r="AE329" s="52">
        <f t="shared" si="114"/>
        <v>-154.31280815815731</v>
      </c>
      <c r="AF329" s="52">
        <f t="shared" si="115"/>
        <v>62.121988502583179</v>
      </c>
      <c r="AG329" s="52">
        <f t="shared" si="116"/>
        <v>-38.532874034413808</v>
      </c>
      <c r="AH329" s="52">
        <f t="shared" si="117"/>
        <v>38.725896398080565</v>
      </c>
      <c r="AI329" s="52">
        <f t="shared" si="118"/>
        <v>-51.749048563911771</v>
      </c>
      <c r="AJ329" s="52">
        <f t="shared" si="119"/>
        <v>44.353530010642245</v>
      </c>
      <c r="AK329" s="52">
        <f t="shared" si="120"/>
        <v>-64.030885559831731</v>
      </c>
      <c r="AM329" s="52">
        <f t="shared" si="121"/>
        <v>83737.865312741065</v>
      </c>
      <c r="AN329" s="57">
        <f t="shared" si="122"/>
        <v>52007.39828323324</v>
      </c>
      <c r="AO329" s="57">
        <f t="shared" si="123"/>
        <v>81064.965308567713</v>
      </c>
    </row>
    <row r="330" spans="12:41" x14ac:dyDescent="0.25">
      <c r="L330" s="6">
        <v>327</v>
      </c>
      <c r="M330" s="52">
        <f t="shared" si="109"/>
        <v>24193.352839727122</v>
      </c>
      <c r="N330" s="52">
        <f t="shared" si="110"/>
        <v>4776.804824924865</v>
      </c>
      <c r="P330" s="6">
        <v>327</v>
      </c>
      <c r="Q330" s="52">
        <f t="shared" si="124"/>
        <v>-17064.653012191015</v>
      </c>
      <c r="R330" s="52">
        <f t="shared" si="125"/>
        <v>8093.7633774474052</v>
      </c>
      <c r="T330" s="6">
        <v>327</v>
      </c>
      <c r="U330" s="52">
        <f t="shared" si="111"/>
        <v>-806.64716027287977</v>
      </c>
      <c r="V330" s="52">
        <f t="shared" si="112"/>
        <v>-17723.195175075136</v>
      </c>
      <c r="X330" s="6">
        <v>326</v>
      </c>
      <c r="Y330" s="55">
        <v>163</v>
      </c>
      <c r="Z330" s="52">
        <f t="shared" si="126"/>
        <v>-52412.660805822336</v>
      </c>
      <c r="AA330" s="52">
        <f t="shared" si="127"/>
        <v>51971.872160683612</v>
      </c>
      <c r="AB330" s="52">
        <f t="shared" si="128"/>
        <v>-2468.6394783046831</v>
      </c>
      <c r="AC330" s="52">
        <f t="shared" si="129"/>
        <v>627.03021555765099</v>
      </c>
      <c r="AD330" s="52">
        <f t="shared" si="113"/>
        <v>142.50857651763295</v>
      </c>
      <c r="AE330" s="52">
        <f t="shared" si="114"/>
        <v>-148.50310604617056</v>
      </c>
      <c r="AF330" s="52">
        <f t="shared" si="115"/>
        <v>60.523939461535932</v>
      </c>
      <c r="AG330" s="52">
        <f t="shared" si="116"/>
        <v>-37.17047362217577</v>
      </c>
      <c r="AH330" s="52">
        <f t="shared" si="117"/>
        <v>38.034775728438888</v>
      </c>
      <c r="AI330" s="52">
        <f t="shared" si="118"/>
        <v>-49.252073259210704</v>
      </c>
      <c r="AJ330" s="52">
        <f t="shared" si="119"/>
        <v>43.949861327658141</v>
      </c>
      <c r="AK330" s="52">
        <f t="shared" si="120"/>
        <v>-62.080559164784106</v>
      </c>
      <c r="AM330" s="52">
        <f t="shared" si="121"/>
        <v>84978.472911998513</v>
      </c>
      <c r="AN330" s="57">
        <f t="shared" si="122"/>
        <v>53030.355770879556</v>
      </c>
      <c r="AO330" s="57">
        <f t="shared" si="123"/>
        <v>82056.030036767625</v>
      </c>
    </row>
    <row r="331" spans="12:41" x14ac:dyDescent="0.25">
      <c r="L331" s="6">
        <v>328</v>
      </c>
      <c r="M331" s="52">
        <f t="shared" si="109"/>
        <v>24240.240480782126</v>
      </c>
      <c r="N331" s="52">
        <f t="shared" si="110"/>
        <v>4850.4036788339708</v>
      </c>
      <c r="P331" s="6">
        <v>328</v>
      </c>
      <c r="Q331" s="52">
        <f t="shared" si="124"/>
        <v>-17031.831663452511</v>
      </c>
      <c r="R331" s="52">
        <f t="shared" si="125"/>
        <v>8145.28257518378</v>
      </c>
      <c r="T331" s="6">
        <v>328</v>
      </c>
      <c r="U331" s="52">
        <f t="shared" si="111"/>
        <v>-759.75951921787328</v>
      </c>
      <c r="V331" s="52">
        <f t="shared" si="112"/>
        <v>-17649.596321166027</v>
      </c>
      <c r="X331" s="6">
        <v>327</v>
      </c>
      <c r="Y331" s="55">
        <v>163.5</v>
      </c>
      <c r="Z331" s="52">
        <f t="shared" si="126"/>
        <v>-53629.166972909974</v>
      </c>
      <c r="AA331" s="52">
        <f t="shared" si="127"/>
        <v>52266.824380206665</v>
      </c>
      <c r="AB331" s="52">
        <f t="shared" si="128"/>
        <v>-2397.3851900458667</v>
      </c>
      <c r="AC331" s="52">
        <f t="shared" si="129"/>
        <v>552.77866253456568</v>
      </c>
      <c r="AD331" s="52">
        <f t="shared" si="113"/>
        <v>140.01036150157063</v>
      </c>
      <c r="AE331" s="52">
        <f t="shared" si="114"/>
        <v>-143.16213068250565</v>
      </c>
      <c r="AF331" s="52">
        <f t="shared" si="115"/>
        <v>59.055562309042706</v>
      </c>
      <c r="AG331" s="52">
        <f t="shared" si="116"/>
        <v>-35.906015173796028</v>
      </c>
      <c r="AH331" s="52">
        <f t="shared" si="117"/>
        <v>37.382050178702592</v>
      </c>
      <c r="AI331" s="52">
        <f t="shared" si="118"/>
        <v>-46.98363629251012</v>
      </c>
      <c r="AJ331" s="52">
        <f t="shared" si="119"/>
        <v>43.572749013825323</v>
      </c>
      <c r="AK331" s="52">
        <f t="shared" si="120"/>
        <v>-60.2724792161995</v>
      </c>
      <c r="AM331" s="52">
        <f t="shared" si="121"/>
        <v>86170.312719711772</v>
      </c>
      <c r="AN331" s="57">
        <f t="shared" si="122"/>
        <v>54013.010603734096</v>
      </c>
      <c r="AO331" s="57">
        <f t="shared" si="123"/>
        <v>83003.744148542639</v>
      </c>
    </row>
    <row r="332" spans="12:41" x14ac:dyDescent="0.25">
      <c r="L332" s="6">
        <v>329</v>
      </c>
      <c r="M332" s="52">
        <f t="shared" si="109"/>
        <v>24285.83650351056</v>
      </c>
      <c r="N332" s="52">
        <f t="shared" si="110"/>
        <v>4924.8096254497277</v>
      </c>
      <c r="P332" s="6">
        <v>329</v>
      </c>
      <c r="Q332" s="52">
        <f t="shared" si="124"/>
        <v>-16999.914447542607</v>
      </c>
      <c r="R332" s="52">
        <f t="shared" si="125"/>
        <v>8197.3667378148093</v>
      </c>
      <c r="T332" s="6">
        <v>329</v>
      </c>
      <c r="U332" s="52">
        <f t="shared" si="111"/>
        <v>-714.16349648943924</v>
      </c>
      <c r="V332" s="52">
        <f t="shared" si="112"/>
        <v>-17575.190374550271</v>
      </c>
      <c r="X332" s="6">
        <v>328</v>
      </c>
      <c r="Y332" s="55">
        <v>164</v>
      </c>
      <c r="Z332" s="52">
        <f t="shared" si="126"/>
        <v>-54810.358272745209</v>
      </c>
      <c r="AA332" s="52">
        <f t="shared" si="127"/>
        <v>52525.318445138633</v>
      </c>
      <c r="AB332" s="52">
        <f t="shared" si="128"/>
        <v>-2327.3800092950814</v>
      </c>
      <c r="AC332" s="52">
        <f t="shared" si="129"/>
        <v>481.19759719331284</v>
      </c>
      <c r="AD332" s="52">
        <f t="shared" si="113"/>
        <v>137.69423045845483</v>
      </c>
      <c r="AE332" s="52">
        <f t="shared" si="114"/>
        <v>-138.24043794518099</v>
      </c>
      <c r="AF332" s="52">
        <f t="shared" si="115"/>
        <v>57.704277457490747</v>
      </c>
      <c r="AG332" s="52">
        <f t="shared" si="116"/>
        <v>-34.729862657491246</v>
      </c>
      <c r="AH332" s="52">
        <f t="shared" si="117"/>
        <v>36.768096337995935</v>
      </c>
      <c r="AI332" s="52">
        <f t="shared" si="118"/>
        <v>-44.916946649727954</v>
      </c>
      <c r="AJ332" s="52">
        <f t="shared" si="119"/>
        <v>43.221856662968143</v>
      </c>
      <c r="AK332" s="52">
        <f t="shared" si="120"/>
        <v>-58.5936286379618</v>
      </c>
      <c r="AM332" s="52">
        <f t="shared" si="121"/>
        <v>87314.769689798995</v>
      </c>
      <c r="AN332" s="57">
        <f t="shared" si="122"/>
        <v>54956.016521736077</v>
      </c>
      <c r="AO332" s="57">
        <f t="shared" si="123"/>
        <v>83909.120019081456</v>
      </c>
    </row>
    <row r="333" spans="12:41" x14ac:dyDescent="0.25">
      <c r="L333" s="6">
        <v>330</v>
      </c>
      <c r="M333" s="52">
        <f t="shared" si="109"/>
        <v>24330.12701892219</v>
      </c>
      <c r="N333" s="52">
        <f t="shared" si="110"/>
        <v>4999.9999999999982</v>
      </c>
      <c r="P333" s="6">
        <v>330</v>
      </c>
      <c r="Q333" s="52">
        <f t="shared" si="124"/>
        <v>-16968.911086754466</v>
      </c>
      <c r="R333" s="52">
        <f t="shared" si="125"/>
        <v>8249.9999999999982</v>
      </c>
      <c r="T333" s="6">
        <v>330</v>
      </c>
      <c r="U333" s="52">
        <f t="shared" si="111"/>
        <v>-669.87298107780771</v>
      </c>
      <c r="V333" s="52">
        <f t="shared" si="112"/>
        <v>-17500.000000000004</v>
      </c>
      <c r="X333" s="6">
        <v>329</v>
      </c>
      <c r="Y333" s="55">
        <v>164.5</v>
      </c>
      <c r="Z333" s="52">
        <f t="shared" si="126"/>
        <v>-55956.836498585442</v>
      </c>
      <c r="AA333" s="52">
        <f t="shared" si="127"/>
        <v>52748.637188992143</v>
      </c>
      <c r="AB333" s="52">
        <f t="shared" si="128"/>
        <v>-2258.5328940658542</v>
      </c>
      <c r="AC333" s="52">
        <f t="shared" si="129"/>
        <v>412.07737822072238</v>
      </c>
      <c r="AD333" s="52">
        <f t="shared" si="113"/>
        <v>135.54863256423684</v>
      </c>
      <c r="AE333" s="52">
        <f t="shared" si="114"/>
        <v>-133.69517297472868</v>
      </c>
      <c r="AF333" s="52">
        <f t="shared" si="115"/>
        <v>56.45915617831384</v>
      </c>
      <c r="AG333" s="52">
        <f t="shared" si="116"/>
        <v>-33.63357390426264</v>
      </c>
      <c r="AH333" s="52">
        <f t="shared" si="117"/>
        <v>36.19269766239136</v>
      </c>
      <c r="AI333" s="52">
        <f t="shared" si="118"/>
        <v>-43.029049602884825</v>
      </c>
      <c r="AJ333" s="52">
        <f t="shared" si="119"/>
        <v>42.896778723531646</v>
      </c>
      <c r="AK333" s="52">
        <f t="shared" si="120"/>
        <v>-57.032549467581234</v>
      </c>
      <c r="AM333" s="52">
        <f t="shared" si="121"/>
        <v>88413.122206683125</v>
      </c>
      <c r="AN333" s="57">
        <f t="shared" si="122"/>
        <v>55860.004229341845</v>
      </c>
      <c r="AO333" s="57">
        <f t="shared" si="123"/>
        <v>84773.091408236724</v>
      </c>
    </row>
    <row r="334" spans="12:41" x14ac:dyDescent="0.25">
      <c r="L334" s="6">
        <v>331</v>
      </c>
      <c r="M334" s="52">
        <f t="shared" si="109"/>
        <v>24373.09853569698</v>
      </c>
      <c r="N334" s="52">
        <f t="shared" si="110"/>
        <v>5075.951898768315</v>
      </c>
      <c r="P334" s="6">
        <v>331</v>
      </c>
      <c r="Q334" s="52">
        <f t="shared" si="124"/>
        <v>-16938.831025012114</v>
      </c>
      <c r="R334" s="52">
        <f t="shared" si="125"/>
        <v>8303.1663291378209</v>
      </c>
      <c r="T334" s="6">
        <v>331</v>
      </c>
      <c r="U334" s="52">
        <f t="shared" si="111"/>
        <v>-626.90146430302048</v>
      </c>
      <c r="V334" s="52">
        <f t="shared" si="112"/>
        <v>-17424.048101231685</v>
      </c>
      <c r="X334" s="6">
        <v>330</v>
      </c>
      <c r="Y334" s="55">
        <v>165</v>
      </c>
      <c r="Z334" s="52">
        <f t="shared" si="126"/>
        <v>-57069.159366547836</v>
      </c>
      <c r="AA334" s="52">
        <f t="shared" si="127"/>
        <v>52937.963981480665</v>
      </c>
      <c r="AB334" s="52">
        <f t="shared" si="128"/>
        <v>-2190.7585777837357</v>
      </c>
      <c r="AC334" s="52">
        <f t="shared" si="129"/>
        <v>345.22979173335807</v>
      </c>
      <c r="AD334" s="52">
        <f t="shared" si="113"/>
        <v>133.56297725182523</v>
      </c>
      <c r="AE334" s="52">
        <f t="shared" si="114"/>
        <v>-129.48904145178793</v>
      </c>
      <c r="AF334" s="52">
        <f t="shared" si="115"/>
        <v>55.310665342139309</v>
      </c>
      <c r="AG334" s="52">
        <f t="shared" si="116"/>
        <v>-32.609724048692854</v>
      </c>
      <c r="AH334" s="52">
        <f t="shared" si="117"/>
        <v>35.655242040598438</v>
      </c>
      <c r="AI334" s="52">
        <f t="shared" si="118"/>
        <v>-41.300194680750486</v>
      </c>
      <c r="AJ334" s="52">
        <f t="shared" si="119"/>
        <v>42.597069869087477</v>
      </c>
      <c r="AK334" s="52">
        <f t="shared" si="120"/>
        <v>-55.579122722344586</v>
      </c>
      <c r="AM334" s="52">
        <f t="shared" si="121"/>
        <v>89466.551829433331</v>
      </c>
      <c r="AN334" s="57">
        <f t="shared" si="122"/>
        <v>56725.57912456648</v>
      </c>
      <c r="AO334" s="57">
        <f t="shared" si="123"/>
        <v>85596.520414605169</v>
      </c>
    </row>
    <row r="335" spans="12:41" x14ac:dyDescent="0.25">
      <c r="L335" s="6">
        <v>332</v>
      </c>
      <c r="M335" s="52">
        <f t="shared" si="109"/>
        <v>24414.737964294633</v>
      </c>
      <c r="N335" s="52">
        <f t="shared" si="110"/>
        <v>5152.6421860705459</v>
      </c>
      <c r="P335" s="6">
        <v>332</v>
      </c>
      <c r="Q335" s="52">
        <f t="shared" si="124"/>
        <v>-16909.683424993756</v>
      </c>
      <c r="R335" s="52">
        <f t="shared" si="125"/>
        <v>8356.849530249383</v>
      </c>
      <c r="T335" s="6">
        <v>332</v>
      </c>
      <c r="U335" s="52">
        <f t="shared" si="111"/>
        <v>-585.26203570536563</v>
      </c>
      <c r="V335" s="52">
        <f t="shared" si="112"/>
        <v>-17347.357813929455</v>
      </c>
      <c r="X335" s="6">
        <v>331</v>
      </c>
      <c r="Y335" s="55">
        <v>165.5</v>
      </c>
      <c r="Z335" s="52">
        <f t="shared" si="126"/>
        <v>-58147.843283283226</v>
      </c>
      <c r="AA335" s="52">
        <f t="shared" si="127"/>
        <v>53094.392747165875</v>
      </c>
      <c r="AB335" s="52">
        <f t="shared" si="128"/>
        <v>-2123.9770891578232</v>
      </c>
      <c r="AC335" s="52">
        <f t="shared" si="129"/>
        <v>280.48527100746412</v>
      </c>
      <c r="AD335" s="52">
        <f t="shared" si="113"/>
        <v>131.72758883268543</v>
      </c>
      <c r="AE335" s="52">
        <f t="shared" si="114"/>
        <v>-125.58946297506591</v>
      </c>
      <c r="AF335" s="52">
        <f t="shared" si="115"/>
        <v>54.250458123471574</v>
      </c>
      <c r="AG335" s="52">
        <f t="shared" si="116"/>
        <v>-31.651758903042612</v>
      </c>
      <c r="AH335" s="52">
        <f t="shared" si="117"/>
        <v>35.154863552487505</v>
      </c>
      <c r="AI335" s="52">
        <f t="shared" si="118"/>
        <v>-39.713319719120321</v>
      </c>
      <c r="AJ335" s="52">
        <f t="shared" si="119"/>
        <v>42.322267156726348</v>
      </c>
      <c r="AK335" s="52">
        <f t="shared" si="120"/>
        <v>-54.22438435290298</v>
      </c>
      <c r="AM335" s="52">
        <f t="shared" si="121"/>
        <v>90476.151884413208</v>
      </c>
      <c r="AN335" s="57">
        <f t="shared" si="122"/>
        <v>57553.319916516717</v>
      </c>
      <c r="AO335" s="57">
        <f t="shared" si="123"/>
        <v>86380.203572749859</v>
      </c>
    </row>
    <row r="336" spans="12:41" x14ac:dyDescent="0.25">
      <c r="L336" s="6">
        <v>333</v>
      </c>
      <c r="M336" s="52">
        <f t="shared" si="109"/>
        <v>24455.032620941838</v>
      </c>
      <c r="N336" s="52">
        <f t="shared" si="110"/>
        <v>5230.0475013022651</v>
      </c>
      <c r="P336" s="6">
        <v>333</v>
      </c>
      <c r="Q336" s="52">
        <f t="shared" si="124"/>
        <v>-16881.477165340712</v>
      </c>
      <c r="R336" s="52">
        <f t="shared" si="125"/>
        <v>8411.0332509115851</v>
      </c>
      <c r="T336" s="6">
        <v>333</v>
      </c>
      <c r="U336" s="52">
        <f t="shared" si="111"/>
        <v>-544.96737905816099</v>
      </c>
      <c r="V336" s="52">
        <f t="shared" si="112"/>
        <v>-17269.952498697734</v>
      </c>
      <c r="X336" s="6">
        <v>332</v>
      </c>
      <c r="Y336" s="55">
        <v>166</v>
      </c>
      <c r="Z336" s="52">
        <f t="shared" si="126"/>
        <v>-59193.365879258054</v>
      </c>
      <c r="AA336" s="52">
        <f t="shared" si="127"/>
        <v>53218.936699797727</v>
      </c>
      <c r="AB336" s="52">
        <f t="shared" si="128"/>
        <v>-2058.1132947414803</v>
      </c>
      <c r="AC336" s="52">
        <f t="shared" si="129"/>
        <v>217.69053951993118</v>
      </c>
      <c r="AD336" s="52">
        <f t="shared" si="113"/>
        <v>130.03365227789658</v>
      </c>
      <c r="AE336" s="52">
        <f t="shared" si="114"/>
        <v>-121.96787105813254</v>
      </c>
      <c r="AF336" s="52">
        <f t="shared" si="115"/>
        <v>53.271201372975959</v>
      </c>
      <c r="AG336" s="52">
        <f t="shared" si="116"/>
        <v>-30.753872580773344</v>
      </c>
      <c r="AH336" s="52">
        <f t="shared" si="117"/>
        <v>34.690544160810475</v>
      </c>
      <c r="AI336" s="52">
        <f t="shared" si="118"/>
        <v>-38.253627840650971</v>
      </c>
      <c r="AJ336" s="52">
        <f t="shared" si="119"/>
        <v>42.071906744110166</v>
      </c>
      <c r="AK336" s="52">
        <f t="shared" si="120"/>
        <v>-52.960370636708227</v>
      </c>
      <c r="AM336" s="52">
        <f t="shared" si="121"/>
        <v>91442.935059227762</v>
      </c>
      <c r="AN336" s="57">
        <f t="shared" si="122"/>
        <v>58343.777889390331</v>
      </c>
      <c r="AO336" s="57">
        <f t="shared" si="123"/>
        <v>87124.877215260043</v>
      </c>
    </row>
    <row r="337" spans="12:41" x14ac:dyDescent="0.25">
      <c r="L337" s="6">
        <v>334</v>
      </c>
      <c r="M337" s="52">
        <f t="shared" si="109"/>
        <v>24493.970231495834</v>
      </c>
      <c r="N337" s="52">
        <f t="shared" si="110"/>
        <v>5308.1442660546145</v>
      </c>
      <c r="P337" s="6">
        <v>334</v>
      </c>
      <c r="Q337" s="52">
        <f t="shared" si="124"/>
        <v>-16854.220837952915</v>
      </c>
      <c r="R337" s="52">
        <f t="shared" si="125"/>
        <v>8465.7009862382311</v>
      </c>
      <c r="T337" s="6">
        <v>334</v>
      </c>
      <c r="U337" s="52">
        <f t="shared" si="111"/>
        <v>-506.02976850416417</v>
      </c>
      <c r="V337" s="52">
        <f t="shared" si="112"/>
        <v>-17191.855733945384</v>
      </c>
      <c r="X337" s="6">
        <v>333</v>
      </c>
      <c r="Y337" s="55">
        <v>166.5</v>
      </c>
      <c r="Z337" s="52">
        <f t="shared" si="126"/>
        <v>-60206.168320094053</v>
      </c>
      <c r="AA337" s="52">
        <f t="shared" si="127"/>
        <v>53312.535985675422</v>
      </c>
      <c r="AB337" s="52">
        <f t="shared" si="128"/>
        <v>-1993.096468602532</v>
      </c>
      <c r="AC337" s="52">
        <f t="shared" si="129"/>
        <v>156.70660399086489</v>
      </c>
      <c r="AD337" s="52">
        <f t="shared" si="113"/>
        <v>128.47315546095359</v>
      </c>
      <c r="AE337" s="52">
        <f t="shared" si="114"/>
        <v>-118.59913170589624</v>
      </c>
      <c r="AF337" s="52">
        <f t="shared" si="115"/>
        <v>52.366432440072543</v>
      </c>
      <c r="AG337" s="52">
        <f t="shared" si="116"/>
        <v>-29.91090486990927</v>
      </c>
      <c r="AH337" s="52">
        <f t="shared" si="117"/>
        <v>34.261186525572562</v>
      </c>
      <c r="AI337" s="52">
        <f t="shared" si="118"/>
        <v>-36.908239116115006</v>
      </c>
      <c r="AJ337" s="52">
        <f t="shared" si="119"/>
        <v>41.845536495308487</v>
      </c>
      <c r="AK337" s="52">
        <f t="shared" si="120"/>
        <v>-51.779987719871968</v>
      </c>
      <c r="AM337" s="52">
        <f t="shared" si="121"/>
        <v>92367.840128640368</v>
      </c>
      <c r="AN337" s="57">
        <f t="shared" si="122"/>
        <v>59097.476633898361</v>
      </c>
      <c r="AO337" s="57">
        <f t="shared" si="123"/>
        <v>87831.222201337703</v>
      </c>
    </row>
    <row r="338" spans="12:41" x14ac:dyDescent="0.25">
      <c r="L338" s="6">
        <v>335</v>
      </c>
      <c r="M338" s="52">
        <f t="shared" si="109"/>
        <v>24531.538935183249</v>
      </c>
      <c r="N338" s="52">
        <f t="shared" si="110"/>
        <v>5386.9086912964995</v>
      </c>
      <c r="P338" s="6">
        <v>335</v>
      </c>
      <c r="Q338" s="52">
        <f t="shared" si="124"/>
        <v>-16827.922745371725</v>
      </c>
      <c r="R338" s="52">
        <f t="shared" si="125"/>
        <v>8520.8360839075503</v>
      </c>
      <c r="T338" s="6">
        <v>335</v>
      </c>
      <c r="U338" s="52">
        <f t="shared" si="111"/>
        <v>-468.46106481675179</v>
      </c>
      <c r="V338" s="52">
        <f t="shared" si="112"/>
        <v>-17113.091308703501</v>
      </c>
      <c r="X338" s="6">
        <v>334</v>
      </c>
      <c r="Y338" s="55">
        <v>167</v>
      </c>
      <c r="Z338" s="52">
        <f t="shared" si="126"/>
        <v>-61186.657409962696</v>
      </c>
      <c r="AA338" s="52">
        <f t="shared" si="127"/>
        <v>53376.064396207621</v>
      </c>
      <c r="AB338" s="52">
        <f t="shared" si="128"/>
        <v>-1928.8598908720553</v>
      </c>
      <c r="AC338" s="52">
        <f t="shared" si="129"/>
        <v>97.407038137916771</v>
      </c>
      <c r="AD338" s="52">
        <f t="shared" si="113"/>
        <v>127.03883122611742</v>
      </c>
      <c r="AE338" s="52">
        <f t="shared" si="114"/>
        <v>-115.46105832847471</v>
      </c>
      <c r="AF338" s="52">
        <f t="shared" si="115"/>
        <v>51.53043980186041</v>
      </c>
      <c r="AG338" s="52">
        <f t="shared" si="116"/>
        <v>-29.118254774028319</v>
      </c>
      <c r="AH338" s="52">
        <f t="shared" si="117"/>
        <v>33.865665944327681</v>
      </c>
      <c r="AI338" s="52">
        <f t="shared" si="118"/>
        <v>-35.665902483902094</v>
      </c>
      <c r="AJ338" s="52">
        <f t="shared" si="119"/>
        <v>41.642725479929332</v>
      </c>
      <c r="AK338" s="52">
        <f t="shared" si="120"/>
        <v>-50.676901070544297</v>
      </c>
      <c r="AM338" s="52">
        <f t="shared" si="121"/>
        <v>93251.737924221234</v>
      </c>
      <c r="AN338" s="57">
        <f t="shared" si="122"/>
        <v>59814.912113197875</v>
      </c>
      <c r="AO338" s="57">
        <f t="shared" si="123"/>
        <v>88499.868097183324</v>
      </c>
    </row>
    <row r="339" spans="12:41" x14ac:dyDescent="0.25">
      <c r="L339" s="6">
        <v>336</v>
      </c>
      <c r="M339" s="52">
        <f t="shared" si="109"/>
        <v>24567.727288213006</v>
      </c>
      <c r="N339" s="52">
        <f t="shared" si="110"/>
        <v>5466.316784620999</v>
      </c>
      <c r="P339" s="6">
        <v>336</v>
      </c>
      <c r="Q339" s="52">
        <f t="shared" si="124"/>
        <v>-16802.590898250895</v>
      </c>
      <c r="R339" s="52">
        <f t="shared" si="125"/>
        <v>8576.4217492346997</v>
      </c>
      <c r="T339" s="6">
        <v>336</v>
      </c>
      <c r="U339" s="52">
        <f t="shared" si="111"/>
        <v>-432.27271178699539</v>
      </c>
      <c r="V339" s="52">
        <f t="shared" si="112"/>
        <v>-17033.683215379002</v>
      </c>
      <c r="X339" s="6">
        <v>335</v>
      </c>
      <c r="Y339" s="55">
        <v>167.5</v>
      </c>
      <c r="Z339" s="52">
        <f t="shared" si="126"/>
        <v>-62135.207501495461</v>
      </c>
      <c r="AA339" s="52">
        <f t="shared" si="127"/>
        <v>53410.335282985521</v>
      </c>
      <c r="AB339" s="52">
        <f t="shared" si="128"/>
        <v>-1865.3404752589965</v>
      </c>
      <c r="AC339" s="52">
        <f t="shared" si="129"/>
        <v>39.676508973679418</v>
      </c>
      <c r="AD339" s="52">
        <f t="shared" si="113"/>
        <v>125.72410135756479</v>
      </c>
      <c r="AE339" s="52">
        <f t="shared" si="114"/>
        <v>-112.53400527654094</v>
      </c>
      <c r="AF339" s="52">
        <f t="shared" si="115"/>
        <v>50.758163054146202</v>
      </c>
      <c r="AG339" s="52">
        <f t="shared" si="116"/>
        <v>-28.371807353404098</v>
      </c>
      <c r="AH339" s="52">
        <f t="shared" si="117"/>
        <v>33.5028671753591</v>
      </c>
      <c r="AI339" s="52">
        <f t="shared" si="118"/>
        <v>-34.516756490923896</v>
      </c>
      <c r="AJ339" s="52">
        <f t="shared" si="119"/>
        <v>41.463071128059482</v>
      </c>
      <c r="AK339" s="52">
        <f t="shared" si="120"/>
        <v>-49.645441432212941</v>
      </c>
      <c r="AM339" s="52">
        <f t="shared" si="121"/>
        <v>94095.436643388093</v>
      </c>
      <c r="AN339" s="57">
        <f t="shared" si="122"/>
        <v>60496.552964406968</v>
      </c>
      <c r="AO339" s="57">
        <f t="shared" si="123"/>
        <v>89131.396879940337</v>
      </c>
    </row>
    <row r="340" spans="12:41" x14ac:dyDescent="0.25">
      <c r="L340" s="6">
        <v>337</v>
      </c>
      <c r="M340" s="52">
        <f t="shared" si="109"/>
        <v>24602.524267262201</v>
      </c>
      <c r="N340" s="52">
        <f t="shared" si="110"/>
        <v>5546.3443575536267</v>
      </c>
      <c r="P340" s="6">
        <v>337</v>
      </c>
      <c r="Q340" s="52">
        <f t="shared" si="124"/>
        <v>-16778.233012916462</v>
      </c>
      <c r="R340" s="52">
        <f t="shared" si="125"/>
        <v>8632.441050287538</v>
      </c>
      <c r="T340" s="6">
        <v>337</v>
      </c>
      <c r="U340" s="52">
        <f t="shared" si="111"/>
        <v>-397.47573273780017</v>
      </c>
      <c r="V340" s="52">
        <f t="shared" si="112"/>
        <v>-16953.655642446374</v>
      </c>
      <c r="X340" s="6">
        <v>336</v>
      </c>
      <c r="Y340" s="55">
        <v>168</v>
      </c>
      <c r="Z340" s="52">
        <f t="shared" si="126"/>
        <v>-63052.162226455264</v>
      </c>
      <c r="AA340" s="52">
        <f t="shared" si="127"/>
        <v>53416.106786812787</v>
      </c>
      <c r="AB340" s="52">
        <f t="shared" si="128"/>
        <v>-1802.4784245802141</v>
      </c>
      <c r="AC340" s="52">
        <f t="shared" si="129"/>
        <v>-16.590493664591051</v>
      </c>
      <c r="AD340" s="52">
        <f t="shared" si="113"/>
        <v>124.52302367136031</v>
      </c>
      <c r="AE340" s="52">
        <f t="shared" si="114"/>
        <v>-109.80052582752243</v>
      </c>
      <c r="AF340" s="52">
        <f t="shared" si="115"/>
        <v>50.045108742097526</v>
      </c>
      <c r="AG340" s="52">
        <f t="shared" si="116"/>
        <v>-27.667871558771381</v>
      </c>
      <c r="AH340" s="52">
        <f t="shared" si="117"/>
        <v>33.171710306574901</v>
      </c>
      <c r="AI340" s="52">
        <f t="shared" si="118"/>
        <v>-33.452129753578077</v>
      </c>
      <c r="AJ340" s="52">
        <f t="shared" si="119"/>
        <v>41.306204622687879</v>
      </c>
      <c r="AK340" s="52">
        <f t="shared" si="120"/>
        <v>-48.680524515172976</v>
      </c>
      <c r="AM340" s="52">
        <f t="shared" si="121"/>
        <v>94899.686579816669</v>
      </c>
      <c r="AN340" s="57">
        <f t="shared" si="122"/>
        <v>61142.840961938891</v>
      </c>
      <c r="AO340" s="57">
        <f t="shared" si="123"/>
        <v>89726.346225795074</v>
      </c>
    </row>
    <row r="341" spans="12:41" x14ac:dyDescent="0.25">
      <c r="L341" s="6">
        <v>338</v>
      </c>
      <c r="M341" s="52">
        <f t="shared" si="109"/>
        <v>24635.919272833937</v>
      </c>
      <c r="N341" s="52">
        <f t="shared" si="110"/>
        <v>5626.9670329204382</v>
      </c>
      <c r="P341" s="6">
        <v>338</v>
      </c>
      <c r="Q341" s="52">
        <f t="shared" si="124"/>
        <v>-16754.856509016245</v>
      </c>
      <c r="R341" s="52">
        <f t="shared" si="125"/>
        <v>8688.8769230443067</v>
      </c>
      <c r="T341" s="6">
        <v>338</v>
      </c>
      <c r="U341" s="52">
        <f t="shared" si="111"/>
        <v>-364.0807271660633</v>
      </c>
      <c r="V341" s="52">
        <f t="shared" si="112"/>
        <v>-16873.032967079562</v>
      </c>
      <c r="X341" s="6">
        <v>337</v>
      </c>
      <c r="Y341" s="55">
        <v>168.5</v>
      </c>
      <c r="Z341" s="52">
        <f t="shared" si="126"/>
        <v>-63937.836060786452</v>
      </c>
      <c r="AA341" s="52">
        <f t="shared" si="127"/>
        <v>53394.08647425205</v>
      </c>
      <c r="AB341" s="52">
        <f t="shared" si="128"/>
        <v>-1740.2169127445341</v>
      </c>
      <c r="AC341" s="52">
        <f t="shared" si="129"/>
        <v>-71.490756578352261</v>
      </c>
      <c r="AD341" s="52">
        <f t="shared" si="113"/>
        <v>123.43024289152495</v>
      </c>
      <c r="AE341" s="52">
        <f t="shared" si="114"/>
        <v>-107.24508323887264</v>
      </c>
      <c r="AF341" s="52">
        <f t="shared" si="115"/>
        <v>49.387279221327503</v>
      </c>
      <c r="AG341" s="52">
        <f t="shared" si="116"/>
        <v>-27.003127191296802</v>
      </c>
      <c r="AH341" s="52">
        <f t="shared" si="117"/>
        <v>32.871168694661819</v>
      </c>
      <c r="AI341" s="52">
        <f t="shared" si="118"/>
        <v>-32.464373868400976</v>
      </c>
      <c r="AJ341" s="52">
        <f t="shared" si="119"/>
        <v>41.17179497553564</v>
      </c>
      <c r="AK341" s="52">
        <f t="shared" si="120"/>
        <v>-47.777582179174864</v>
      </c>
      <c r="AM341" s="52">
        <f t="shared" si="121"/>
        <v>95665.184345578862</v>
      </c>
      <c r="AN341" s="57">
        <f t="shared" si="122"/>
        <v>61754.191587611371</v>
      </c>
      <c r="AO341" s="57">
        <f t="shared" si="123"/>
        <v>90285.212433574125</v>
      </c>
    </row>
    <row r="342" spans="12:41" x14ac:dyDescent="0.25">
      <c r="L342" s="6">
        <v>339</v>
      </c>
      <c r="M342" s="52">
        <f t="shared" si="109"/>
        <v>24667.902132486008</v>
      </c>
      <c r="N342" s="52">
        <f t="shared" si="110"/>
        <v>5708.1602522734956</v>
      </c>
      <c r="P342" s="6">
        <v>339</v>
      </c>
      <c r="Q342" s="52">
        <f t="shared" si="124"/>
        <v>-16732.468507259793</v>
      </c>
      <c r="R342" s="52">
        <f t="shared" si="125"/>
        <v>8745.7121765914471</v>
      </c>
      <c r="T342" s="6">
        <v>339</v>
      </c>
      <c r="U342" s="52">
        <f t="shared" si="111"/>
        <v>-332.09786751399224</v>
      </c>
      <c r="V342" s="52">
        <f t="shared" si="112"/>
        <v>-16791.839747726503</v>
      </c>
      <c r="X342" s="6">
        <v>338</v>
      </c>
      <c r="Y342" s="55">
        <v>169</v>
      </c>
      <c r="Z342" s="52">
        <f t="shared" si="126"/>
        <v>-64792.515736797279</v>
      </c>
      <c r="AA342" s="52">
        <f t="shared" si="127"/>
        <v>53344.935460558016</v>
      </c>
      <c r="AB342" s="52">
        <f t="shared" si="128"/>
        <v>-1678.5017912987716</v>
      </c>
      <c r="AC342" s="52">
        <f t="shared" si="129"/>
        <v>-125.11329819778858</v>
      </c>
      <c r="AD342" s="52">
        <f t="shared" si="113"/>
        <v>122.44094560742771</v>
      </c>
      <c r="AE342" s="52">
        <f t="shared" si="114"/>
        <v>-104.85380568369855</v>
      </c>
      <c r="AF342" s="52">
        <f t="shared" si="115"/>
        <v>48.781112295924537</v>
      </c>
      <c r="AG342" s="52">
        <f t="shared" si="116"/>
        <v>-26.374579471645291</v>
      </c>
      <c r="AH342" s="52">
        <f t="shared" si="117"/>
        <v>32.600281181643133</v>
      </c>
      <c r="AI342" s="52">
        <f t="shared" si="118"/>
        <v>-31.546722941786726</v>
      </c>
      <c r="AJ342" s="52">
        <f t="shared" si="119"/>
        <v>41.059552129860037</v>
      </c>
      <c r="AK342" s="52">
        <f t="shared" si="120"/>
        <v>-46.932503270266537</v>
      </c>
      <c r="AM342" s="52">
        <f t="shared" si="121"/>
        <v>96392.576645495588</v>
      </c>
      <c r="AN342" s="57">
        <f t="shared" si="122"/>
        <v>62330.994666467275</v>
      </c>
      <c r="AO342" s="57">
        <f t="shared" si="123"/>
        <v>90808.453027474214</v>
      </c>
    </row>
    <row r="343" spans="12:41" x14ac:dyDescent="0.25">
      <c r="L343" s="6">
        <v>340</v>
      </c>
      <c r="M343" s="52">
        <f t="shared" si="109"/>
        <v>24698.463103929542</v>
      </c>
      <c r="N343" s="52">
        <f t="shared" si="110"/>
        <v>5789.8992833716566</v>
      </c>
      <c r="P343" s="6">
        <v>340</v>
      </c>
      <c r="Q343" s="52">
        <f t="shared" si="124"/>
        <v>-16711.075827249319</v>
      </c>
      <c r="R343" s="52">
        <f t="shared" si="125"/>
        <v>8802.9294983601594</v>
      </c>
      <c r="T343" s="6">
        <v>340</v>
      </c>
      <c r="U343" s="52">
        <f t="shared" si="111"/>
        <v>-301.53689607045817</v>
      </c>
      <c r="V343" s="52">
        <f t="shared" si="112"/>
        <v>-16710.100716628342</v>
      </c>
      <c r="X343" s="6">
        <v>339</v>
      </c>
      <c r="Y343" s="55">
        <v>169.5</v>
      </c>
      <c r="Z343" s="52">
        <f t="shared" si="126"/>
        <v>-65616.461514245748</v>
      </c>
      <c r="AA343" s="52">
        <f t="shared" si="127"/>
        <v>53269.272085748664</v>
      </c>
      <c r="AB343" s="52">
        <f t="shared" si="128"/>
        <v>-1617.2813184950578</v>
      </c>
      <c r="AC343" s="52">
        <f t="shared" si="129"/>
        <v>-177.54020103963785</v>
      </c>
      <c r="AD343" s="52">
        <f t="shared" si="113"/>
        <v>121.55081937804641</v>
      </c>
      <c r="AE343" s="52">
        <f t="shared" si="114"/>
        <v>-102.61427762629674</v>
      </c>
      <c r="AF343" s="52">
        <f t="shared" si="115"/>
        <v>48.223429815730107</v>
      </c>
      <c r="AG343" s="52">
        <f t="shared" si="116"/>
        <v>-25.779519979074436</v>
      </c>
      <c r="AH343" s="52">
        <f t="shared" si="117"/>
        <v>32.358160205926069</v>
      </c>
      <c r="AI343" s="52">
        <f t="shared" si="118"/>
        <v>-30.693175043996192</v>
      </c>
      <c r="AJ343" s="52">
        <f t="shared" si="119"/>
        <v>40.96922935639023</v>
      </c>
      <c r="AK343" s="52">
        <f t="shared" si="120"/>
        <v>-46.141582603226105</v>
      </c>
      <c r="AM343" s="52">
        <f t="shared" si="121"/>
        <v>97082.463655799424</v>
      </c>
      <c r="AN343" s="57">
        <f t="shared" si="122"/>
        <v>62873.615037718424</v>
      </c>
      <c r="AO343" s="57">
        <f t="shared" si="123"/>
        <v>91296.489076119557</v>
      </c>
    </row>
    <row r="344" spans="12:41" x14ac:dyDescent="0.25">
      <c r="L344" s="6">
        <v>341</v>
      </c>
      <c r="M344" s="52">
        <f t="shared" si="109"/>
        <v>24727.592877996583</v>
      </c>
      <c r="N344" s="52">
        <f t="shared" si="110"/>
        <v>5872.1592277142126</v>
      </c>
      <c r="P344" s="6">
        <v>341</v>
      </c>
      <c r="Q344" s="52">
        <f t="shared" si="124"/>
        <v>-16690.684985402393</v>
      </c>
      <c r="R344" s="52">
        <f t="shared" si="125"/>
        <v>8860.5114593999479</v>
      </c>
      <c r="T344" s="6">
        <v>341</v>
      </c>
      <c r="U344" s="52">
        <f t="shared" si="111"/>
        <v>-272.4071220034175</v>
      </c>
      <c r="V344" s="52">
        <f t="shared" si="112"/>
        <v>-16627.840772285788</v>
      </c>
      <c r="X344" s="6">
        <v>340</v>
      </c>
      <c r="Y344" s="55">
        <v>170</v>
      </c>
      <c r="Z344" s="52">
        <f t="shared" si="126"/>
        <v>-66409.908321071023</v>
      </c>
      <c r="AA344" s="52">
        <f t="shared" si="127"/>
        <v>53167.675200525562</v>
      </c>
      <c r="AB344" s="52">
        <f t="shared" si="128"/>
        <v>-1556.5059088060345</v>
      </c>
      <c r="AC344" s="52">
        <f t="shared" si="129"/>
        <v>-228.84733985278621</v>
      </c>
      <c r="AD344" s="52">
        <f t="shared" si="113"/>
        <v>120.75601590593875</v>
      </c>
      <c r="AE344" s="52">
        <f t="shared" si="114"/>
        <v>-100.51536158125376</v>
      </c>
      <c r="AF344" s="52">
        <f t="shared" si="115"/>
        <v>47.711393759040639</v>
      </c>
      <c r="AG344" s="52">
        <f t="shared" si="116"/>
        <v>-25.215492943891181</v>
      </c>
      <c r="AH344" s="52">
        <f t="shared" si="117"/>
        <v>32.143996997037114</v>
      </c>
      <c r="AI344" s="52">
        <f t="shared" si="118"/>
        <v>-29.898391792012596</v>
      </c>
      <c r="AJ344" s="52">
        <f t="shared" si="119"/>
        <v>40.900625149861</v>
      </c>
      <c r="AK344" s="52">
        <f t="shared" si="120"/>
        <v>-45.401476845349983</v>
      </c>
      <c r="AM344" s="52">
        <f t="shared" si="121"/>
        <v>97735.402052053774</v>
      </c>
      <c r="AN344" s="57">
        <f t="shared" si="122"/>
        <v>63382.393238093231</v>
      </c>
      <c r="AO344" s="57">
        <f t="shared" si="123"/>
        <v>91749.707259732953</v>
      </c>
    </row>
    <row r="345" spans="12:41" x14ac:dyDescent="0.25">
      <c r="L345" s="6">
        <v>342</v>
      </c>
      <c r="M345" s="52">
        <f t="shared" si="109"/>
        <v>24755.282581475767</v>
      </c>
      <c r="N345" s="52">
        <f t="shared" si="110"/>
        <v>5954.9150281252623</v>
      </c>
      <c r="P345" s="6">
        <v>342</v>
      </c>
      <c r="Q345" s="52">
        <f t="shared" si="124"/>
        <v>-16671.302192966963</v>
      </c>
      <c r="R345" s="52">
        <f t="shared" si="125"/>
        <v>8918.4405196876833</v>
      </c>
      <c r="T345" s="6">
        <v>342</v>
      </c>
      <c r="U345" s="52">
        <f t="shared" si="111"/>
        <v>-244.71741852423202</v>
      </c>
      <c r="V345" s="52">
        <f t="shared" si="112"/>
        <v>-16545.084971874738</v>
      </c>
      <c r="X345" s="6">
        <v>341</v>
      </c>
      <c r="Y345" s="55">
        <v>170.5</v>
      </c>
      <c r="Z345" s="52">
        <f t="shared" si="126"/>
        <v>-67173.066773485785</v>
      </c>
      <c r="AA345" s="52">
        <f t="shared" si="127"/>
        <v>53040.687110401515</v>
      </c>
      <c r="AB345" s="52">
        <f t="shared" si="128"/>
        <v>-1496.1279008530651</v>
      </c>
      <c r="AC345" s="52">
        <f t="shared" si="129"/>
        <v>-279.10502064341307</v>
      </c>
      <c r="AD345" s="52">
        <f t="shared" si="113"/>
        <v>120.05311812055149</v>
      </c>
      <c r="AE345" s="52">
        <f t="shared" si="114"/>
        <v>-98.547045307018919</v>
      </c>
      <c r="AF345" s="52">
        <f t="shared" si="115"/>
        <v>47.242468599873384</v>
      </c>
      <c r="AG345" s="52">
        <f t="shared" si="116"/>
        <v>-24.680266055342912</v>
      </c>
      <c r="AH345" s="52">
        <f t="shared" si="117"/>
        <v>31.957064731662637</v>
      </c>
      <c r="AI345" s="52">
        <f t="shared" si="118"/>
        <v>-29.157612980452441</v>
      </c>
      <c r="AJ345" s="52">
        <f t="shared" si="119"/>
        <v>40.853584789015471</v>
      </c>
      <c r="AK345" s="52">
        <f t="shared" si="120"/>
        <v>-44.709166271223559</v>
      </c>
      <c r="AM345" s="52">
        <f t="shared" si="121"/>
        <v>98351.907725178884</v>
      </c>
      <c r="AN345" s="57">
        <f t="shared" si="122"/>
        <v>63857.6461807921</v>
      </c>
      <c r="AO345" s="57">
        <f t="shared" si="123"/>
        <v>92168.461712648117</v>
      </c>
    </row>
    <row r="346" spans="12:41" x14ac:dyDescent="0.25">
      <c r="L346" s="6">
        <v>343</v>
      </c>
      <c r="M346" s="52">
        <f t="shared" si="109"/>
        <v>24781.523779815179</v>
      </c>
      <c r="N346" s="52">
        <f t="shared" si="110"/>
        <v>6038.1414763863186</v>
      </c>
      <c r="P346" s="6">
        <v>343</v>
      </c>
      <c r="Q346" s="52">
        <f t="shared" si="124"/>
        <v>-16652.933354129374</v>
      </c>
      <c r="R346" s="52">
        <f t="shared" si="125"/>
        <v>8976.6990334704224</v>
      </c>
      <c r="T346" s="6">
        <v>343</v>
      </c>
      <c r="U346" s="52">
        <f t="shared" si="111"/>
        <v>-218.47622018482161</v>
      </c>
      <c r="V346" s="52">
        <f t="shared" si="112"/>
        <v>-16461.858523613682</v>
      </c>
      <c r="X346" s="6">
        <v>342</v>
      </c>
      <c r="Y346" s="55">
        <v>171</v>
      </c>
      <c r="Z346" s="52">
        <f t="shared" si="126"/>
        <v>-67906.124084147246</v>
      </c>
      <c r="AA346" s="52">
        <f t="shared" si="127"/>
        <v>52888.816219416432</v>
      </c>
      <c r="AB346" s="52">
        <f t="shared" si="128"/>
        <v>-1436.1013417927893</v>
      </c>
      <c r="AC346" s="52">
        <f t="shared" si="129"/>
        <v>-328.37854329692254</v>
      </c>
      <c r="AD346" s="52">
        <f t="shared" si="113"/>
        <v>119.43911096701723</v>
      </c>
      <c r="AE346" s="52">
        <f t="shared" si="114"/>
        <v>-96.700310373163958</v>
      </c>
      <c r="AF346" s="52">
        <f t="shared" si="115"/>
        <v>46.814388976863405</v>
      </c>
      <c r="AG346" s="52">
        <f t="shared" si="116"/>
        <v>-24.171805091316923</v>
      </c>
      <c r="AH346" s="52">
        <f t="shared" si="117"/>
        <v>31.796720301016641</v>
      </c>
      <c r="AI346" s="52">
        <f t="shared" si="118"/>
        <v>-28.466583749816738</v>
      </c>
      <c r="AJ346" s="52">
        <f t="shared" si="119"/>
        <v>40.828001689137174</v>
      </c>
      <c r="AK346" s="52">
        <f t="shared" si="120"/>
        <v>-44.061921532030297</v>
      </c>
      <c r="AM346" s="52">
        <f t="shared" si="121"/>
        <v>98932.458219218694</v>
      </c>
      <c r="AN346" s="57">
        <f t="shared" si="122"/>
        <v>64299.667817715752</v>
      </c>
      <c r="AO346" s="57">
        <f t="shared" si="123"/>
        <v>92553.075664527918</v>
      </c>
    </row>
    <row r="347" spans="12:41" x14ac:dyDescent="0.25">
      <c r="L347" s="6">
        <v>344</v>
      </c>
      <c r="M347" s="52">
        <f t="shared" si="109"/>
        <v>24806.308479691594</v>
      </c>
      <c r="N347" s="52">
        <f t="shared" si="110"/>
        <v>6121.8132209150008</v>
      </c>
      <c r="P347" s="6">
        <v>344</v>
      </c>
      <c r="Q347" s="52">
        <f t="shared" si="124"/>
        <v>-16635.584064215884</v>
      </c>
      <c r="R347" s="52">
        <f t="shared" si="125"/>
        <v>9035.2692546405015</v>
      </c>
      <c r="T347" s="6">
        <v>344</v>
      </c>
      <c r="U347" s="52">
        <f t="shared" si="111"/>
        <v>-193.69152030840633</v>
      </c>
      <c r="V347" s="52">
        <f t="shared" si="112"/>
        <v>-16378.186779084999</v>
      </c>
      <c r="X347" s="6">
        <v>343</v>
      </c>
      <c r="Y347" s="55">
        <v>171.5</v>
      </c>
      <c r="Z347" s="52">
        <f t="shared" si="126"/>
        <v>-68609.244866172769</v>
      </c>
      <c r="AA347" s="52">
        <f t="shared" si="127"/>
        <v>52712.53940897133</v>
      </c>
      <c r="AB347" s="52">
        <f t="shared" si="128"/>
        <v>-1376.3817863092806</v>
      </c>
      <c r="AC347" s="52">
        <f t="shared" si="129"/>
        <v>-376.7286984835045</v>
      </c>
      <c r="AD347" s="52">
        <f t="shared" si="113"/>
        <v>118.91135567923156</v>
      </c>
      <c r="AE347" s="52">
        <f t="shared" si="114"/>
        <v>-94.967018756023094</v>
      </c>
      <c r="AF347" s="52">
        <f t="shared" si="115"/>
        <v>46.425131855820332</v>
      </c>
      <c r="AG347" s="52">
        <f t="shared" si="116"/>
        <v>-23.688251793231057</v>
      </c>
      <c r="AH347" s="52">
        <f t="shared" si="117"/>
        <v>31.662405172889823</v>
      </c>
      <c r="AI347" s="52">
        <f t="shared" si="118"/>
        <v>-27.821492237806776</v>
      </c>
      <c r="AJ347" s="52">
        <f t="shared" si="119"/>
        <v>40.823818650521403</v>
      </c>
      <c r="AK347" s="52">
        <f t="shared" si="120"/>
        <v>-43.457274724985268</v>
      </c>
      <c r="AM347" s="52">
        <f t="shared" si="121"/>
        <v>99477.494920012701</v>
      </c>
      <c r="AN347" s="57">
        <f t="shared" si="122"/>
        <v>64708.729775992921</v>
      </c>
      <c r="AO347" s="57">
        <f t="shared" si="123"/>
        <v>92903.842900367803</v>
      </c>
    </row>
    <row r="348" spans="12:41" x14ac:dyDescent="0.25">
      <c r="L348" s="6">
        <v>345</v>
      </c>
      <c r="M348" s="52">
        <f t="shared" si="109"/>
        <v>24829.629131445341</v>
      </c>
      <c r="N348" s="52">
        <f t="shared" si="110"/>
        <v>6205.9047744873969</v>
      </c>
      <c r="P348" s="6">
        <v>345</v>
      </c>
      <c r="Q348" s="52">
        <f t="shared" si="124"/>
        <v>-16619.259607988261</v>
      </c>
      <c r="R348" s="52">
        <f t="shared" si="125"/>
        <v>9094.1333421411782</v>
      </c>
      <c r="T348" s="6">
        <v>345</v>
      </c>
      <c r="U348" s="52">
        <f t="shared" si="111"/>
        <v>-170.37086855465805</v>
      </c>
      <c r="V348" s="52">
        <f t="shared" si="112"/>
        <v>-16294.095225512603</v>
      </c>
      <c r="X348" s="6">
        <v>344</v>
      </c>
      <c r="Y348" s="55">
        <v>172</v>
      </c>
      <c r="Z348" s="52">
        <f t="shared" si="126"/>
        <v>-69282.571839867494</v>
      </c>
      <c r="AA348" s="52">
        <f t="shared" si="127"/>
        <v>52512.304182385073</v>
      </c>
      <c r="AB348" s="52">
        <f t="shared" si="128"/>
        <v>-1316.9261084696648</v>
      </c>
      <c r="AC348" s="52">
        <f t="shared" si="129"/>
        <v>-424.21220786151605</v>
      </c>
      <c r="AD348" s="52">
        <f t="shared" si="113"/>
        <v>118.467567315758</v>
      </c>
      <c r="AE348" s="52">
        <f t="shared" si="114"/>
        <v>-93.33981469611453</v>
      </c>
      <c r="AF348" s="52">
        <f t="shared" si="115"/>
        <v>46.072892519189509</v>
      </c>
      <c r="AG348" s="52">
        <f t="shared" si="116"/>
        <v>-23.227904504763085</v>
      </c>
      <c r="AH348" s="52">
        <f t="shared" si="117"/>
        <v>31.553645709556363</v>
      </c>
      <c r="AI348" s="52">
        <f t="shared" si="118"/>
        <v>-27.21891602626793</v>
      </c>
      <c r="AJ348" s="52">
        <f t="shared" si="119"/>
        <v>40.841029087012124</v>
      </c>
      <c r="AK348" s="52">
        <f t="shared" si="120"/>
        <v>-42.892994165083515</v>
      </c>
      <c r="AM348" s="52">
        <f t="shared" si="121"/>
        <v>99987.425020092705</v>
      </c>
      <c r="AN348" s="57">
        <f t="shared" si="122"/>
        <v>65085.081962361663</v>
      </c>
      <c r="AO348" s="57">
        <f t="shared" si="123"/>
        <v>93221.02905655255</v>
      </c>
    </row>
    <row r="349" spans="12:41" x14ac:dyDescent="0.25">
      <c r="L349" s="6">
        <v>346</v>
      </c>
      <c r="M349" s="52">
        <f t="shared" si="109"/>
        <v>24851.478631379981</v>
      </c>
      <c r="N349" s="52">
        <f t="shared" si="110"/>
        <v>6290.3905220016604</v>
      </c>
      <c r="P349" s="6">
        <v>346</v>
      </c>
      <c r="Q349" s="52">
        <f t="shared" si="124"/>
        <v>-16603.964958034012</v>
      </c>
      <c r="R349" s="52">
        <f t="shared" si="125"/>
        <v>9153.2733654011627</v>
      </c>
      <c r="T349" s="6">
        <v>346</v>
      </c>
      <c r="U349" s="52">
        <f t="shared" si="111"/>
        <v>-148.52136862001771</v>
      </c>
      <c r="V349" s="52">
        <f t="shared" si="112"/>
        <v>-16209.60947799834</v>
      </c>
      <c r="X349" s="6">
        <v>345</v>
      </c>
      <c r="Y349" s="55">
        <v>172.5</v>
      </c>
      <c r="Z349" s="52">
        <f t="shared" si="126"/>
        <v>-69926.226448187852</v>
      </c>
      <c r="AA349" s="52">
        <f t="shared" si="127"/>
        <v>52288.530601617298</v>
      </c>
      <c r="AB349" s="52">
        <f t="shared" si="128"/>
        <v>-1257.6923248117857</v>
      </c>
      <c r="AC349" s="52">
        <f t="shared" si="129"/>
        <v>-470.88211520957333</v>
      </c>
      <c r="AD349" s="52">
        <f t="shared" si="113"/>
        <v>118.105795347759</v>
      </c>
      <c r="AE349" s="52">
        <f t="shared" si="114"/>
        <v>-91.812039520620473</v>
      </c>
      <c r="AF349" s="52">
        <f t="shared" si="115"/>
        <v>45.756063830254334</v>
      </c>
      <c r="AG349" s="52">
        <f t="shared" si="116"/>
        <v>-22.789201170936025</v>
      </c>
      <c r="AH349" s="52">
        <f t="shared" si="117"/>
        <v>31.47005321318284</v>
      </c>
      <c r="AI349" s="52">
        <f t="shared" si="118"/>
        <v>-26.655775992229263</v>
      </c>
      <c r="AJ349" s="52">
        <f t="shared" si="119"/>
        <v>40.879678304321835</v>
      </c>
      <c r="AK349" s="52">
        <f t="shared" si="120"/>
        <v>-42.367062357455183</v>
      </c>
      <c r="AM349" s="52">
        <f t="shared" si="121"/>
        <v>100462.62328180949</v>
      </c>
      <c r="AN349" s="57">
        <f t="shared" si="122"/>
        <v>65428.953130855261</v>
      </c>
      <c r="AO349" s="57">
        <f t="shared" si="123"/>
        <v>93504.872767819732</v>
      </c>
    </row>
    <row r="350" spans="12:41" x14ac:dyDescent="0.25">
      <c r="L350" s="6">
        <v>347</v>
      </c>
      <c r="M350" s="52">
        <f t="shared" si="109"/>
        <v>24871.850323926177</v>
      </c>
      <c r="N350" s="52">
        <f t="shared" si="110"/>
        <v>6375.2447282806734</v>
      </c>
      <c r="P350" s="6">
        <v>347</v>
      </c>
      <c r="Q350" s="52">
        <f t="shared" si="124"/>
        <v>-16589.704773251677</v>
      </c>
      <c r="R350" s="52">
        <f t="shared" si="125"/>
        <v>9212.6713097964712</v>
      </c>
      <c r="T350" s="6">
        <v>347</v>
      </c>
      <c r="U350" s="52">
        <f t="shared" si="111"/>
        <v>-128.14967607382459</v>
      </c>
      <c r="V350" s="52">
        <f t="shared" si="112"/>
        <v>-16124.755271719327</v>
      </c>
      <c r="X350" s="6">
        <v>346</v>
      </c>
      <c r="Y350" s="55">
        <v>173</v>
      </c>
      <c r="Z350" s="52">
        <f t="shared" si="126"/>
        <v>-70540.309386175286</v>
      </c>
      <c r="AA350" s="52">
        <f t="shared" si="127"/>
        <v>52041.613039072436</v>
      </c>
      <c r="AB350" s="52">
        <f t="shared" si="128"/>
        <v>-1198.6394271379063</v>
      </c>
      <c r="AC350" s="52">
        <f t="shared" si="129"/>
        <v>-516.78813496988357</v>
      </c>
      <c r="AD350" s="52">
        <f t="shared" si="113"/>
        <v>117.82440710567531</v>
      </c>
      <c r="AE350" s="52">
        <f t="shared" si="114"/>
        <v>-90.377657517250427</v>
      </c>
      <c r="AF350" s="52">
        <f t="shared" si="115"/>
        <v>45.47321831338418</v>
      </c>
      <c r="AG350" s="52">
        <f t="shared" si="116"/>
        <v>-22.370704357956267</v>
      </c>
      <c r="AH350" s="52">
        <f t="shared" si="117"/>
        <v>31.411323904964831</v>
      </c>
      <c r="AI350" s="52">
        <f t="shared" si="118"/>
        <v>-26.129296411049022</v>
      </c>
      <c r="AJ350" s="52">
        <f t="shared" si="119"/>
        <v>40.939864887326287</v>
      </c>
      <c r="AK350" s="52">
        <f t="shared" si="120"/>
        <v>-41.877656748245137</v>
      </c>
      <c r="AM350" s="52">
        <f t="shared" si="121"/>
        <v>100903.43361782497</v>
      </c>
      <c r="AN350" s="57">
        <f t="shared" si="122"/>
        <v>65740.551410658416</v>
      </c>
      <c r="AO350" s="57">
        <f t="shared" si="123"/>
        <v>93755.586677895117</v>
      </c>
    </row>
    <row r="351" spans="12:41" x14ac:dyDescent="0.25">
      <c r="L351" s="6">
        <v>348</v>
      </c>
      <c r="M351" s="52">
        <f t="shared" si="109"/>
        <v>24890.73800366903</v>
      </c>
      <c r="N351" s="52">
        <f t="shared" si="110"/>
        <v>6460.4415459112006</v>
      </c>
      <c r="P351" s="6">
        <v>348</v>
      </c>
      <c r="Q351" s="52">
        <f t="shared" si="124"/>
        <v>-16576.483397431679</v>
      </c>
      <c r="R351" s="52">
        <f t="shared" si="125"/>
        <v>9272.309082137841</v>
      </c>
      <c r="T351" s="6">
        <v>348</v>
      </c>
      <c r="U351" s="52">
        <f t="shared" si="111"/>
        <v>-109.26199633097167</v>
      </c>
      <c r="V351" s="52">
        <f t="shared" si="112"/>
        <v>-16039.558454088799</v>
      </c>
      <c r="X351" s="6">
        <v>347</v>
      </c>
      <c r="Y351" s="55">
        <v>173.5</v>
      </c>
      <c r="Z351" s="52">
        <f t="shared" si="126"/>
        <v>-71124.901048856031</v>
      </c>
      <c r="AA351" s="52">
        <f t="shared" si="127"/>
        <v>51771.921764397834</v>
      </c>
      <c r="AB351" s="52">
        <f t="shared" si="128"/>
        <v>-1139.7272235850687</v>
      </c>
      <c r="AC351" s="52">
        <f t="shared" si="129"/>
        <v>-561.97696372850874</v>
      </c>
      <c r="AD351" s="52">
        <f t="shared" si="113"/>
        <v>117.62207391302587</v>
      </c>
      <c r="AE351" s="52">
        <f t="shared" si="114"/>
        <v>-89.031191259207645</v>
      </c>
      <c r="AF351" s="52">
        <f t="shared" si="115"/>
        <v>45.223092668277197</v>
      </c>
      <c r="AG351" s="52">
        <f t="shared" si="116"/>
        <v>-21.971088006785994</v>
      </c>
      <c r="AH351" s="52">
        <f t="shared" si="117"/>
        <v>31.377238996708797</v>
      </c>
      <c r="AI351" s="52">
        <f t="shared" si="118"/>
        <v>-25.636970354246984</v>
      </c>
      <c r="AJ351" s="52">
        <f t="shared" si="119"/>
        <v>41.021742248039892</v>
      </c>
      <c r="AK351" s="52">
        <f t="shared" si="120"/>
        <v>-41.423132898174671</v>
      </c>
      <c r="AM351" s="52">
        <f t="shared" si="121"/>
        <v>101310.17050561491</v>
      </c>
      <c r="AN351" s="57">
        <f t="shared" si="122"/>
        <v>66020.064792048594</v>
      </c>
      <c r="AO351" s="57">
        <f t="shared" si="123"/>
        <v>93973.358324750036</v>
      </c>
    </row>
    <row r="352" spans="12:41" x14ac:dyDescent="0.25">
      <c r="L352" s="6">
        <v>349</v>
      </c>
      <c r="M352" s="52">
        <f t="shared" si="109"/>
        <v>24908.13591723832</v>
      </c>
      <c r="N352" s="52">
        <f t="shared" si="110"/>
        <v>6545.9550231172771</v>
      </c>
      <c r="P352" s="6">
        <v>349</v>
      </c>
      <c r="Q352" s="52">
        <f t="shared" si="124"/>
        <v>-16564.304857933177</v>
      </c>
      <c r="R352" s="52">
        <f t="shared" si="125"/>
        <v>9332.1685161820933</v>
      </c>
      <c r="T352" s="6">
        <v>349</v>
      </c>
      <c r="U352" s="52">
        <f t="shared" si="111"/>
        <v>-91.864082761680038</v>
      </c>
      <c r="V352" s="52">
        <f t="shared" si="112"/>
        <v>-15954.044976882724</v>
      </c>
      <c r="X352" s="6">
        <v>348</v>
      </c>
      <c r="Y352" s="55">
        <v>174</v>
      </c>
      <c r="Z352" s="52">
        <f t="shared" si="126"/>
        <v>-71680.061901409441</v>
      </c>
      <c r="AA352" s="52">
        <f t="shared" si="127"/>
        <v>51479.804383626179</v>
      </c>
      <c r="AB352" s="52">
        <f t="shared" si="128"/>
        <v>-1080.9161866285558</v>
      </c>
      <c r="AC352" s="52">
        <f t="shared" si="129"/>
        <v>-606.49255935811254</v>
      </c>
      <c r="AD352" s="52">
        <f t="shared" si="113"/>
        <v>117.49775975979119</v>
      </c>
      <c r="AE352" s="52">
        <f t="shared" si="114"/>
        <v>-87.767665038349378</v>
      </c>
      <c r="AF352" s="52">
        <f t="shared" si="115"/>
        <v>45.004574399330743</v>
      </c>
      <c r="AG352" s="52">
        <f t="shared" si="116"/>
        <v>-21.58912567685001</v>
      </c>
      <c r="AH352" s="52">
        <f t="shared" si="117"/>
        <v>31.3676649794801</v>
      </c>
      <c r="AI352" s="52">
        <f t="shared" si="118"/>
        <v>-25.176529583151897</v>
      </c>
      <c r="AJ352" s="52">
        <f t="shared" si="119"/>
        <v>41.12552038098034</v>
      </c>
      <c r="AK352" s="52">
        <f t="shared" si="120"/>
        <v>-41.002009778347464</v>
      </c>
      <c r="AM352" s="52">
        <f t="shared" si="121"/>
        <v>101683.12025045401</v>
      </c>
      <c r="AN352" s="57">
        <f t="shared" si="122"/>
        <v>66267.661569104763</v>
      </c>
      <c r="AO352" s="57">
        <f t="shared" si="123"/>
        <v>94158.35090984228</v>
      </c>
    </row>
    <row r="353" spans="12:41" x14ac:dyDescent="0.25">
      <c r="L353" s="6">
        <v>350</v>
      </c>
      <c r="M353" s="52">
        <f t="shared" si="109"/>
        <v>24924.038765061039</v>
      </c>
      <c r="N353" s="52">
        <f t="shared" si="110"/>
        <v>6631.7591116653439</v>
      </c>
      <c r="P353" s="6">
        <v>350</v>
      </c>
      <c r="Q353" s="52">
        <f t="shared" si="124"/>
        <v>-16553.172864457272</v>
      </c>
      <c r="R353" s="52">
        <f t="shared" si="125"/>
        <v>9392.2313781657413</v>
      </c>
      <c r="T353" s="6">
        <v>350</v>
      </c>
      <c r="U353" s="52">
        <f t="shared" si="111"/>
        <v>-75.961234938960843</v>
      </c>
      <c r="V353" s="52">
        <f t="shared" si="112"/>
        <v>-15868.240888334656</v>
      </c>
      <c r="X353" s="6">
        <v>349</v>
      </c>
      <c r="Y353" s="55">
        <v>174.5</v>
      </c>
      <c r="Z353" s="52">
        <f t="shared" si="126"/>
        <v>-72205.832774753741</v>
      </c>
      <c r="AA353" s="52">
        <f t="shared" si="127"/>
        <v>51165.587145817328</v>
      </c>
      <c r="AB353" s="52">
        <f t="shared" si="128"/>
        <v>-1022.1673067486602</v>
      </c>
      <c r="AC353" s="52">
        <f t="shared" si="129"/>
        <v>-650.37639187728723</v>
      </c>
      <c r="AD353" s="52">
        <f t="shared" si="113"/>
        <v>117.45071239326282</v>
      </c>
      <c r="AE353" s="52">
        <f t="shared" si="114"/>
        <v>-86.582555275696848</v>
      </c>
      <c r="AF353" s="52">
        <f t="shared" si="115"/>
        <v>44.816690293621598</v>
      </c>
      <c r="AG353" s="52">
        <f t="shared" si="116"/>
        <v>-21.223680072211852</v>
      </c>
      <c r="AH353" s="52">
        <f t="shared" si="117"/>
        <v>31.382554229988308</v>
      </c>
      <c r="AI353" s="52">
        <f t="shared" si="118"/>
        <v>-24.74591826907249</v>
      </c>
      <c r="AJ353" s="52">
        <f t="shared" si="119"/>
        <v>41.251467869652906</v>
      </c>
      <c r="AK353" s="52">
        <f t="shared" si="120"/>
        <v>-40.612956934412509</v>
      </c>
      <c r="AM353" s="52">
        <f t="shared" si="121"/>
        <v>102022.54210945158</v>
      </c>
      <c r="AN353" s="57">
        <f t="shared" si="122"/>
        <v>66483.490738418899</v>
      </c>
      <c r="AO353" s="57">
        <f t="shared" si="123"/>
        <v>94310.703959300983</v>
      </c>
    </row>
    <row r="354" spans="12:41" x14ac:dyDescent="0.25">
      <c r="L354" s="6">
        <v>351</v>
      </c>
      <c r="M354" s="52">
        <f t="shared" si="109"/>
        <v>24938.441702975688</v>
      </c>
      <c r="N354" s="52">
        <f t="shared" si="110"/>
        <v>6717.8276747988448</v>
      </c>
      <c r="P354" s="6">
        <v>351</v>
      </c>
      <c r="Q354" s="52">
        <f t="shared" si="124"/>
        <v>-16543.090807917019</v>
      </c>
      <c r="R354" s="52">
        <f t="shared" si="125"/>
        <v>9452.4793723591902</v>
      </c>
      <c r="T354" s="6">
        <v>351</v>
      </c>
      <c r="U354" s="52">
        <f t="shared" si="111"/>
        <v>-61.558297024311287</v>
      </c>
      <c r="V354" s="52">
        <f t="shared" si="112"/>
        <v>-15782.172325201156</v>
      </c>
      <c r="X354" s="6">
        <v>350</v>
      </c>
      <c r="Y354" s="55">
        <v>175</v>
      </c>
      <c r="Z354" s="52">
        <f t="shared" si="126"/>
        <v>-72702.235089078909</v>
      </c>
      <c r="AA354" s="52">
        <f t="shared" si="127"/>
        <v>50829.576130469221</v>
      </c>
      <c r="AB354" s="52">
        <f t="shared" si="128"/>
        <v>-963.44195055202874</v>
      </c>
      <c r="AC354" s="52">
        <f t="shared" si="129"/>
        <v>-693.66766951513569</v>
      </c>
      <c r="AD354" s="52">
        <f t="shared" si="113"/>
        <v>117.48045673045647</v>
      </c>
      <c r="AE354" s="52">
        <f t="shared" si="114"/>
        <v>-85.471746953781661</v>
      </c>
      <c r="AF354" s="52">
        <f t="shared" si="115"/>
        <v>44.658596524650179</v>
      </c>
      <c r="AG354" s="52">
        <f t="shared" si="116"/>
        <v>-20.873693672383759</v>
      </c>
      <c r="AH354" s="52">
        <f t="shared" si="117"/>
        <v>31.421946019174445</v>
      </c>
      <c r="AI354" s="52">
        <f t="shared" si="118"/>
        <v>-24.343269976859716</v>
      </c>
      <c r="AJ354" s="52">
        <f t="shared" si="119"/>
        <v>41.399914186631854</v>
      </c>
      <c r="AK354" s="52">
        <f t="shared" si="120"/>
        <v>-40.254783304538194</v>
      </c>
      <c r="AM354" s="52">
        <f t="shared" si="121"/>
        <v>102328.66928753145</v>
      </c>
      <c r="AN354" s="57">
        <f t="shared" si="122"/>
        <v>66667.6823534336</v>
      </c>
      <c r="AO354" s="57">
        <f t="shared" si="123"/>
        <v>94430.53388377167</v>
      </c>
    </row>
    <row r="355" spans="12:41" x14ac:dyDescent="0.25">
      <c r="L355" s="6">
        <v>352</v>
      </c>
      <c r="M355" s="52">
        <f t="shared" si="109"/>
        <v>24951.340343707852</v>
      </c>
      <c r="N355" s="52">
        <f t="shared" si="110"/>
        <v>6804.1344951996707</v>
      </c>
      <c r="P355" s="6">
        <v>352</v>
      </c>
      <c r="Q355" s="52">
        <f t="shared" si="124"/>
        <v>-16534.061759404503</v>
      </c>
      <c r="R355" s="52">
        <f t="shared" si="125"/>
        <v>9512.89414663977</v>
      </c>
      <c r="T355" s="6">
        <v>352</v>
      </c>
      <c r="U355" s="52">
        <f t="shared" si="111"/>
        <v>-48.659656292148611</v>
      </c>
      <c r="V355" s="52">
        <f t="shared" si="112"/>
        <v>-15695.865504800329</v>
      </c>
      <c r="X355" s="6">
        <v>351</v>
      </c>
      <c r="Y355" s="55">
        <v>175.5</v>
      </c>
      <c r="Z355" s="52">
        <f t="shared" si="126"/>
        <v>-73169.271007263611</v>
      </c>
      <c r="AA355" s="52">
        <f t="shared" si="127"/>
        <v>50472.058327342427</v>
      </c>
      <c r="AB355" s="52">
        <f t="shared" si="128"/>
        <v>-904.70172218680045</v>
      </c>
      <c r="AC355" s="52">
        <f t="shared" si="129"/>
        <v>-736.40354299202647</v>
      </c>
      <c r="AD355" s="52">
        <f t="shared" si="113"/>
        <v>117.58679052287556</v>
      </c>
      <c r="AE355" s="52">
        <f t="shared" si="114"/>
        <v>-84.431495260709113</v>
      </c>
      <c r="AF355" s="52">
        <f t="shared" si="115"/>
        <v>44.529570195614532</v>
      </c>
      <c r="AG355" s="52">
        <f t="shared" si="116"/>
        <v>-20.538180314711866</v>
      </c>
      <c r="AH355" s="52">
        <f t="shared" si="117"/>
        <v>31.485967997277854</v>
      </c>
      <c r="AI355" s="52">
        <f t="shared" si="118"/>
        <v>-23.966887435875886</v>
      </c>
      <c r="AJ355" s="52">
        <f t="shared" si="119"/>
        <v>41.571252329983167</v>
      </c>
      <c r="AK355" s="52">
        <f t="shared" si="120"/>
        <v>-39.92642751012135</v>
      </c>
      <c r="AM355" s="52">
        <f t="shared" si="121"/>
        <v>102601.709814766</v>
      </c>
      <c r="AN355" s="57">
        <f t="shared" si="122"/>
        <v>66820.347834291097</v>
      </c>
      <c r="AO355" s="57">
        <f t="shared" si="123"/>
        <v>94517.934442520913</v>
      </c>
    </row>
    <row r="356" spans="12:41" x14ac:dyDescent="0.25">
      <c r="L356" s="6">
        <v>353</v>
      </c>
      <c r="M356" s="52">
        <f t="shared" si="109"/>
        <v>24962.73075820661</v>
      </c>
      <c r="N356" s="52">
        <f t="shared" si="110"/>
        <v>6890.6532829742591</v>
      </c>
      <c r="P356" s="6">
        <v>353</v>
      </c>
      <c r="Q356" s="52">
        <f t="shared" si="124"/>
        <v>-16526.088469255374</v>
      </c>
      <c r="R356" s="52">
        <f t="shared" si="125"/>
        <v>9573.4572980819812</v>
      </c>
      <c r="T356" s="6">
        <v>353</v>
      </c>
      <c r="U356" s="52">
        <f t="shared" si="111"/>
        <v>-37.269241793390393</v>
      </c>
      <c r="V356" s="52">
        <f t="shared" si="112"/>
        <v>-15609.346717025741</v>
      </c>
      <c r="X356" s="6">
        <v>352</v>
      </c>
      <c r="Y356" s="55">
        <v>176</v>
      </c>
      <c r="Z356" s="52">
        <f t="shared" si="126"/>
        <v>-73606.92351954164</v>
      </c>
      <c r="AA356" s="52">
        <f t="shared" si="127"/>
        <v>50093.302618938826</v>
      </c>
      <c r="AB356" s="52">
        <f t="shared" si="128"/>
        <v>-845.90832692536264</v>
      </c>
      <c r="AC356" s="52">
        <f t="shared" si="129"/>
        <v>-778.61929062238107</v>
      </c>
      <c r="AD356" s="52">
        <f t="shared" si="113"/>
        <v>117.76978223155075</v>
      </c>
      <c r="AE356" s="52">
        <f t="shared" si="114"/>
        <v>-83.458391756696159</v>
      </c>
      <c r="AF356" s="52">
        <f t="shared" si="115"/>
        <v>44.429002166912248</v>
      </c>
      <c r="AG356" s="52">
        <f t="shared" si="116"/>
        <v>-20.216217595888878</v>
      </c>
      <c r="AH356" s="52">
        <f t="shared" si="117"/>
        <v>31.574838224286083</v>
      </c>
      <c r="AI356" s="52">
        <f t="shared" si="118"/>
        <v>-23.615224694042716</v>
      </c>
      <c r="AJ356" s="52">
        <f t="shared" si="119"/>
        <v>41.765941840352411</v>
      </c>
      <c r="AK356" s="52">
        <f t="shared" si="120"/>
        <v>-39.626949466764565</v>
      </c>
      <c r="AM356" s="52">
        <f t="shared" si="121"/>
        <v>102841.84731315273</v>
      </c>
      <c r="AN356" s="57">
        <f t="shared" si="122"/>
        <v>66941.580233243629</v>
      </c>
      <c r="AO356" s="57">
        <f t="shared" si="123"/>
        <v>94572.97711638872</v>
      </c>
    </row>
    <row r="357" spans="12:41" x14ac:dyDescent="0.25">
      <c r="L357" s="6">
        <v>354</v>
      </c>
      <c r="M357" s="52">
        <f t="shared" si="109"/>
        <v>24972.609476841368</v>
      </c>
      <c r="N357" s="52">
        <f t="shared" si="110"/>
        <v>6977.3576836617331</v>
      </c>
      <c r="P357" s="6">
        <v>354</v>
      </c>
      <c r="Q357" s="52">
        <f t="shared" si="124"/>
        <v>-16519.173366211042</v>
      </c>
      <c r="R357" s="52">
        <f t="shared" si="125"/>
        <v>9634.1503785632121</v>
      </c>
      <c r="T357" s="6">
        <v>354</v>
      </c>
      <c r="U357" s="52">
        <f t="shared" si="111"/>
        <v>-27.390523158633187</v>
      </c>
      <c r="V357" s="52">
        <f t="shared" si="112"/>
        <v>-15522.642316338268</v>
      </c>
      <c r="X357" s="6">
        <v>353</v>
      </c>
      <c r="Y357" s="55">
        <v>176.5</v>
      </c>
      <c r="Z357" s="52">
        <f t="shared" si="126"/>
        <v>-74015.156460225378</v>
      </c>
      <c r="AA357" s="52">
        <f t="shared" si="127"/>
        <v>49693.560674658045</v>
      </c>
      <c r="AB357" s="52">
        <f t="shared" si="128"/>
        <v>-787.02343580958723</v>
      </c>
      <c r="AC357" s="52">
        <f t="shared" si="129"/>
        <v>-820.34848650072911</v>
      </c>
      <c r="AD357" s="52">
        <f t="shared" si="113"/>
        <v>118.02977109800642</v>
      </c>
      <c r="AE357" s="52">
        <f t="shared" si="114"/>
        <v>-82.549334474595923</v>
      </c>
      <c r="AF357" s="52">
        <f t="shared" si="115"/>
        <v>44.356391038883842</v>
      </c>
      <c r="AG357" s="52">
        <f t="shared" si="116"/>
        <v>-19.906939977276906</v>
      </c>
      <c r="AH357" s="52">
        <f t="shared" si="117"/>
        <v>31.68886781317158</v>
      </c>
      <c r="AI357" s="52">
        <f t="shared" si="118"/>
        <v>-23.286871309529037</v>
      </c>
      <c r="AJ357" s="52">
        <f t="shared" si="119"/>
        <v>41.984512245950988</v>
      </c>
      <c r="AK357" s="52">
        <f t="shared" si="120"/>
        <v>-39.355523187789991</v>
      </c>
      <c r="AM357" s="52">
        <f t="shared" si="121"/>
        <v>103049.24165973619</v>
      </c>
      <c r="AN357" s="57">
        <f t="shared" si="122"/>
        <v>67031.454455765663</v>
      </c>
      <c r="AO357" s="57">
        <f t="shared" si="123"/>
        <v>94595.711393250007</v>
      </c>
    </row>
    <row r="358" spans="12:41" x14ac:dyDescent="0.25">
      <c r="L358" s="6">
        <v>355</v>
      </c>
      <c r="M358" s="52">
        <f t="shared" si="109"/>
        <v>24980.973490458728</v>
      </c>
      <c r="N358" s="52">
        <f t="shared" si="110"/>
        <v>7064.2212862617089</v>
      </c>
      <c r="P358" s="6">
        <v>355</v>
      </c>
      <c r="Q358" s="52">
        <f t="shared" si="124"/>
        <v>-16513.318556678889</v>
      </c>
      <c r="R358" s="52">
        <f t="shared" si="125"/>
        <v>9694.9549003831962</v>
      </c>
      <c r="T358" s="6">
        <v>355</v>
      </c>
      <c r="U358" s="52">
        <f t="shared" si="111"/>
        <v>-19.026509541272389</v>
      </c>
      <c r="V358" s="52">
        <f t="shared" si="112"/>
        <v>-15435.778713738291</v>
      </c>
      <c r="X358" s="6">
        <v>354</v>
      </c>
      <c r="Y358" s="55">
        <v>177</v>
      </c>
      <c r="Z358" s="52">
        <f t="shared" si="126"/>
        <v>-74393.914456742918</v>
      </c>
      <c r="AA358" s="52">
        <f t="shared" si="127"/>
        <v>49273.067764598352</v>
      </c>
      <c r="AB358" s="52">
        <f t="shared" si="128"/>
        <v>-728.008550260584</v>
      </c>
      <c r="AC358" s="52">
        <f t="shared" si="129"/>
        <v>-861.6231537380271</v>
      </c>
      <c r="AD358" s="52">
        <f t="shared" si="113"/>
        <v>118.36736942542103</v>
      </c>
      <c r="AE358" s="52">
        <f t="shared" si="114"/>
        <v>-81.701501450045527</v>
      </c>
      <c r="AF358" s="52">
        <f t="shared" si="115"/>
        <v>44.311338183439375</v>
      </c>
      <c r="AG358" s="52">
        <f t="shared" si="116"/>
        <v>-19.609532492956404</v>
      </c>
      <c r="AH358" s="52">
        <f t="shared" si="117"/>
        <v>31.82846425517987</v>
      </c>
      <c r="AI358" s="52">
        <f t="shared" si="118"/>
        <v>-22.980538283025144</v>
      </c>
      <c r="AJ358" s="52">
        <f t="shared" si="119"/>
        <v>42.22756698680179</v>
      </c>
      <c r="AK358" s="52">
        <f t="shared" si="120"/>
        <v>-39.111430674063989</v>
      </c>
      <c r="AM358" s="52">
        <f t="shared" si="121"/>
        <v>103224.02955190533</v>
      </c>
      <c r="AN358" s="57">
        <f t="shared" si="122"/>
        <v>67090.027437542463</v>
      </c>
      <c r="AO358" s="57">
        <f t="shared" si="123"/>
        <v>94586.164968786034</v>
      </c>
    </row>
    <row r="359" spans="12:41" x14ac:dyDescent="0.25">
      <c r="L359" s="6">
        <v>356</v>
      </c>
      <c r="M359" s="52">
        <f t="shared" si="109"/>
        <v>24987.820251299123</v>
      </c>
      <c r="N359" s="52">
        <f t="shared" si="110"/>
        <v>7151.2176312793763</v>
      </c>
      <c r="P359" s="6">
        <v>356</v>
      </c>
      <c r="Q359" s="52">
        <f t="shared" si="124"/>
        <v>-16508.525824090615</v>
      </c>
      <c r="R359" s="52">
        <f t="shared" si="125"/>
        <v>9755.8523418955629</v>
      </c>
      <c r="T359" s="6">
        <v>356</v>
      </c>
      <c r="U359" s="52">
        <f t="shared" si="111"/>
        <v>-12.179748700878008</v>
      </c>
      <c r="V359" s="52">
        <f t="shared" si="112"/>
        <v>-15348.782368720624</v>
      </c>
      <c r="X359" s="6">
        <v>355</v>
      </c>
      <c r="Y359" s="55">
        <v>177.5</v>
      </c>
      <c r="Z359" s="52">
        <f t="shared" si="126"/>
        <v>-74743.122810695044</v>
      </c>
      <c r="AA359" s="52">
        <f t="shared" si="127"/>
        <v>48832.043500048087</v>
      </c>
      <c r="AB359" s="52">
        <f t="shared" si="128"/>
        <v>-668.82486554787351</v>
      </c>
      <c r="AC359" s="52">
        <f t="shared" si="129"/>
        <v>-902.47390446304985</v>
      </c>
      <c r="AD359" s="52">
        <f t="shared" si="113"/>
        <v>118.78346711404291</v>
      </c>
      <c r="AE359" s="52">
        <f t="shared" si="114"/>
        <v>-80.912327247150486</v>
      </c>
      <c r="AF359" s="52">
        <f t="shared" si="115"/>
        <v>44.293543737791808</v>
      </c>
      <c r="AG359" s="52">
        <f t="shared" si="116"/>
        <v>-19.323224971164148</v>
      </c>
      <c r="AH359" s="52">
        <f t="shared" si="117"/>
        <v>31.994135501217993</v>
      </c>
      <c r="AI359" s="52">
        <f t="shared" si="118"/>
        <v>-22.69504547312755</v>
      </c>
      <c r="AJ359" s="52">
        <f t="shared" si="119"/>
        <v>42.495787875033109</v>
      </c>
      <c r="AK359" s="52">
        <f t="shared" si="120"/>
        <v>-38.894056802858785</v>
      </c>
      <c r="AM359" s="52">
        <f t="shared" si="121"/>
        <v>103366.32497971624</v>
      </c>
      <c r="AN359" s="57">
        <f t="shared" si="122"/>
        <v>67117.338277500749</v>
      </c>
      <c r="AO359" s="57">
        <f t="shared" si="123"/>
        <v>94544.343864557668</v>
      </c>
    </row>
    <row r="360" spans="12:41" x14ac:dyDescent="0.25">
      <c r="L360" s="6">
        <v>357</v>
      </c>
      <c r="M360" s="52">
        <f t="shared" si="109"/>
        <v>24993.14767377287</v>
      </c>
      <c r="N360" s="52">
        <f t="shared" si="110"/>
        <v>7238.3202187852785</v>
      </c>
      <c r="P360" s="6">
        <v>357</v>
      </c>
      <c r="Q360" s="52">
        <f t="shared" si="124"/>
        <v>-16504.796628358992</v>
      </c>
      <c r="R360" s="52">
        <f t="shared" si="125"/>
        <v>9816.8241531496951</v>
      </c>
      <c r="T360" s="6">
        <v>357</v>
      </c>
      <c r="U360" s="52">
        <f t="shared" si="111"/>
        <v>-6.8523262271310159</v>
      </c>
      <c r="V360" s="52">
        <f t="shared" si="112"/>
        <v>-15261.679781214722</v>
      </c>
      <c r="X360" s="6">
        <v>356</v>
      </c>
      <c r="Y360" s="55">
        <v>178</v>
      </c>
      <c r="Z360" s="52">
        <f t="shared" si="126"/>
        <v>-75062.687310079724</v>
      </c>
      <c r="AA360" s="52">
        <f t="shared" si="127"/>
        <v>48370.692506910666</v>
      </c>
      <c r="AB360" s="52">
        <f t="shared" si="128"/>
        <v>-609.43313199085208</v>
      </c>
      <c r="AC360" s="52">
        <f t="shared" si="129"/>
        <v>-942.93006808662506</v>
      </c>
      <c r="AD360" s="52">
        <f t="shared" si="113"/>
        <v>119.27923852651548</v>
      </c>
      <c r="AE360" s="52">
        <f t="shared" si="114"/>
        <v>-80.179482104374614</v>
      </c>
      <c r="AF360" s="52">
        <f t="shared" si="115"/>
        <v>44.302803490762656</v>
      </c>
      <c r="AG360" s="52">
        <f t="shared" si="116"/>
        <v>-19.047286689454417</v>
      </c>
      <c r="AH360" s="52">
        <f t="shared" si="117"/>
        <v>32.186494880956424</v>
      </c>
      <c r="AI360" s="52">
        <f t="shared" si="118"/>
        <v>-22.429310269539862</v>
      </c>
      <c r="AJ360" s="52">
        <f t="shared" si="119"/>
        <v>42.789940154796398</v>
      </c>
      <c r="AK360" s="52">
        <f t="shared" si="120"/>
        <v>-38.702885145380336</v>
      </c>
      <c r="AM360" s="52">
        <f t="shared" si="121"/>
        <v>103476.21960918575</v>
      </c>
      <c r="AN360" s="57">
        <f t="shared" si="122"/>
        <v>67113.408327006502</v>
      </c>
      <c r="AO360" s="57">
        <f t="shared" si="123"/>
        <v>94470.232464599292</v>
      </c>
    </row>
    <row r="361" spans="12:41" x14ac:dyDescent="0.25">
      <c r="L361" s="6">
        <v>358</v>
      </c>
      <c r="M361" s="52">
        <f t="shared" si="109"/>
        <v>24996.954135095479</v>
      </c>
      <c r="N361" s="52">
        <f t="shared" si="110"/>
        <v>7325.502516487496</v>
      </c>
      <c r="P361" s="6">
        <v>358</v>
      </c>
      <c r="Q361" s="52">
        <f t="shared" si="124"/>
        <v>-16502.132105433164</v>
      </c>
      <c r="R361" s="52">
        <f t="shared" si="125"/>
        <v>9877.8517615412475</v>
      </c>
      <c r="T361" s="6">
        <v>358</v>
      </c>
      <c r="U361" s="52">
        <f t="shared" si="111"/>
        <v>-3.0458649045212951</v>
      </c>
      <c r="V361" s="52">
        <f t="shared" si="112"/>
        <v>-15174.497483512505</v>
      </c>
      <c r="X361" s="6">
        <v>357</v>
      </c>
      <c r="Y361" s="55">
        <v>178.5</v>
      </c>
      <c r="Z361" s="52">
        <f t="shared" si="126"/>
        <v>-75352.493971259333</v>
      </c>
      <c r="AA361" s="52">
        <f t="shared" si="127"/>
        <v>47889.205037604304</v>
      </c>
      <c r="AB361" s="52">
        <f t="shared" si="128"/>
        <v>-549.79351272759436</v>
      </c>
      <c r="AC361" s="52">
        <f t="shared" si="129"/>
        <v>-983.01980913881232</v>
      </c>
      <c r="AD361" s="52">
        <f t="shared" si="113"/>
        <v>119.85615179260807</v>
      </c>
      <c r="AE361" s="52">
        <f t="shared" si="114"/>
        <v>-79.500853374276261</v>
      </c>
      <c r="AF361" s="52">
        <f t="shared" si="115"/>
        <v>44.339006607433561</v>
      </c>
      <c r="AG361" s="52">
        <f t="shared" si="116"/>
        <v>-18.781021391754109</v>
      </c>
      <c r="AH361" s="52">
        <f t="shared" si="117"/>
        <v>32.406266951520486</v>
      </c>
      <c r="AI361" s="52">
        <f t="shared" si="118"/>
        <v>-22.182337324620551</v>
      </c>
      <c r="AJ361" s="52">
        <f t="shared" si="119"/>
        <v>43.110878233654041</v>
      </c>
      <c r="AK361" s="52">
        <f t="shared" si="120"/>
        <v>-38.537494657901604</v>
      </c>
      <c r="AM361" s="52">
        <f t="shared" si="121"/>
        <v>103553.78307965715</v>
      </c>
      <c r="AN361" s="57">
        <f t="shared" si="122"/>
        <v>67078.241235291192</v>
      </c>
      <c r="AO361" s="57">
        <f t="shared" si="123"/>
        <v>94363.793471001976</v>
      </c>
    </row>
    <row r="362" spans="12:41" x14ac:dyDescent="0.25">
      <c r="L362" s="6">
        <v>359</v>
      </c>
      <c r="M362" s="52">
        <f t="shared" si="109"/>
        <v>24999.238475781956</v>
      </c>
      <c r="N362" s="52">
        <f t="shared" si="110"/>
        <v>7412.7379678135776</v>
      </c>
      <c r="P362" s="6">
        <v>359</v>
      </c>
      <c r="Q362" s="52">
        <f t="shared" si="124"/>
        <v>-16500.53306695263</v>
      </c>
      <c r="R362" s="52">
        <f t="shared" si="125"/>
        <v>9938.9165774695048</v>
      </c>
      <c r="T362" s="6">
        <v>359</v>
      </c>
      <c r="U362" s="52">
        <f t="shared" si="111"/>
        <v>-0.76152421804363257</v>
      </c>
      <c r="V362" s="52">
        <f t="shared" si="112"/>
        <v>-15087.262032186421</v>
      </c>
      <c r="X362" s="6">
        <v>358</v>
      </c>
      <c r="Y362" s="55">
        <v>179</v>
      </c>
      <c r="Z362" s="52">
        <f t="shared" si="126"/>
        <v>-75612.408708649062</v>
      </c>
      <c r="AA362" s="52">
        <f t="shared" si="127"/>
        <v>47387.757526363115</v>
      </c>
      <c r="AB362" s="52">
        <f t="shared" si="128"/>
        <v>-489.86543683129031</v>
      </c>
      <c r="AC362" s="52">
        <f t="shared" si="129"/>
        <v>-1022.7702358259504</v>
      </c>
      <c r="AD362" s="52">
        <f t="shared" si="113"/>
        <v>120.51598069975944</v>
      </c>
      <c r="AE362" s="52">
        <f t="shared" si="114"/>
        <v>-78.874528971426685</v>
      </c>
      <c r="AF362" s="52">
        <f t="shared" si="115"/>
        <v>44.402134151801846</v>
      </c>
      <c r="AG362" s="52">
        <f t="shared" si="116"/>
        <v>-18.523762601745915</v>
      </c>
      <c r="AH362" s="52">
        <f t="shared" si="117"/>
        <v>32.65429438074127</v>
      </c>
      <c r="AI362" s="52">
        <f t="shared" si="118"/>
        <v>-21.95320916412242</v>
      </c>
      <c r="AJ362" s="52">
        <f t="shared" si="119"/>
        <v>43.459552167216316</v>
      </c>
      <c r="AK362" s="52">
        <f t="shared" si="120"/>
        <v>-38.397557205558357</v>
      </c>
      <c r="AM362" s="52">
        <f t="shared" si="121"/>
        <v>103599.06321753922</v>
      </c>
      <c r="AN362" s="57">
        <f t="shared" si="122"/>
        <v>67011.822951087874</v>
      </c>
      <c r="AO362" s="57">
        <f t="shared" si="123"/>
        <v>94224.967778214588</v>
      </c>
    </row>
    <row r="363" spans="12:41" x14ac:dyDescent="0.25">
      <c r="L363" s="6">
        <v>360</v>
      </c>
      <c r="M363" s="52">
        <f t="shared" si="109"/>
        <v>25000</v>
      </c>
      <c r="N363" s="52">
        <f t="shared" si="110"/>
        <v>7499.9999999999991</v>
      </c>
      <c r="P363" s="6">
        <v>360</v>
      </c>
      <c r="Q363" s="52">
        <f t="shared" si="124"/>
        <v>-16500</v>
      </c>
      <c r="R363" s="52">
        <f t="shared" si="125"/>
        <v>10000</v>
      </c>
      <c r="T363" s="6">
        <v>360</v>
      </c>
      <c r="U363" s="52">
        <f t="shared" si="111"/>
        <v>0</v>
      </c>
      <c r="V363" s="52">
        <f t="shared" si="112"/>
        <v>-15000.000000000002</v>
      </c>
      <c r="X363" s="6">
        <v>359</v>
      </c>
      <c r="Y363" s="55">
        <v>179.5</v>
      </c>
      <c r="Z363" s="52">
        <f t="shared" si="126"/>
        <v>-75842.27692947723</v>
      </c>
      <c r="AA363" s="52">
        <f t="shared" si="127"/>
        <v>46866.513092328707</v>
      </c>
      <c r="AB363" s="52">
        <f t="shared" si="128"/>
        <v>-429.60744648141059</v>
      </c>
      <c r="AC363" s="52">
        <f t="shared" si="129"/>
        <v>-1062.2075003116638</v>
      </c>
      <c r="AD363" s="52">
        <f t="shared" si="113"/>
        <v>121.26081935655469</v>
      </c>
      <c r="AE363" s="52">
        <f t="shared" si="114"/>
        <v>-78.298782576344223</v>
      </c>
      <c r="AF363" s="52">
        <f t="shared" si="115"/>
        <v>44.492258379872375</v>
      </c>
      <c r="AG363" s="52">
        <f t="shared" si="116"/>
        <v>-18.27486917185108</v>
      </c>
      <c r="AH363" s="52">
        <f t="shared" si="117"/>
        <v>32.931545986048896</v>
      </c>
      <c r="AI363" s="52">
        <f t="shared" si="118"/>
        <v>-21.741077513342397</v>
      </c>
      <c r="AJ363" s="52">
        <f t="shared" si="119"/>
        <v>43.837014990633421</v>
      </c>
      <c r="AK363" s="52">
        <f t="shared" si="120"/>
        <v>-38.282835891150754</v>
      </c>
      <c r="AM363" s="52">
        <f t="shared" si="121"/>
        <v>103612.0861679519</v>
      </c>
      <c r="AN363" s="57">
        <f t="shared" si="122"/>
        <v>66914.121680369295</v>
      </c>
      <c r="AO363" s="57">
        <f t="shared" si="123"/>
        <v>94053.674265049427</v>
      </c>
    </row>
    <row r="364" spans="12:41" x14ac:dyDescent="0.25">
      <c r="L364" s="6">
        <v>361</v>
      </c>
      <c r="M364" s="52">
        <f t="shared" si="109"/>
        <v>24999.238475781956</v>
      </c>
      <c r="N364" s="52">
        <f t="shared" si="110"/>
        <v>7587.2620321864151</v>
      </c>
      <c r="P364" s="6">
        <v>361</v>
      </c>
      <c r="Q364" s="52">
        <f t="shared" si="124"/>
        <v>-16500.53306695263</v>
      </c>
      <c r="R364" s="52">
        <f t="shared" si="125"/>
        <v>10061.083422530492</v>
      </c>
      <c r="T364" s="6">
        <v>361</v>
      </c>
      <c r="U364" s="52">
        <f t="shared" si="111"/>
        <v>-0.76152421804363257</v>
      </c>
      <c r="V364" s="52">
        <f t="shared" si="112"/>
        <v>-14912.737967813584</v>
      </c>
      <c r="X364" s="6">
        <v>360</v>
      </c>
      <c r="Y364" s="55">
        <v>180</v>
      </c>
      <c r="Z364" s="52">
        <f t="shared" si="126"/>
        <v>-76041.92305029837</v>
      </c>
      <c r="AA364" s="52">
        <f t="shared" si="127"/>
        <v>46325.621994350833</v>
      </c>
      <c r="AB364" s="52">
        <f t="shared" si="128"/>
        <v>-368.97703680313327</v>
      </c>
      <c r="AC364" s="52">
        <f t="shared" si="129"/>
        <v>-1101.356891599836</v>
      </c>
      <c r="AD364" s="52">
        <f t="shared" si="113"/>
        <v>122.0930998618182</v>
      </c>
      <c r="AE364" s="52">
        <f t="shared" si="114"/>
        <v>-77.772060370481967</v>
      </c>
      <c r="AF364" s="52">
        <f t="shared" si="115"/>
        <v>44.609542787651016</v>
      </c>
      <c r="AG364" s="52">
        <f t="shared" si="116"/>
        <v>-18.033721010637105</v>
      </c>
      <c r="AH364" s="52">
        <f t="shared" si="117"/>
        <v>33.23912606958126</v>
      </c>
      <c r="AI364" s="52">
        <f t="shared" si="118"/>
        <v>-21.545155185743628</v>
      </c>
      <c r="AJ364" s="52">
        <f t="shared" si="119"/>
        <v>44.244431004585934</v>
      </c>
      <c r="AK364" s="52">
        <f t="shared" si="120"/>
        <v>-38.193184174101226</v>
      </c>
      <c r="AM364" s="52">
        <f t="shared" si="121"/>
        <v>103592.85644506407</v>
      </c>
      <c r="AN364" s="57">
        <f t="shared" si="122"/>
        <v>66785.087799987421</v>
      </c>
      <c r="AO364" s="57">
        <f t="shared" si="123"/>
        <v>93849.809502622447</v>
      </c>
    </row>
    <row r="365" spans="12:41" x14ac:dyDescent="0.25">
      <c r="L365" s="6">
        <v>362</v>
      </c>
      <c r="M365" s="52">
        <f t="shared" si="109"/>
        <v>24996.954135095479</v>
      </c>
      <c r="N365" s="52">
        <f t="shared" si="110"/>
        <v>7674.4974835125013</v>
      </c>
      <c r="P365" s="6">
        <v>362</v>
      </c>
      <c r="Q365" s="52">
        <f t="shared" si="124"/>
        <v>-16502.132105433164</v>
      </c>
      <c r="R365" s="52">
        <f t="shared" si="125"/>
        <v>10122.148238458751</v>
      </c>
      <c r="T365" s="6">
        <v>362</v>
      </c>
      <c r="U365" s="52">
        <f t="shared" si="111"/>
        <v>-3.0458649045212951</v>
      </c>
      <c r="V365" s="52">
        <f t="shared" si="112"/>
        <v>-14825.502516487499</v>
      </c>
      <c r="X365" s="6">
        <v>361</v>
      </c>
      <c r="Y365" s="55">
        <v>180.5</v>
      </c>
      <c r="Z365" s="52">
        <f t="shared" si="126"/>
        <v>-76211.149931217209</v>
      </c>
      <c r="AA365" s="52">
        <f t="shared" si="127"/>
        <v>45765.222041004607</v>
      </c>
      <c r="AB365" s="52">
        <f t="shared" si="128"/>
        <v>-307.93048687222415</v>
      </c>
      <c r="AC365" s="52">
        <f t="shared" si="129"/>
        <v>-1140.242921785077</v>
      </c>
      <c r="AD365" s="52">
        <f t="shared" si="113"/>
        <v>123.01561326354722</v>
      </c>
      <c r="AE365" s="52">
        <f t="shared" si="114"/>
        <v>-77.292969098825807</v>
      </c>
      <c r="AF365" s="52">
        <f t="shared" si="115"/>
        <v>44.754242910092472</v>
      </c>
      <c r="AG365" s="52">
        <f t="shared" si="116"/>
        <v>-17.799714933831044</v>
      </c>
      <c r="AH365" s="52">
        <f t="shared" si="117"/>
        <v>33.578285213456311</v>
      </c>
      <c r="AI365" s="52">
        <f t="shared" si="118"/>
        <v>-21.364708387659228</v>
      </c>
      <c r="AJ365" s="52">
        <f t="shared" si="119"/>
        <v>44.68308513999844</v>
      </c>
      <c r="AK365" s="52">
        <f t="shared" si="120"/>
        <v>-38.128545777335525</v>
      </c>
      <c r="AM365" s="52">
        <f t="shared" si="121"/>
        <v>103541.35690116555</v>
      </c>
      <c r="AN365" s="57">
        <f t="shared" si="122"/>
        <v>66624.653726921097</v>
      </c>
      <c r="AO365" s="57">
        <f t="shared" si="123"/>
        <v>93613.247375672683</v>
      </c>
    </row>
    <row r="366" spans="12:41" x14ac:dyDescent="0.25">
      <c r="L366" s="6">
        <v>363</v>
      </c>
      <c r="M366" s="52">
        <f t="shared" si="109"/>
        <v>24993.14767377287</v>
      </c>
      <c r="N366" s="52">
        <f t="shared" si="110"/>
        <v>7761.6797812147197</v>
      </c>
      <c r="P366" s="6">
        <v>363</v>
      </c>
      <c r="Q366" s="52">
        <f t="shared" si="124"/>
        <v>-16504.796628358992</v>
      </c>
      <c r="R366" s="52">
        <f t="shared" si="125"/>
        <v>10183.175846850303</v>
      </c>
      <c r="T366" s="6">
        <v>363</v>
      </c>
      <c r="U366" s="52">
        <f t="shared" si="111"/>
        <v>-6.8523262271310159</v>
      </c>
      <c r="V366" s="52">
        <f t="shared" si="112"/>
        <v>-14738.32021878528</v>
      </c>
      <c r="X366" s="6">
        <v>362</v>
      </c>
      <c r="Y366" s="55">
        <v>181</v>
      </c>
      <c r="Z366" s="52">
        <f t="shared" si="126"/>
        <v>-76349.738222995366</v>
      </c>
      <c r="AA366" s="52">
        <f t="shared" si="127"/>
        <v>45185.438958974715</v>
      </c>
      <c r="AB366" s="52">
        <f t="shared" si="128"/>
        <v>-246.42268024045055</v>
      </c>
      <c r="AC366" s="52">
        <f t="shared" si="129"/>
        <v>-1178.8894063344899</v>
      </c>
      <c r="AD366" s="52">
        <f t="shared" si="113"/>
        <v>124.03153415081928</v>
      </c>
      <c r="AE366" s="52">
        <f t="shared" si="114"/>
        <v>-76.860265272920785</v>
      </c>
      <c r="AF366" s="52">
        <f t="shared" si="115"/>
        <v>44.926707878460803</v>
      </c>
      <c r="AG366" s="52">
        <f t="shared" si="116"/>
        <v>-17.572260585315657</v>
      </c>
      <c r="AH366" s="52">
        <f t="shared" si="117"/>
        <v>33.950432727011901</v>
      </c>
      <c r="AI366" s="52">
        <f t="shared" si="118"/>
        <v>-21.199049294954399</v>
      </c>
      <c r="AJ366" s="52">
        <f t="shared" si="119"/>
        <v>45.154393545346572</v>
      </c>
      <c r="AK366" s="52">
        <f t="shared" si="120"/>
        <v>-38.088955392650732</v>
      </c>
      <c r="AM366" s="52">
        <f t="shared" si="121"/>
        <v>103457.54861376884</v>
      </c>
      <c r="AN366" s="57">
        <f t="shared" si="122"/>
        <v>66432.733742755474</v>
      </c>
      <c r="AO366" s="57">
        <f t="shared" si="123"/>
        <v>93343.838613881933</v>
      </c>
    </row>
    <row r="367" spans="12:41" x14ac:dyDescent="0.25">
      <c r="L367" s="6">
        <v>364</v>
      </c>
      <c r="M367" s="52">
        <f t="shared" si="109"/>
        <v>24987.820251299123</v>
      </c>
      <c r="N367" s="52">
        <f t="shared" si="110"/>
        <v>7848.7823687206255</v>
      </c>
      <c r="P367" s="6">
        <v>364</v>
      </c>
      <c r="Q367" s="52">
        <f t="shared" si="124"/>
        <v>-16508.525824090615</v>
      </c>
      <c r="R367" s="52">
        <f t="shared" si="125"/>
        <v>10244.147658104437</v>
      </c>
      <c r="T367" s="6">
        <v>364</v>
      </c>
      <c r="U367" s="52">
        <f t="shared" si="111"/>
        <v>-12.179748700878008</v>
      </c>
      <c r="V367" s="52">
        <f t="shared" si="112"/>
        <v>-14651.217631279374</v>
      </c>
      <c r="X367" s="6">
        <v>363</v>
      </c>
      <c r="Y367" s="55">
        <v>181.5</v>
      </c>
      <c r="Z367" s="52">
        <f t="shared" si="126"/>
        <v>-76457.445621346735</v>
      </c>
      <c r="AA367" s="52">
        <f t="shared" si="127"/>
        <v>44586.386722648356</v>
      </c>
      <c r="AB367" s="52">
        <f t="shared" si="128"/>
        <v>-184.40691316504092</v>
      </c>
      <c r="AC367" s="52">
        <f t="shared" si="129"/>
        <v>-1217.3195389709504</v>
      </c>
      <c r="AD367" s="52">
        <f t="shared" si="113"/>
        <v>125.14444928976863</v>
      </c>
      <c r="AE367" s="52">
        <f t="shared" si="114"/>
        <v>-76.472845338357445</v>
      </c>
      <c r="AF367" s="52">
        <f t="shared" si="115"/>
        <v>45.127382755098132</v>
      </c>
      <c r="AG367" s="52">
        <f t="shared" si="116"/>
        <v>-17.35077637455246</v>
      </c>
      <c r="AH367" s="52">
        <f t="shared" si="117"/>
        <v>34.357150971004629</v>
      </c>
      <c r="AI367" s="52">
        <f t="shared" si="118"/>
        <v>-21.047528755397384</v>
      </c>
      <c r="AJ367" s="52">
        <f t="shared" si="119"/>
        <v>45.659915563665869</v>
      </c>
      <c r="AK367" s="52">
        <f t="shared" si="120"/>
        <v>-38.074540208407591</v>
      </c>
      <c r="AM367" s="52">
        <f t="shared" si="121"/>
        <v>103341.37068926894</v>
      </c>
      <c r="AN367" s="57">
        <f t="shared" si="122"/>
        <v>66209.223772945028</v>
      </c>
      <c r="AO367" s="57">
        <f t="shared" si="123"/>
        <v>93041.410228933717</v>
      </c>
    </row>
    <row r="368" spans="12:41" x14ac:dyDescent="0.25">
      <c r="L368" s="6">
        <v>365</v>
      </c>
      <c r="M368" s="52">
        <f t="shared" si="109"/>
        <v>24980.973490458728</v>
      </c>
      <c r="N368" s="52">
        <f t="shared" si="110"/>
        <v>7935.7787137382938</v>
      </c>
      <c r="P368" s="6">
        <v>365</v>
      </c>
      <c r="Q368" s="52">
        <f t="shared" si="124"/>
        <v>-16513.318556678892</v>
      </c>
      <c r="R368" s="52">
        <f t="shared" si="125"/>
        <v>10305.045099616806</v>
      </c>
      <c r="T368" s="6">
        <v>365</v>
      </c>
      <c r="U368" s="52">
        <f t="shared" si="111"/>
        <v>-19.026509541272389</v>
      </c>
      <c r="V368" s="52">
        <f t="shared" si="112"/>
        <v>-14564.221286261707</v>
      </c>
      <c r="X368" s="6">
        <v>364</v>
      </c>
      <c r="Y368" s="55">
        <v>182</v>
      </c>
      <c r="Z368" s="52">
        <f t="shared" si="126"/>
        <v>-76534.006021768029</v>
      </c>
      <c r="AA368" s="52">
        <f t="shared" si="127"/>
        <v>43968.167847495592</v>
      </c>
      <c r="AB368" s="52">
        <f t="shared" si="128"/>
        <v>-121.8346885201566</v>
      </c>
      <c r="AC368" s="52">
        <f t="shared" si="129"/>
        <v>-1255.555961640129</v>
      </c>
      <c r="AD368" s="52">
        <f t="shared" si="113"/>
        <v>126.35839079374395</v>
      </c>
      <c r="AE368" s="52">
        <f t="shared" si="114"/>
        <v>-76.129736636921564</v>
      </c>
      <c r="AF368" s="52">
        <f t="shared" si="115"/>
        <v>45.356811676517125</v>
      </c>
      <c r="AG368" s="52">
        <f t="shared" si="116"/>
        <v>-17.134685375778208</v>
      </c>
      <c r="AH368" s="52">
        <f t="shared" si="117"/>
        <v>34.800211823278019</v>
      </c>
      <c r="AI368" s="52">
        <f t="shared" si="118"/>
        <v>-20.90952896361792</v>
      </c>
      <c r="AJ368" s="52">
        <f t="shared" si="119"/>
        <v>46.201367293948799</v>
      </c>
      <c r="AK368" s="52">
        <f t="shared" si="120"/>
        <v>-38.085522297525443</v>
      </c>
      <c r="AM368" s="52">
        <f t="shared" si="121"/>
        <v>103192.73998089138</v>
      </c>
      <c r="AN368" s="57">
        <f t="shared" si="122"/>
        <v>65954.001120363711</v>
      </c>
      <c r="AO368" s="57">
        <f t="shared" si="123"/>
        <v>92705.764852099455</v>
      </c>
    </row>
    <row r="369" spans="12:41" x14ac:dyDescent="0.25">
      <c r="L369" s="6">
        <v>366</v>
      </c>
      <c r="M369" s="52">
        <f t="shared" si="109"/>
        <v>24972.609476841368</v>
      </c>
      <c r="N369" s="52">
        <f t="shared" si="110"/>
        <v>8022.6423163382642</v>
      </c>
      <c r="P369" s="6">
        <v>366</v>
      </c>
      <c r="Q369" s="52">
        <f t="shared" si="124"/>
        <v>-16519.173366211042</v>
      </c>
      <c r="R369" s="52">
        <f t="shared" si="125"/>
        <v>10365.849621436786</v>
      </c>
      <c r="T369" s="6">
        <v>366</v>
      </c>
      <c r="U369" s="52">
        <f t="shared" si="111"/>
        <v>-27.390523158633187</v>
      </c>
      <c r="V369" s="52">
        <f t="shared" si="112"/>
        <v>-14477.357683661736</v>
      </c>
      <c r="X369" s="6">
        <v>365</v>
      </c>
      <c r="Y369" s="55">
        <v>182.5</v>
      </c>
      <c r="Z369" s="52">
        <f t="shared" si="126"/>
        <v>-76579.128567178879</v>
      </c>
      <c r="AA369" s="52">
        <f t="shared" si="127"/>
        <v>43330.873649595909</v>
      </c>
      <c r="AB369" s="52">
        <f t="shared" si="128"/>
        <v>-58.655493123284629</v>
      </c>
      <c r="AC369" s="52">
        <f t="shared" si="129"/>
        <v>-1293.6208299585899</v>
      </c>
      <c r="AD369" s="52">
        <f t="shared" si="113"/>
        <v>127.67787441027104</v>
      </c>
      <c r="AE369" s="52">
        <f t="shared" si="114"/>
        <v>-75.830088994504905</v>
      </c>
      <c r="AF369" s="52">
        <f t="shared" si="115"/>
        <v>45.615641848340012</v>
      </c>
      <c r="AG369" s="52">
        <f t="shared" si="116"/>
        <v>-16.923411132004517</v>
      </c>
      <c r="AH369" s="52">
        <f t="shared" si="117"/>
        <v>35.281595597553668</v>
      </c>
      <c r="AI369" s="52">
        <f t="shared" si="118"/>
        <v>-20.784455943359472</v>
      </c>
      <c r="AJ369" s="52">
        <f t="shared" si="119"/>
        <v>46.780636964377358</v>
      </c>
      <c r="AK369" s="52">
        <f t="shared" si="120"/>
        <v>-38.122221919140912</v>
      </c>
      <c r="AM369" s="52">
        <f t="shared" si="121"/>
        <v>103011.55071781501</v>
      </c>
      <c r="AN369" s="57">
        <f t="shared" si="122"/>
        <v>65666.924152625608</v>
      </c>
      <c r="AO369" s="57">
        <f t="shared" si="123"/>
        <v>92336.679966099313</v>
      </c>
    </row>
    <row r="370" spans="12:41" x14ac:dyDescent="0.25">
      <c r="L370" s="6">
        <v>367</v>
      </c>
      <c r="M370" s="52">
        <f t="shared" si="109"/>
        <v>24962.73075820661</v>
      </c>
      <c r="N370" s="52">
        <f t="shared" si="110"/>
        <v>8109.3467170257381</v>
      </c>
      <c r="P370" s="6">
        <v>367</v>
      </c>
      <c r="Q370" s="52">
        <f t="shared" si="124"/>
        <v>-16526.088469255374</v>
      </c>
      <c r="R370" s="52">
        <f t="shared" si="125"/>
        <v>10426.542701918017</v>
      </c>
      <c r="T370" s="6">
        <v>367</v>
      </c>
      <c r="U370" s="52">
        <f t="shared" si="111"/>
        <v>-37.269241793390393</v>
      </c>
      <c r="V370" s="52">
        <f t="shared" si="112"/>
        <v>-14390.653282974261</v>
      </c>
      <c r="X370" s="6">
        <v>366</v>
      </c>
      <c r="Y370" s="55">
        <v>183</v>
      </c>
      <c r="Z370" s="52">
        <f t="shared" si="126"/>
        <v>-76592.496579439234</v>
      </c>
      <c r="AA370" s="52">
        <f t="shared" si="127"/>
        <v>42674.584473492301</v>
      </c>
      <c r="AB370" s="52">
        <f t="shared" si="128"/>
        <v>5.1834440818508938</v>
      </c>
      <c r="AC370" s="52">
        <f t="shared" si="129"/>
        <v>-1331.5358744558423</v>
      </c>
      <c r="AD370" s="52">
        <f t="shared" si="113"/>
        <v>129.10794361645074</v>
      </c>
      <c r="AE370" s="52">
        <f t="shared" si="114"/>
        <v>-75.573166761026215</v>
      </c>
      <c r="AF370" s="52">
        <f t="shared" si="115"/>
        <v>45.90462844921808</v>
      </c>
      <c r="AG370" s="52">
        <f t="shared" si="116"/>
        <v>-16.716373303213704</v>
      </c>
      <c r="AH370" s="52">
        <f t="shared" si="117"/>
        <v>35.803512783321167</v>
      </c>
      <c r="AI370" s="52">
        <f t="shared" si="118"/>
        <v>-20.67173165340466</v>
      </c>
      <c r="AJ370" s="52">
        <f t="shared" si="119"/>
        <v>47.399802383911499</v>
      </c>
      <c r="AK370" s="52">
        <f t="shared" si="120"/>
        <v>-38.185061804407859</v>
      </c>
      <c r="AM370" s="52">
        <f t="shared" si="121"/>
        <v>102797.67404144816</v>
      </c>
      <c r="AN370" s="57">
        <f t="shared" si="122"/>
        <v>65347.831942683653</v>
      </c>
      <c r="AO370" s="57">
        <f t="shared" si="123"/>
        <v>91933.907023834341</v>
      </c>
    </row>
    <row r="371" spans="12:41" x14ac:dyDescent="0.25">
      <c r="L371" s="6">
        <v>368</v>
      </c>
      <c r="M371" s="52">
        <f t="shared" si="109"/>
        <v>24951.340343707852</v>
      </c>
      <c r="N371" s="52">
        <f t="shared" si="110"/>
        <v>8195.865504800322</v>
      </c>
      <c r="P371" s="6">
        <v>368</v>
      </c>
      <c r="Q371" s="52">
        <f t="shared" si="124"/>
        <v>-16534.061759404503</v>
      </c>
      <c r="R371" s="52">
        <f t="shared" si="125"/>
        <v>10487.105853360226</v>
      </c>
      <c r="T371" s="6">
        <v>368</v>
      </c>
      <c r="U371" s="52">
        <f t="shared" si="111"/>
        <v>-48.659656292147702</v>
      </c>
      <c r="V371" s="52">
        <f t="shared" si="112"/>
        <v>-14304.134495199678</v>
      </c>
      <c r="X371" s="6">
        <v>367</v>
      </c>
      <c r="Y371" s="55">
        <v>183.5</v>
      </c>
      <c r="Z371" s="52">
        <f t="shared" si="126"/>
        <v>-76573.766364446245</v>
      </c>
      <c r="AA371" s="52">
        <f t="shared" si="127"/>
        <v>41999.36989041925</v>
      </c>
      <c r="AB371" s="52">
        <f t="shared" si="128"/>
        <v>69.737415890076264</v>
      </c>
      <c r="AC371" s="52">
        <f t="shared" si="129"/>
        <v>-1369.3224578363554</v>
      </c>
      <c r="AD371" s="52">
        <f t="shared" si="113"/>
        <v>130.65422034357883</v>
      </c>
      <c r="AE371" s="52">
        <f t="shared" si="114"/>
        <v>-75.358341117227013</v>
      </c>
      <c r="AF371" s="52">
        <f t="shared" si="115"/>
        <v>46.224640515837784</v>
      </c>
      <c r="AG371" s="52">
        <f t="shared" si="116"/>
        <v>-16.512983093042607</v>
      </c>
      <c r="AH371" s="52">
        <f t="shared" si="117"/>
        <v>36.368429042310723</v>
      </c>
      <c r="AI371" s="52">
        <f t="shared" si="118"/>
        <v>-20.570785507922899</v>
      </c>
      <c r="AJ371" s="52">
        <f t="shared" si="119"/>
        <v>48.061150785430321</v>
      </c>
      <c r="AK371" s="52">
        <f t="shared" si="120"/>
        <v>-38.274572516261507</v>
      </c>
      <c r="AM371" s="52">
        <f t="shared" si="121"/>
        <v>102550.95744385138</v>
      </c>
      <c r="AN371" s="57">
        <f t="shared" si="122"/>
        <v>64996.543862291779</v>
      </c>
      <c r="AO371" s="57">
        <f t="shared" si="123"/>
        <v>91497.170445304859</v>
      </c>
    </row>
    <row r="372" spans="12:41" x14ac:dyDescent="0.25">
      <c r="L372" s="6">
        <v>369</v>
      </c>
      <c r="M372" s="52">
        <f t="shared" si="109"/>
        <v>24938.441702975688</v>
      </c>
      <c r="N372" s="52">
        <f t="shared" si="110"/>
        <v>8282.1723252011525</v>
      </c>
      <c r="P372" s="6">
        <v>369</v>
      </c>
      <c r="Q372" s="52">
        <f t="shared" si="124"/>
        <v>-16543.090807917019</v>
      </c>
      <c r="R372" s="52">
        <f t="shared" si="125"/>
        <v>10547.520627640808</v>
      </c>
      <c r="T372" s="6">
        <v>369</v>
      </c>
      <c r="U372" s="52">
        <f t="shared" si="111"/>
        <v>-61.558297024311287</v>
      </c>
      <c r="V372" s="52">
        <f t="shared" si="112"/>
        <v>-14217.827674798848</v>
      </c>
      <c r="X372" s="6">
        <v>368</v>
      </c>
      <c r="Y372" s="55">
        <v>184</v>
      </c>
      <c r="Z372" s="52">
        <f t="shared" si="126"/>
        <v>-76522.565878958267</v>
      </c>
      <c r="AA372" s="52">
        <f t="shared" si="127"/>
        <v>41305.288868861418</v>
      </c>
      <c r="AB372" s="52">
        <f t="shared" si="128"/>
        <v>135.06452606186568</v>
      </c>
      <c r="AC372" s="52">
        <f t="shared" si="129"/>
        <v>-1407.001628394969</v>
      </c>
      <c r="AD372" s="52">
        <f t="shared" si="113"/>
        <v>132.3229633056045</v>
      </c>
      <c r="AE372" s="52">
        <f t="shared" si="114"/>
        <v>-75.185082444143731</v>
      </c>
      <c r="AF372" s="52">
        <f t="shared" si="115"/>
        <v>46.576667897821949</v>
      </c>
      <c r="AG372" s="52">
        <f t="shared" si="116"/>
        <v>-16.312638381468282</v>
      </c>
      <c r="AH372" s="52">
        <f t="shared" si="117"/>
        <v>36.979093978144405</v>
      </c>
      <c r="AI372" s="52">
        <f t="shared" si="118"/>
        <v>-20.481045067445198</v>
      </c>
      <c r="AJ372" s="52">
        <f t="shared" si="119"/>
        <v>48.767201429638149</v>
      </c>
      <c r="AK372" s="52">
        <f t="shared" si="120"/>
        <v>-38.391398995230247</v>
      </c>
      <c r="AM372" s="52">
        <f t="shared" si="121"/>
        <v>102271.22410221265</v>
      </c>
      <c r="AN372" s="57">
        <f t="shared" si="122"/>
        <v>64612.859128071679</v>
      </c>
      <c r="AO372" s="57">
        <f t="shared" si="123"/>
        <v>91026.16648258816</v>
      </c>
    </row>
    <row r="373" spans="12:41" x14ac:dyDescent="0.25">
      <c r="L373" s="6">
        <v>370</v>
      </c>
      <c r="M373" s="52">
        <f t="shared" si="109"/>
        <v>24924.038765061043</v>
      </c>
      <c r="N373" s="52">
        <f t="shared" si="110"/>
        <v>8368.2408883346488</v>
      </c>
      <c r="P373" s="6">
        <v>370</v>
      </c>
      <c r="Q373" s="52">
        <f t="shared" si="124"/>
        <v>-16553.172864457272</v>
      </c>
      <c r="R373" s="52">
        <f t="shared" si="125"/>
        <v>10607.768621834255</v>
      </c>
      <c r="T373" s="6">
        <v>370</v>
      </c>
      <c r="U373" s="52">
        <f t="shared" si="111"/>
        <v>-75.961234938959024</v>
      </c>
      <c r="V373" s="52">
        <f t="shared" si="112"/>
        <v>-14131.759111665351</v>
      </c>
      <c r="X373" s="6">
        <v>369</v>
      </c>
      <c r="Y373" s="55">
        <v>184.5</v>
      </c>
      <c r="Z373" s="52">
        <f t="shared" si="126"/>
        <v>-76438.493245514124</v>
      </c>
      <c r="AA373" s="52">
        <f t="shared" si="127"/>
        <v>40592.389919358415</v>
      </c>
      <c r="AB373" s="52">
        <f t="shared" si="128"/>
        <v>201.22600771466793</v>
      </c>
      <c r="AC373" s="52">
        <f t="shared" si="129"/>
        <v>-1444.5941696170407</v>
      </c>
      <c r="AD373" s="52">
        <f t="shared" si="113"/>
        <v>134.12113509011365</v>
      </c>
      <c r="AE373" s="52">
        <f t="shared" si="114"/>
        <v>-75.052952522657847</v>
      </c>
      <c r="AF373" s="52">
        <f t="shared" si="115"/>
        <v>46.961829390281643</v>
      </c>
      <c r="AG373" s="52">
        <f t="shared" si="116"/>
        <v>-16.114718482309705</v>
      </c>
      <c r="AH373" s="52">
        <f t="shared" si="117"/>
        <v>37.638574293507759</v>
      </c>
      <c r="AI373" s="52">
        <f t="shared" si="118"/>
        <v>-20.40192561106776</v>
      </c>
      <c r="AJ373" s="52">
        <f t="shared" si="119"/>
        <v>49.520731406324245</v>
      </c>
      <c r="AK373" s="52">
        <f t="shared" si="120"/>
        <v>-38.536308429280382</v>
      </c>
      <c r="AM373" s="52">
        <f t="shared" si="121"/>
        <v>101958.27210207089</v>
      </c>
      <c r="AN373" s="57">
        <f t="shared" si="122"/>
        <v>64196.556300178636</v>
      </c>
      <c r="AO373" s="57">
        <f t="shared" si="123"/>
        <v>90520.561941115622</v>
      </c>
    </row>
    <row r="374" spans="12:41" x14ac:dyDescent="0.25">
      <c r="L374" s="6">
        <v>371</v>
      </c>
      <c r="M374" s="52">
        <f t="shared" si="109"/>
        <v>24908.13591723832</v>
      </c>
      <c r="N374" s="52">
        <f t="shared" si="110"/>
        <v>8454.0449768827257</v>
      </c>
      <c r="P374" s="6">
        <v>371</v>
      </c>
      <c r="Q374" s="52">
        <f t="shared" si="124"/>
        <v>-16564.304857933177</v>
      </c>
      <c r="R374" s="52">
        <f t="shared" si="125"/>
        <v>10667.831483817909</v>
      </c>
      <c r="T374" s="6">
        <v>371</v>
      </c>
      <c r="U374" s="52">
        <f t="shared" si="111"/>
        <v>-91.864082761680947</v>
      </c>
      <c r="V374" s="52">
        <f t="shared" si="112"/>
        <v>-14045.955023117274</v>
      </c>
      <c r="X374" s="6">
        <v>370</v>
      </c>
      <c r="Y374" s="55">
        <v>185</v>
      </c>
      <c r="Z374" s="52">
        <f t="shared" si="126"/>
        <v>-76321.115099770526</v>
      </c>
      <c r="AA374" s="52">
        <f t="shared" si="127"/>
        <v>39860.711215484567</v>
      </c>
      <c r="AB374" s="52">
        <f t="shared" si="128"/>
        <v>268.28657525972477</v>
      </c>
      <c r="AC374" s="52">
        <f t="shared" si="129"/>
        <v>-1482.1206458783697</v>
      </c>
      <c r="AD374" s="52">
        <f t="shared" si="113"/>
        <v>136.05647939185411</v>
      </c>
      <c r="AE374" s="52">
        <f t="shared" si="114"/>
        <v>-74.961596290602557</v>
      </c>
      <c r="AF374" s="52">
        <f t="shared" si="115"/>
        <v>47.381382173461432</v>
      </c>
      <c r="AG374" s="52">
        <f t="shared" si="116"/>
        <v>-15.918578433375579</v>
      </c>
      <c r="AH374" s="52">
        <f t="shared" si="117"/>
        <v>38.350292067410493</v>
      </c>
      <c r="AI374" s="52">
        <f t="shared" si="118"/>
        <v>-20.332818241006365</v>
      </c>
      <c r="AJ374" s="52">
        <f t="shared" si="119"/>
        <v>50.324805150982172</v>
      </c>
      <c r="AK374" s="52">
        <f t="shared" si="120"/>
        <v>-38.710199616220621</v>
      </c>
      <c r="AM374" s="52">
        <f t="shared" si="121"/>
        <v>101611.87354062138</v>
      </c>
      <c r="AN374" s="57">
        <f t="shared" si="122"/>
        <v>63747.39273394768</v>
      </c>
      <c r="AO374" s="57">
        <f t="shared" si="123"/>
        <v>89979.9927436289</v>
      </c>
    </row>
    <row r="375" spans="12:41" x14ac:dyDescent="0.25">
      <c r="L375" s="6">
        <v>372</v>
      </c>
      <c r="M375" s="52">
        <f t="shared" si="109"/>
        <v>24890.73800366903</v>
      </c>
      <c r="N375" s="52">
        <f t="shared" si="110"/>
        <v>8539.5584540887921</v>
      </c>
      <c r="P375" s="6">
        <v>372</v>
      </c>
      <c r="Q375" s="52">
        <f t="shared" si="124"/>
        <v>-16576.483397431679</v>
      </c>
      <c r="R375" s="52">
        <f t="shared" si="125"/>
        <v>10727.690917862155</v>
      </c>
      <c r="T375" s="6">
        <v>372</v>
      </c>
      <c r="U375" s="52">
        <f t="shared" si="111"/>
        <v>-109.26199633097076</v>
      </c>
      <c r="V375" s="52">
        <f t="shared" si="112"/>
        <v>-13960.441545911208</v>
      </c>
      <c r="X375" s="6">
        <v>371</v>
      </c>
      <c r="Y375" s="55">
        <v>185.5</v>
      </c>
      <c r="Z375" s="52">
        <f t="shared" si="126"/>
        <v>-76169.964752216678</v>
      </c>
      <c r="AA375" s="52">
        <f t="shared" si="127"/>
        <v>39110.280693009059</v>
      </c>
      <c r="AB375" s="52">
        <f t="shared" si="128"/>
        <v>336.31481495565185</v>
      </c>
      <c r="AC375" s="52">
        <f t="shared" si="129"/>
        <v>-1519.6014440236711</v>
      </c>
      <c r="AD375" s="52">
        <f t="shared" si="113"/>
        <v>138.13761003601277</v>
      </c>
      <c r="AE375" s="52">
        <f t="shared" si="114"/>
        <v>-74.910732830355201</v>
      </c>
      <c r="AF375" s="52">
        <f t="shared" si="115"/>
        <v>47.83673271402926</v>
      </c>
      <c r="AG375" s="52">
        <f t="shared" si="116"/>
        <v>-15.723542713392332</v>
      </c>
      <c r="AH375" s="52">
        <f t="shared" si="117"/>
        <v>39.118069028486772</v>
      </c>
      <c r="AI375" s="52">
        <f t="shared" si="118"/>
        <v>-20.273076093443965</v>
      </c>
      <c r="AJ375" s="52">
        <f t="shared" si="119"/>
        <v>51.182808293496748</v>
      </c>
      <c r="AK375" s="52">
        <f t="shared" si="120"/>
        <v>-38.914114023518906</v>
      </c>
      <c r="AM375" s="52">
        <f t="shared" si="121"/>
        <v>101231.77349989192</v>
      </c>
      <c r="AN375" s="57">
        <f t="shared" si="122"/>
        <v>63265.103985459791</v>
      </c>
      <c r="AO375" s="57">
        <f t="shared" si="123"/>
        <v>89404.062321060075</v>
      </c>
    </row>
    <row r="376" spans="12:41" x14ac:dyDescent="0.25">
      <c r="L376" s="6">
        <v>373</v>
      </c>
      <c r="M376" s="52">
        <f t="shared" si="109"/>
        <v>24871.850323926177</v>
      </c>
      <c r="N376" s="52">
        <f t="shared" si="110"/>
        <v>8624.7552717193248</v>
      </c>
      <c r="P376" s="6">
        <v>373</v>
      </c>
      <c r="Q376" s="52">
        <f t="shared" si="124"/>
        <v>-16589.704773251677</v>
      </c>
      <c r="R376" s="52">
        <f t="shared" si="125"/>
        <v>10787.328690203527</v>
      </c>
      <c r="T376" s="6">
        <v>373</v>
      </c>
      <c r="U376" s="52">
        <f t="shared" si="111"/>
        <v>-128.14967607382368</v>
      </c>
      <c r="V376" s="52">
        <f t="shared" si="112"/>
        <v>-13875.244728280675</v>
      </c>
      <c r="X376" s="6">
        <v>372</v>
      </c>
      <c r="Y376" s="55">
        <v>186</v>
      </c>
      <c r="Z376" s="52">
        <f t="shared" si="126"/>
        <v>-75984.540143484337</v>
      </c>
      <c r="AA376" s="52">
        <f t="shared" si="127"/>
        <v>38341.116129393427</v>
      </c>
      <c r="AB376" s="52">
        <f t="shared" si="128"/>
        <v>405.38361997365826</v>
      </c>
      <c r="AC376" s="52">
        <f t="shared" si="129"/>
        <v>-1557.0568104388487</v>
      </c>
      <c r="AD376" s="52">
        <f t="shared" si="113"/>
        <v>140.37411376245652</v>
      </c>
      <c r="AE376" s="52">
        <f t="shared" si="114"/>
        <v>-74.900145186591985</v>
      </c>
      <c r="AF376" s="52">
        <f t="shared" si="115"/>
        <v>48.329449311871073</v>
      </c>
      <c r="AG376" s="52">
        <f t="shared" si="116"/>
        <v>-15.528898262875412</v>
      </c>
      <c r="AH376" s="52">
        <f t="shared" si="117"/>
        <v>39.946177874819483</v>
      </c>
      <c r="AI376" s="52">
        <f t="shared" si="118"/>
        <v>-20.221998129735912</v>
      </c>
      <c r="AJ376" s="52">
        <f t="shared" si="119"/>
        <v>52.098486575765953</v>
      </c>
      <c r="AK376" s="52">
        <f t="shared" si="120"/>
        <v>-39.149248793980661</v>
      </c>
      <c r="AM376" s="52">
        <f t="shared" si="121"/>
        <v>100817.68887780997</v>
      </c>
      <c r="AN376" s="57">
        <f t="shared" si="122"/>
        <v>62749.403172756734</v>
      </c>
      <c r="AO376" s="57">
        <f t="shared" si="123"/>
        <v>88792.339812122169</v>
      </c>
    </row>
    <row r="377" spans="12:41" x14ac:dyDescent="0.25">
      <c r="L377" s="6">
        <v>374</v>
      </c>
      <c r="M377" s="52">
        <f t="shared" si="109"/>
        <v>24851.478631379981</v>
      </c>
      <c r="N377" s="52">
        <f t="shared" si="110"/>
        <v>8709.6094779983414</v>
      </c>
      <c r="P377" s="6">
        <v>374</v>
      </c>
      <c r="Q377" s="52">
        <f t="shared" si="124"/>
        <v>-16603.964958034012</v>
      </c>
      <c r="R377" s="52">
        <f t="shared" si="125"/>
        <v>10846.726634598839</v>
      </c>
      <c r="T377" s="6">
        <v>374</v>
      </c>
      <c r="U377" s="52">
        <f t="shared" si="111"/>
        <v>-148.52136862001862</v>
      </c>
      <c r="V377" s="52">
        <f t="shared" si="112"/>
        <v>-13790.390522001659</v>
      </c>
      <c r="X377" s="6">
        <v>373</v>
      </c>
      <c r="Y377" s="55">
        <v>186.5</v>
      </c>
      <c r="Z377" s="52">
        <f t="shared" si="126"/>
        <v>-75764.301569277202</v>
      </c>
      <c r="AA377" s="52">
        <f t="shared" si="127"/>
        <v>37553.22520602568</v>
      </c>
      <c r="AB377" s="52">
        <f t="shared" si="128"/>
        <v>475.57067685488653</v>
      </c>
      <c r="AC377" s="52">
        <f t="shared" si="129"/>
        <v>-1594.5068830321447</v>
      </c>
      <c r="AD377" s="52">
        <f t="shared" si="113"/>
        <v>142.77666913673514</v>
      </c>
      <c r="AE377" s="52">
        <f t="shared" si="114"/>
        <v>-74.929668516418388</v>
      </c>
      <c r="AF377" s="52">
        <f t="shared" si="115"/>
        <v>48.861276510736921</v>
      </c>
      <c r="AG377" s="52">
        <f t="shared" si="116"/>
        <v>-15.333886665155497</v>
      </c>
      <c r="AH377" s="52">
        <f t="shared" si="117"/>
        <v>40.839401903925726</v>
      </c>
      <c r="AI377" s="52">
        <f t="shared" si="118"/>
        <v>-20.178809852757286</v>
      </c>
      <c r="AJ377" s="52">
        <f t="shared" si="119"/>
        <v>53.075990722072497</v>
      </c>
      <c r="AK377" s="52">
        <f t="shared" si="120"/>
        <v>-39.416971998505595</v>
      </c>
      <c r="AM377" s="52">
        <f t="shared" si="121"/>
        <v>100369.30706314339</v>
      </c>
      <c r="AN377" s="57">
        <f t="shared" si="122"/>
        <v>62199.980295521476</v>
      </c>
      <c r="AO377" s="57">
        <f t="shared" si="123"/>
        <v>88144.358050546041</v>
      </c>
    </row>
    <row r="378" spans="12:41" x14ac:dyDescent="0.25">
      <c r="L378" s="6">
        <v>375</v>
      </c>
      <c r="M378" s="52">
        <f t="shared" si="109"/>
        <v>24829.629131445341</v>
      </c>
      <c r="N378" s="52">
        <f t="shared" si="110"/>
        <v>8794.0952255126012</v>
      </c>
      <c r="P378" s="6">
        <v>375</v>
      </c>
      <c r="Q378" s="52">
        <f t="shared" si="124"/>
        <v>-16619.259607988261</v>
      </c>
      <c r="R378" s="52">
        <f t="shared" si="125"/>
        <v>10905.86665785882</v>
      </c>
      <c r="T378" s="6">
        <v>375</v>
      </c>
      <c r="U378" s="52">
        <f t="shared" si="111"/>
        <v>-170.37086855465805</v>
      </c>
      <c r="V378" s="52">
        <f t="shared" si="112"/>
        <v>-13705.904774487399</v>
      </c>
      <c r="X378" s="6">
        <v>374</v>
      </c>
      <c r="Y378" s="55">
        <v>187</v>
      </c>
      <c r="Z378" s="52">
        <f t="shared" si="126"/>
        <v>-75508.669147207664</v>
      </c>
      <c r="AA378" s="52">
        <f t="shared" si="127"/>
        <v>36746.605555945054</v>
      </c>
      <c r="AB378" s="52">
        <f t="shared" si="128"/>
        <v>546.95901142325408</v>
      </c>
      <c r="AC378" s="52">
        <f t="shared" si="129"/>
        <v>-1631.971717290354</v>
      </c>
      <c r="AD378" s="52">
        <f t="shared" si="113"/>
        <v>145.3571844359891</v>
      </c>
      <c r="AE378" s="52">
        <f t="shared" si="114"/>
        <v>-74.99917594482153</v>
      </c>
      <c r="AF378" s="52">
        <f t="shared" si="115"/>
        <v>49.434151631887879</v>
      </c>
      <c r="AG378" s="52">
        <f t="shared" si="116"/>
        <v>-15.137695317921535</v>
      </c>
      <c r="AH378" s="52">
        <f t="shared" si="117"/>
        <v>41.803104477705432</v>
      </c>
      <c r="AI378" s="52">
        <f t="shared" si="118"/>
        <v>-20.142640125526999</v>
      </c>
      <c r="AJ378" s="52">
        <f t="shared" si="119"/>
        <v>54.119928326395787</v>
      </c>
      <c r="AK378" s="52">
        <f t="shared" si="120"/>
        <v>-39.718840501372995</v>
      </c>
      <c r="AM378" s="52">
        <f t="shared" si="121"/>
        <v>99886.284437933791</v>
      </c>
      <c r="AN378" s="57">
        <f t="shared" si="122"/>
        <v>61616.501517527548</v>
      </c>
      <c r="AO378" s="57">
        <f t="shared" si="123"/>
        <v>87459.611315583592</v>
      </c>
    </row>
    <row r="379" spans="12:41" x14ac:dyDescent="0.25">
      <c r="L379" s="6">
        <v>376</v>
      </c>
      <c r="M379" s="52">
        <f t="shared" si="109"/>
        <v>24806.308479691594</v>
      </c>
      <c r="N379" s="52">
        <f t="shared" si="110"/>
        <v>8878.1867790849974</v>
      </c>
      <c r="P379" s="6">
        <v>376</v>
      </c>
      <c r="Q379" s="52">
        <f t="shared" si="124"/>
        <v>-16635.584064215884</v>
      </c>
      <c r="R379" s="52">
        <f t="shared" si="125"/>
        <v>10964.730745359499</v>
      </c>
      <c r="T379" s="6">
        <v>376</v>
      </c>
      <c r="U379" s="52">
        <f t="shared" si="111"/>
        <v>-193.69152030840633</v>
      </c>
      <c r="V379" s="52">
        <f t="shared" si="112"/>
        <v>-13621.813220915003</v>
      </c>
      <c r="X379" s="6">
        <v>375</v>
      </c>
      <c r="Y379" s="55">
        <v>187.5</v>
      </c>
      <c r="Z379" s="52">
        <f t="shared" si="126"/>
        <v>-75217.019993441543</v>
      </c>
      <c r="AA379" s="52">
        <f t="shared" si="127"/>
        <v>35921.244800306777</v>
      </c>
      <c r="AB379" s="52">
        <f t="shared" si="128"/>
        <v>619.63760364124869</v>
      </c>
      <c r="AC379" s="52">
        <f t="shared" si="129"/>
        <v>-1669.4713052627649</v>
      </c>
      <c r="AD379" s="52">
        <f t="shared" si="113"/>
        <v>148.12895795026498</v>
      </c>
      <c r="AE379" s="52">
        <f t="shared" si="114"/>
        <v>-75.108561327334286</v>
      </c>
      <c r="AF379" s="52">
        <f t="shared" si="115"/>
        <v>50.050223738533205</v>
      </c>
      <c r="AG379" s="52">
        <f t="shared" si="116"/>
        <v>-14.939447393763819</v>
      </c>
      <c r="AH379" s="52">
        <f t="shared" si="117"/>
        <v>42.843310168280873</v>
      </c>
      <c r="AI379" s="52">
        <f t="shared" si="118"/>
        <v>-20.112493051225652</v>
      </c>
      <c r="AJ379" s="52">
        <f t="shared" si="119"/>
        <v>55.235424043450891</v>
      </c>
      <c r="AK379" s="52">
        <f t="shared" si="120"/>
        <v>-40.056620882344809</v>
      </c>
      <c r="AM379" s="52">
        <f t="shared" si="121"/>
        <v>99368.244688282633</v>
      </c>
      <c r="AN379" s="57">
        <f t="shared" si="122"/>
        <v>60998.608418172582</v>
      </c>
      <c r="AO379" s="57">
        <f t="shared" si="123"/>
        <v>86737.552817520394</v>
      </c>
    </row>
    <row r="380" spans="12:41" x14ac:dyDescent="0.25">
      <c r="L380" s="6">
        <v>377</v>
      </c>
      <c r="M380" s="52">
        <f t="shared" si="109"/>
        <v>24781.523779815179</v>
      </c>
      <c r="N380" s="52">
        <f t="shared" si="110"/>
        <v>8961.8585236136823</v>
      </c>
      <c r="P380" s="6">
        <v>377</v>
      </c>
      <c r="Q380" s="52">
        <f t="shared" si="124"/>
        <v>-16652.933354129374</v>
      </c>
      <c r="R380" s="52">
        <f t="shared" si="125"/>
        <v>11023.300966529578</v>
      </c>
      <c r="T380" s="6">
        <v>377</v>
      </c>
      <c r="U380" s="52">
        <f t="shared" si="111"/>
        <v>-218.47622018482252</v>
      </c>
      <c r="V380" s="52">
        <f t="shared" si="112"/>
        <v>-13538.141476386318</v>
      </c>
      <c r="X380" s="6">
        <v>376</v>
      </c>
      <c r="Y380" s="55">
        <v>188</v>
      </c>
      <c r="Z380" s="52">
        <f t="shared" si="126"/>
        <v>-74888.685071877131</v>
      </c>
      <c r="AA380" s="52">
        <f t="shared" si="127"/>
        <v>35077.120577509479</v>
      </c>
      <c r="AB380" s="52">
        <f t="shared" si="128"/>
        <v>693.70208261638118</v>
      </c>
      <c r="AC380" s="52">
        <f t="shared" si="129"/>
        <v>-1707.0255859264321</v>
      </c>
      <c r="AD380" s="52">
        <f t="shared" si="113"/>
        <v>151.10686486997068</v>
      </c>
      <c r="AE380" s="52">
        <f t="shared" si="114"/>
        <v>-75.257717895046028</v>
      </c>
      <c r="AF380" s="52">
        <f t="shared" si="115"/>
        <v>50.711875397098183</v>
      </c>
      <c r="AG380" s="52">
        <f t="shared" si="116"/>
        <v>-14.738190348807912</v>
      </c>
      <c r="AH380" s="52">
        <f t="shared" si="117"/>
        <v>43.966799826776281</v>
      </c>
      <c r="AI380" s="52">
        <f t="shared" si="118"/>
        <v>-20.08721358909364</v>
      </c>
      <c r="AJ380" s="52">
        <f t="shared" si="119"/>
        <v>56.428189646096222</v>
      </c>
      <c r="AK380" s="52">
        <f t="shared" si="120"/>
        <v>-40.43231395714448</v>
      </c>
      <c r="AM380" s="52">
        <f t="shared" si="121"/>
        <v>98814.776901111181</v>
      </c>
      <c r="AN380" s="57">
        <f t="shared" si="122"/>
        <v>60345.917222117489</v>
      </c>
      <c r="AO380" s="57">
        <f t="shared" si="123"/>
        <v>85977.591885388625</v>
      </c>
    </row>
    <row r="381" spans="12:41" x14ac:dyDescent="0.25">
      <c r="L381" s="6">
        <v>378</v>
      </c>
      <c r="M381" s="52">
        <f t="shared" si="109"/>
        <v>24755.282581475767</v>
      </c>
      <c r="N381" s="52">
        <f t="shared" si="110"/>
        <v>9045.0849718747359</v>
      </c>
      <c r="P381" s="6">
        <v>378</v>
      </c>
      <c r="Q381" s="52">
        <f t="shared" si="124"/>
        <v>-16671.302192966963</v>
      </c>
      <c r="R381" s="52">
        <f t="shared" si="125"/>
        <v>11081.559480312315</v>
      </c>
      <c r="T381" s="6">
        <v>378</v>
      </c>
      <c r="U381" s="52">
        <f t="shared" si="111"/>
        <v>-244.71741852423202</v>
      </c>
      <c r="V381" s="52">
        <f t="shared" si="112"/>
        <v>-13454.915028125264</v>
      </c>
      <c r="X381" s="6">
        <v>377</v>
      </c>
      <c r="Y381" s="55">
        <v>188.5</v>
      </c>
      <c r="Z381" s="52">
        <f t="shared" si="126"/>
        <v>-74522.945672460191</v>
      </c>
      <c r="AA381" s="52">
        <f t="shared" si="127"/>
        <v>34214.200569809385</v>
      </c>
      <c r="AB381" s="52">
        <f t="shared" si="128"/>
        <v>769.2555150513665</v>
      </c>
      <c r="AC381" s="52">
        <f t="shared" si="129"/>
        <v>-1744.6544448739551</v>
      </c>
      <c r="AD381" s="52">
        <f t="shared" si="113"/>
        <v>154.30757583433083</v>
      </c>
      <c r="AE381" s="52">
        <f t="shared" si="114"/>
        <v>-75.44651145592448</v>
      </c>
      <c r="AF381" s="52">
        <f t="shared" si="115"/>
        <v>51.421747671514368</v>
      </c>
      <c r="AG381" s="52">
        <f t="shared" si="116"/>
        <v>-14.532882689744573</v>
      </c>
      <c r="AH381" s="52">
        <f t="shared" si="117"/>
        <v>45.181222307361118</v>
      </c>
      <c r="AI381" s="52">
        <f t="shared" si="118"/>
        <v>-20.065445207451191</v>
      </c>
      <c r="AJ381" s="52">
        <f t="shared" si="119"/>
        <v>57.704605855455355</v>
      </c>
      <c r="AK381" s="52">
        <f t="shared" si="120"/>
        <v>-40.848183558728707</v>
      </c>
      <c r="AM381" s="52">
        <f t="shared" si="121"/>
        <v>98225.433420692352</v>
      </c>
      <c r="AN381" s="57">
        <f t="shared" si="122"/>
        <v>59658.018019684518</v>
      </c>
      <c r="AO381" s="57">
        <f t="shared" si="123"/>
        <v>85179.090818705488</v>
      </c>
    </row>
    <row r="382" spans="12:41" x14ac:dyDescent="0.25">
      <c r="L382" s="6">
        <v>379</v>
      </c>
      <c r="M382" s="52">
        <f t="shared" si="109"/>
        <v>24727.592877996583</v>
      </c>
      <c r="N382" s="52">
        <f t="shared" si="110"/>
        <v>9127.840772285781</v>
      </c>
      <c r="P382" s="6">
        <v>379</v>
      </c>
      <c r="Q382" s="52">
        <f t="shared" si="124"/>
        <v>-16690.684985402389</v>
      </c>
      <c r="R382" s="52">
        <f t="shared" si="125"/>
        <v>11139.488540600047</v>
      </c>
      <c r="T382" s="6">
        <v>379</v>
      </c>
      <c r="U382" s="52">
        <f t="shared" si="111"/>
        <v>-272.40712200341477</v>
      </c>
      <c r="V382" s="52">
        <f t="shared" si="112"/>
        <v>-13372.159227714219</v>
      </c>
      <c r="X382" s="6">
        <v>378</v>
      </c>
      <c r="Y382" s="55">
        <v>189</v>
      </c>
      <c r="Z382" s="52">
        <f t="shared" si="126"/>
        <v>-74119.029467955217</v>
      </c>
      <c r="AA382" s="52">
        <f t="shared" si="127"/>
        <v>33332.442533440415</v>
      </c>
      <c r="AB382" s="52">
        <f t="shared" si="128"/>
        <v>846.40930296853196</v>
      </c>
      <c r="AC382" s="52">
        <f t="shared" si="129"/>
        <v>-1782.3777006019172</v>
      </c>
      <c r="AD382" s="52">
        <f t="shared" si="113"/>
        <v>157.74981333973989</v>
      </c>
      <c r="AE382" s="52">
        <f t="shared" si="114"/>
        <v>-75.674746424938306</v>
      </c>
      <c r="AF382" s="52">
        <f t="shared" si="115"/>
        <v>52.182768871658865</v>
      </c>
      <c r="AG382" s="52">
        <f t="shared" si="116"/>
        <v>-14.32237864896268</v>
      </c>
      <c r="AH382" s="52">
        <f t="shared" si="117"/>
        <v>46.495226187579</v>
      </c>
      <c r="AI382" s="52">
        <f t="shared" si="118"/>
        <v>-20.045577383152391</v>
      </c>
      <c r="AJ382" s="52">
        <f t="shared" si="119"/>
        <v>59.071818280502008</v>
      </c>
      <c r="AK382" s="52">
        <f t="shared" si="120"/>
        <v>-41.306790392823231</v>
      </c>
      <c r="AM382" s="52">
        <f t="shared" si="121"/>
        <v>97599.727434216358</v>
      </c>
      <c r="AN382" s="57">
        <f t="shared" si="122"/>
        <v>58934.473995529173</v>
      </c>
      <c r="AO382" s="57">
        <f t="shared" si="123"/>
        <v>84341.361358709299</v>
      </c>
    </row>
    <row r="383" spans="12:41" x14ac:dyDescent="0.25">
      <c r="L383" s="6">
        <v>380</v>
      </c>
      <c r="M383" s="52">
        <f t="shared" si="109"/>
        <v>24698.463103929542</v>
      </c>
      <c r="N383" s="52">
        <f t="shared" si="110"/>
        <v>9210.1007166283453</v>
      </c>
      <c r="P383" s="6">
        <v>380</v>
      </c>
      <c r="Q383" s="52">
        <f t="shared" si="124"/>
        <v>-16711.075827249322</v>
      </c>
      <c r="R383" s="52">
        <f t="shared" si="125"/>
        <v>11197.070501639841</v>
      </c>
      <c r="T383" s="6">
        <v>380</v>
      </c>
      <c r="U383" s="52">
        <f t="shared" si="111"/>
        <v>-301.53689607045817</v>
      </c>
      <c r="V383" s="52">
        <f t="shared" si="112"/>
        <v>-13289.899283371655</v>
      </c>
      <c r="X383" s="6">
        <v>379</v>
      </c>
      <c r="Y383" s="55">
        <v>189.5</v>
      </c>
      <c r="Z383" s="52">
        <f t="shared" si="126"/>
        <v>-73676.106089803478</v>
      </c>
      <c r="AA383" s="52">
        <f t="shared" si="127"/>
        <v>32431.794339836339</v>
      </c>
      <c r="AB383" s="52">
        <f t="shared" si="128"/>
        <v>925.28420963840188</v>
      </c>
      <c r="AC383" s="52">
        <f t="shared" si="129"/>
        <v>-1820.2150738143864</v>
      </c>
      <c r="AD383" s="52">
        <f t="shared" si="113"/>
        <v>161.45465361031194</v>
      </c>
      <c r="AE383" s="52">
        <f t="shared" si="114"/>
        <v>-75.942122418074476</v>
      </c>
      <c r="AF383" s="52">
        <f t="shared" si="115"/>
        <v>52.998187680421786</v>
      </c>
      <c r="AG383" s="52">
        <f t="shared" si="116"/>
        <v>-14.105410341945779</v>
      </c>
      <c r="AH383" s="52">
        <f t="shared" si="117"/>
        <v>47.918615584019193</v>
      </c>
      <c r="AI383" s="52">
        <f t="shared" si="118"/>
        <v>-20.025680104887257</v>
      </c>
      <c r="AJ383" s="52">
        <f t="shared" si="119"/>
        <v>60.537850345870972</v>
      </c>
      <c r="AK383" s="52">
        <f t="shared" si="120"/>
        <v>-41.811031971241441</v>
      </c>
      <c r="AM383" s="52">
        <f t="shared" si="121"/>
        <v>96937.130250240094</v>
      </c>
      <c r="AN383" s="57">
        <f t="shared" si="122"/>
        <v>58174.820689612374</v>
      </c>
      <c r="AO383" s="57">
        <f t="shared" si="123"/>
        <v>83463.660727016235</v>
      </c>
    </row>
    <row r="384" spans="12:41" x14ac:dyDescent="0.25">
      <c r="L384" s="6">
        <v>381</v>
      </c>
      <c r="M384" s="52">
        <f t="shared" si="109"/>
        <v>24667.902132486011</v>
      </c>
      <c r="N384" s="52">
        <f t="shared" si="110"/>
        <v>9291.8397477264971</v>
      </c>
      <c r="P384" s="6">
        <v>381</v>
      </c>
      <c r="Q384" s="52">
        <f t="shared" si="124"/>
        <v>-16732.468507259793</v>
      </c>
      <c r="R384" s="52">
        <f t="shared" si="125"/>
        <v>11254.287823408547</v>
      </c>
      <c r="T384" s="6">
        <v>381</v>
      </c>
      <c r="U384" s="52">
        <f t="shared" si="111"/>
        <v>-332.09786751398951</v>
      </c>
      <c r="V384" s="52">
        <f t="shared" si="112"/>
        <v>-13208.160252273503</v>
      </c>
      <c r="X384" s="6">
        <v>380</v>
      </c>
      <c r="Y384" s="55">
        <v>190</v>
      </c>
      <c r="Z384" s="52">
        <f t="shared" si="126"/>
        <v>-73193.282153282984</v>
      </c>
      <c r="AA384" s="52">
        <f t="shared" si="127"/>
        <v>31512.194037626883</v>
      </c>
      <c r="AB384" s="52">
        <f t="shared" si="128"/>
        <v>1006.0115364435578</v>
      </c>
      <c r="AC384" s="52">
        <f t="shared" si="129"/>
        <v>-1858.1861350234237</v>
      </c>
      <c r="AD384" s="52">
        <f t="shared" si="113"/>
        <v>165.44588329232923</v>
      </c>
      <c r="AE384" s="52">
        <f t="shared" si="114"/>
        <v>-76.248178422399889</v>
      </c>
      <c r="AF384" s="52">
        <f t="shared" si="115"/>
        <v>53.871611410253735</v>
      </c>
      <c r="AG384" s="52">
        <f t="shared" si="116"/>
        <v>-13.880566886516483</v>
      </c>
      <c r="AH384" s="52">
        <f t="shared" si="117"/>
        <v>49.462535108982621</v>
      </c>
      <c r="AI384" s="52">
        <f t="shared" si="118"/>
        <v>-20.003421668758513</v>
      </c>
      <c r="AJ384" s="52">
        <f t="shared" si="119"/>
        <v>62.111736773092872</v>
      </c>
      <c r="AK384" s="52">
        <f t="shared" si="120"/>
        <v>-42.3641898671249</v>
      </c>
      <c r="AM384" s="52">
        <f t="shared" si="121"/>
        <v>96237.068227383454</v>
      </c>
      <c r="AN384" s="57">
        <f t="shared" si="122"/>
        <v>57378.565323222254</v>
      </c>
      <c r="AO384" s="57">
        <f t="shared" si="123"/>
        <v>82545.187170610472</v>
      </c>
    </row>
    <row r="385" spans="12:41" x14ac:dyDescent="0.25">
      <c r="L385" s="6">
        <v>382</v>
      </c>
      <c r="M385" s="52">
        <f t="shared" si="109"/>
        <v>24635.919272833937</v>
      </c>
      <c r="N385" s="52">
        <f t="shared" si="110"/>
        <v>9373.03296707956</v>
      </c>
      <c r="P385" s="6">
        <v>382</v>
      </c>
      <c r="Q385" s="52">
        <f t="shared" si="124"/>
        <v>-16754.856509016245</v>
      </c>
      <c r="R385" s="52">
        <f t="shared" si="125"/>
        <v>11311.123076955691</v>
      </c>
      <c r="T385" s="6">
        <v>382</v>
      </c>
      <c r="U385" s="52">
        <f t="shared" si="111"/>
        <v>-364.0807271660633</v>
      </c>
      <c r="V385" s="52">
        <f t="shared" si="112"/>
        <v>-13126.96703292044</v>
      </c>
      <c r="X385" s="6">
        <v>381</v>
      </c>
      <c r="Y385" s="55">
        <v>190.5</v>
      </c>
      <c r="Z385" s="52">
        <f t="shared" si="126"/>
        <v>-72669.595649649666</v>
      </c>
      <c r="AA385" s="52">
        <f t="shared" si="127"/>
        <v>30573.569947812372</v>
      </c>
      <c r="AB385" s="52">
        <f t="shared" si="128"/>
        <v>1088.7344780897224</v>
      </c>
      <c r="AC385" s="52">
        <f t="shared" si="129"/>
        <v>-1896.3102242346238</v>
      </c>
      <c r="AD385" s="52">
        <f t="shared" si="113"/>
        <v>169.75042254932509</v>
      </c>
      <c r="AE385" s="52">
        <f t="shared" si="114"/>
        <v>-76.592220576578143</v>
      </c>
      <c r="AF385" s="52">
        <f t="shared" si="115"/>
        <v>54.807050295459526</v>
      </c>
      <c r="AG385" s="52">
        <f t="shared" si="116"/>
        <v>-13.646269844605035</v>
      </c>
      <c r="AH385" s="52">
        <f t="shared" si="117"/>
        <v>51.139690198714867</v>
      </c>
      <c r="AI385" s="52">
        <f t="shared" si="118"/>
        <v>-19.975964888952273</v>
      </c>
      <c r="AJ385" s="52">
        <f t="shared" si="119"/>
        <v>63.803682055150695</v>
      </c>
      <c r="AK385" s="52">
        <f t="shared" si="120"/>
        <v>-42.969985843020844</v>
      </c>
      <c r="AM385" s="52">
        <f t="shared" si="121"/>
        <v>95498.919302818074</v>
      </c>
      <c r="AN385" s="57">
        <f t="shared" si="122"/>
        <v>56545.186234507382</v>
      </c>
      <c r="AO385" s="57">
        <f t="shared" si="123"/>
        <v>81585.074941285871</v>
      </c>
    </row>
    <row r="386" spans="12:41" x14ac:dyDescent="0.25">
      <c r="L386" s="6">
        <v>383</v>
      </c>
      <c r="M386" s="52">
        <f t="shared" si="109"/>
        <v>24602.524267262204</v>
      </c>
      <c r="N386" s="52">
        <f t="shared" si="110"/>
        <v>9453.6556424463633</v>
      </c>
      <c r="P386" s="6">
        <v>383</v>
      </c>
      <c r="Q386" s="52">
        <f t="shared" si="124"/>
        <v>-16778.233012916458</v>
      </c>
      <c r="R386" s="52">
        <f t="shared" si="125"/>
        <v>11367.558949712455</v>
      </c>
      <c r="T386" s="6">
        <v>383</v>
      </c>
      <c r="U386" s="52">
        <f t="shared" si="111"/>
        <v>-397.47573273779562</v>
      </c>
      <c r="V386" s="52">
        <f t="shared" si="112"/>
        <v>-13046.344357553637</v>
      </c>
      <c r="X386" s="6">
        <v>382</v>
      </c>
      <c r="Y386" s="55">
        <v>191</v>
      </c>
      <c r="Z386" s="52">
        <f t="shared" si="126"/>
        <v>-72104.009607786138</v>
      </c>
      <c r="AA386" s="52">
        <f t="shared" si="127"/>
        <v>29615.84080812299</v>
      </c>
      <c r="AB386" s="52">
        <f t="shared" si="128"/>
        <v>1173.6096893643848</v>
      </c>
      <c r="AC386" s="52">
        <f t="shared" si="129"/>
        <v>-1934.6063345229129</v>
      </c>
      <c r="AD386" s="52">
        <f t="shared" si="113"/>
        <v>174.39882893425352</v>
      </c>
      <c r="AE386" s="52">
        <f t="shared" si="114"/>
        <v>-76.973228266004327</v>
      </c>
      <c r="AF386" s="52">
        <f t="shared" si="115"/>
        <v>55.808968918518353</v>
      </c>
      <c r="AG386" s="52">
        <f t="shared" si="116"/>
        <v>-13.400744196950743</v>
      </c>
      <c r="AH386" s="52">
        <f t="shared" si="117"/>
        <v>52.964610529890422</v>
      </c>
      <c r="AI386" s="52">
        <f t="shared" si="118"/>
        <v>-19.939835272548983</v>
      </c>
      <c r="AJ386" s="52">
        <f t="shared" si="119"/>
        <v>65.625249485844733</v>
      </c>
      <c r="AK386" s="52">
        <f t="shared" si="120"/>
        <v>-43.632648796504604</v>
      </c>
      <c r="AM386" s="52">
        <f t="shared" si="121"/>
        <v>94722.009060626457</v>
      </c>
      <c r="AN386" s="57">
        <f t="shared" si="122"/>
        <v>55674.132483747722</v>
      </c>
      <c r="AO386" s="57">
        <f t="shared" si="123"/>
        <v>80582.388624671745</v>
      </c>
    </row>
    <row r="387" spans="12:41" x14ac:dyDescent="0.25">
      <c r="L387" s="6">
        <v>384</v>
      </c>
      <c r="M387" s="52">
        <f t="shared" si="109"/>
        <v>24567.727288213006</v>
      </c>
      <c r="N387" s="52">
        <f t="shared" si="110"/>
        <v>9533.6832153789983</v>
      </c>
      <c r="P387" s="6">
        <v>384</v>
      </c>
      <c r="Q387" s="52">
        <f t="shared" si="124"/>
        <v>-16802.590898250895</v>
      </c>
      <c r="R387" s="52">
        <f t="shared" si="125"/>
        <v>11423.578250765298</v>
      </c>
      <c r="T387" s="6">
        <v>384</v>
      </c>
      <c r="U387" s="52">
        <f t="shared" si="111"/>
        <v>-432.27271178699448</v>
      </c>
      <c r="V387" s="52">
        <f t="shared" si="112"/>
        <v>-12966.316784621002</v>
      </c>
      <c r="X387" s="6">
        <v>383</v>
      </c>
      <c r="Y387" s="55">
        <v>191.5</v>
      </c>
      <c r="Z387" s="52">
        <f t="shared" si="126"/>
        <v>-71495.404909487159</v>
      </c>
      <c r="AA387" s="52">
        <f t="shared" si="127"/>
        <v>28638.915987328284</v>
      </c>
      <c r="AB387" s="52">
        <f t="shared" si="128"/>
        <v>1260.8091038315115</v>
      </c>
      <c r="AC387" s="52">
        <f t="shared" si="129"/>
        <v>-1973.0929486559151</v>
      </c>
      <c r="AD387" s="52">
        <f t="shared" si="113"/>
        <v>179.42589996784534</v>
      </c>
      <c r="AE387" s="52">
        <f t="shared" si="114"/>
        <v>-77.389731415590802</v>
      </c>
      <c r="AF387" s="52">
        <f t="shared" si="115"/>
        <v>56.882346107376549</v>
      </c>
      <c r="AG387" s="52">
        <f t="shared" si="116"/>
        <v>-13.141983870288144</v>
      </c>
      <c r="AH387" s="52">
        <f t="shared" si="117"/>
        <v>54.953966107094516</v>
      </c>
      <c r="AI387" s="52">
        <f t="shared" si="118"/>
        <v>-19.890752567942499</v>
      </c>
      <c r="AJ387" s="52">
        <f t="shared" si="119"/>
        <v>67.589587753374261</v>
      </c>
      <c r="AK387" s="52">
        <f t="shared" si="120"/>
        <v>-44.356994977360166</v>
      </c>
      <c r="AM387" s="52">
        <f t="shared" si="121"/>
        <v>93905.606268584044</v>
      </c>
      <c r="AN387" s="57">
        <f t="shared" si="122"/>
        <v>54764.823709884397</v>
      </c>
      <c r="AO387" s="57">
        <f t="shared" si="123"/>
        <v>79536.116718291858</v>
      </c>
    </row>
    <row r="388" spans="12:41" x14ac:dyDescent="0.25">
      <c r="L388" s="6">
        <v>385</v>
      </c>
      <c r="M388" s="52">
        <f t="shared" si="109"/>
        <v>24531.538935183249</v>
      </c>
      <c r="N388" s="52">
        <f t="shared" si="110"/>
        <v>9613.0913087034969</v>
      </c>
      <c r="P388" s="6">
        <v>385</v>
      </c>
      <c r="Q388" s="52">
        <f t="shared" si="124"/>
        <v>-16827.922745371725</v>
      </c>
      <c r="R388" s="52">
        <f t="shared" si="125"/>
        <v>11479.163916092448</v>
      </c>
      <c r="T388" s="6">
        <v>385</v>
      </c>
      <c r="U388" s="52">
        <f t="shared" si="111"/>
        <v>-468.46106481674997</v>
      </c>
      <c r="V388" s="52">
        <f t="shared" si="112"/>
        <v>-12886.908691296503</v>
      </c>
      <c r="X388" s="6">
        <v>384</v>
      </c>
      <c r="Y388" s="55">
        <v>192</v>
      </c>
      <c r="Z388" s="52">
        <f t="shared" si="126"/>
        <v>-70842.57212007542</v>
      </c>
      <c r="AA388" s="52">
        <f t="shared" si="127"/>
        <v>27642.695796573378</v>
      </c>
      <c r="AB388" s="52">
        <f t="shared" si="128"/>
        <v>1350.5220538154342</v>
      </c>
      <c r="AC388" s="52">
        <f t="shared" si="129"/>
        <v>-2011.7878143637104</v>
      </c>
      <c r="AD388" s="52">
        <f t="shared" si="113"/>
        <v>184.87139687642815</v>
      </c>
      <c r="AE388" s="52">
        <f t="shared" si="114"/>
        <v>-77.839649353353508</v>
      </c>
      <c r="AF388" s="52">
        <f t="shared" si="115"/>
        <v>58.032744938912167</v>
      </c>
      <c r="AG388" s="52">
        <f t="shared" si="116"/>
        <v>-12.867710592777417</v>
      </c>
      <c r="AH388" s="52">
        <f t="shared" si="117"/>
        <v>57.126947947702519</v>
      </c>
      <c r="AI388" s="52">
        <f t="shared" si="118"/>
        <v>-19.823414166531396</v>
      </c>
      <c r="AJ388" s="52">
        <f t="shared" si="119"/>
        <v>69.711703989813472</v>
      </c>
      <c r="AK388" s="52">
        <f t="shared" si="120"/>
        <v>-45.148524594044687</v>
      </c>
      <c r="AM388" s="52">
        <f t="shared" si="121"/>
        <v>93048.917797814283</v>
      </c>
      <c r="AN388" s="57">
        <f t="shared" si="122"/>
        <v>53816.650348711766</v>
      </c>
      <c r="AO388" s="57">
        <f t="shared" si="123"/>
        <v>78445.164339087409</v>
      </c>
    </row>
    <row r="389" spans="12:41" x14ac:dyDescent="0.25">
      <c r="L389" s="6">
        <v>386</v>
      </c>
      <c r="M389" s="52">
        <f t="shared" ref="M389:M452" si="130">$G$20*COS(L389*PI()/180)+$G$19</f>
        <v>24493.970231495834</v>
      </c>
      <c r="N389" s="52">
        <f t="shared" ref="N389:N452" si="131">$G$20*SIN(L389*PI()/180)+$H$19</f>
        <v>9691.8557339453873</v>
      </c>
      <c r="P389" s="6">
        <v>386</v>
      </c>
      <c r="Q389" s="52">
        <f t="shared" si="124"/>
        <v>-16854.220837952915</v>
      </c>
      <c r="R389" s="52">
        <f t="shared" si="125"/>
        <v>11534.299013761771</v>
      </c>
      <c r="T389" s="6">
        <v>386</v>
      </c>
      <c r="U389" s="52">
        <f t="shared" ref="U389:U452" si="132">$G$40*COS(T389*PI()/180)+$G$39</f>
        <v>-506.02976850416508</v>
      </c>
      <c r="V389" s="52">
        <f t="shared" ref="V389:V452" si="133">$G$40*SIN(T389*PI()/180)+$H$39</f>
        <v>-12808.144266054613</v>
      </c>
      <c r="X389" s="6">
        <v>385</v>
      </c>
      <c r="Y389" s="55">
        <v>192.5</v>
      </c>
      <c r="Z389" s="52">
        <f t="shared" si="126"/>
        <v>-70144.202168558157</v>
      </c>
      <c r="AA389" s="52">
        <f t="shared" si="127"/>
        <v>26627.071933222353</v>
      </c>
      <c r="AB389" s="52">
        <f t="shared" si="128"/>
        <v>1442.9577522536483</v>
      </c>
      <c r="AC389" s="52">
        <f t="shared" si="129"/>
        <v>-2050.7076390403872</v>
      </c>
      <c r="AD389" s="52">
        <f t="shared" ref="AD389:AD452" si="134">AF389+AH389+AJ389</f>
        <v>190.7809177223607</v>
      </c>
      <c r="AE389" s="52">
        <f t="shared" ref="AE389:AE452" si="135">AG389+AI389+AK389</f>
        <v>-78.320078134646053</v>
      </c>
      <c r="AF389" s="52">
        <f t="shared" ref="AF389:AF452" si="136">(($G$19-Z389)/(AM389^2+$G$24^2)^(3/2))*$G$23</f>
        <v>59.266394858745763</v>
      </c>
      <c r="AG389" s="52">
        <f t="shared" ref="AG389:AG452" si="137">(($H$19-AA389)/(AM389^2+$G$24^2)^(3/2))*$G$23</f>
        <v>-12.575324540188577</v>
      </c>
      <c r="AH389" s="52">
        <f t="shared" ref="AH389:AH452" si="138">(($G$29-Z389)/(AN389^2+$G$34^2)^(3/2))*$G$33</f>
        <v>59.505728230245154</v>
      </c>
      <c r="AI389" s="52">
        <f t="shared" ref="AI389:AI452" si="139">(($H$29-AA389)/(AN389^2+$G$34^2)^(3/2))*$G$33</f>
        <v>-19.731214795226158</v>
      </c>
      <c r="AJ389" s="52">
        <f t="shared" ref="AJ389:AJ452" si="140">(($G$39-Z389)/(AO389^2+$G$44^2)^(3/2))*$G$43</f>
        <v>72.008794633369774</v>
      </c>
      <c r="AK389" s="52">
        <f t="shared" ref="AK389:AK452" si="141">(($H$39-AA389)/(AO389^2+$G$44^2)^(3/2))*$G$43</f>
        <v>-46.01353879923132</v>
      </c>
      <c r="AM389" s="52">
        <f t="shared" ref="AM389:AM452" si="142">SQRT(($G$19-Z389)^2+($H$19-AA389)^2)</f>
        <v>92151.082822420198</v>
      </c>
      <c r="AN389" s="57">
        <f t="shared" ref="AN389:AN452" si="143">SQRT(($G$29-Z389)^2+($H$29-AA389)^2)</f>
        <v>52828.974362500951</v>
      </c>
      <c r="AO389" s="57">
        <f t="shared" ref="AO389:AO452" si="144">SQRT(($G$39-Z389)^2+($H$39-AA389)^2)</f>
        <v>77308.344917684313</v>
      </c>
    </row>
    <row r="390" spans="12:41" x14ac:dyDescent="0.25">
      <c r="L390" s="6">
        <v>387</v>
      </c>
      <c r="M390" s="52">
        <f t="shared" si="130"/>
        <v>24455.032620941838</v>
      </c>
      <c r="N390" s="52">
        <f t="shared" si="131"/>
        <v>9769.9524986977376</v>
      </c>
      <c r="P390" s="6">
        <v>387</v>
      </c>
      <c r="Q390" s="52">
        <f t="shared" ref="Q390:Q453" si="145">$G$30*COS(P390*PI()/180)+$G$29</f>
        <v>-16881.477165340715</v>
      </c>
      <c r="R390" s="52">
        <f t="shared" ref="R390:R453" si="146">$G$30*SIN(P390*PI()/180)+$H$29</f>
        <v>11588.966749088417</v>
      </c>
      <c r="T390" s="6">
        <v>387</v>
      </c>
      <c r="U390" s="52">
        <f t="shared" si="132"/>
        <v>-544.9673790581619</v>
      </c>
      <c r="V390" s="52">
        <f t="shared" si="133"/>
        <v>-12730.047501302262</v>
      </c>
      <c r="X390" s="6">
        <v>386</v>
      </c>
      <c r="Y390" s="55">
        <v>193</v>
      </c>
      <c r="Z390" s="52">
        <f t="shared" ref="Z390:Z453" si="147">Z389+AB389*$G$4+((1/2)*AD389)*$G$4^2</f>
        <v>-69398.875677716031</v>
      </c>
      <c r="AA390" s="52">
        <f t="shared" ref="AA390:AA453" si="148">AA389+AC389*$G$4+((1/2)*AE389)*$G$4^2</f>
        <v>25591.928103935326</v>
      </c>
      <c r="AB390" s="52">
        <f t="shared" ref="AB390:AB453" si="149">AB389+AD389*$G$4</f>
        <v>1538.3482111148287</v>
      </c>
      <c r="AC390" s="52">
        <f t="shared" ref="AC390:AC453" si="150">AC389+AE389*$G$4</f>
        <v>-2089.8676781077102</v>
      </c>
      <c r="AD390" s="52">
        <f t="shared" si="134"/>
        <v>197.20695556337489</v>
      </c>
      <c r="AE390" s="52">
        <f t="shared" si="135"/>
        <v>-78.827008347228983</v>
      </c>
      <c r="AF390" s="52">
        <f t="shared" si="136"/>
        <v>60.59028840190183</v>
      </c>
      <c r="AG390" s="52">
        <f t="shared" si="137"/>
        <v>-12.261844830305366</v>
      </c>
      <c r="AH390" s="52">
        <f t="shared" si="138"/>
        <v>62.116018447192836</v>
      </c>
      <c r="AI390" s="52">
        <f t="shared" si="139"/>
        <v>-19.605881317016454</v>
      </c>
      <c r="AJ390" s="52">
        <f t="shared" si="140"/>
        <v>74.500648714280246</v>
      </c>
      <c r="AK390" s="52">
        <f t="shared" si="141"/>
        <v>-46.959282199907165</v>
      </c>
      <c r="AM390" s="52">
        <f t="shared" si="142"/>
        <v>91211.166174749087</v>
      </c>
      <c r="AN390" s="57">
        <f t="shared" si="143"/>
        <v>51801.130684771088</v>
      </c>
      <c r="AO390" s="57">
        <f t="shared" si="144"/>
        <v>76124.370708393908</v>
      </c>
    </row>
    <row r="391" spans="12:41" x14ac:dyDescent="0.25">
      <c r="L391" s="6">
        <v>388</v>
      </c>
      <c r="M391" s="52">
        <f t="shared" si="130"/>
        <v>24414.737964294636</v>
      </c>
      <c r="N391" s="52">
        <f t="shared" si="131"/>
        <v>9847.3578139294514</v>
      </c>
      <c r="P391" s="6">
        <v>388</v>
      </c>
      <c r="Q391" s="52">
        <f t="shared" si="145"/>
        <v>-16909.683424993753</v>
      </c>
      <c r="R391" s="52">
        <f t="shared" si="146"/>
        <v>11643.150469750617</v>
      </c>
      <c r="T391" s="6">
        <v>388</v>
      </c>
      <c r="U391" s="52">
        <f t="shared" si="132"/>
        <v>-585.26203570536381</v>
      </c>
      <c r="V391" s="52">
        <f t="shared" si="133"/>
        <v>-12652.642186070549</v>
      </c>
      <c r="X391" s="6">
        <v>387</v>
      </c>
      <c r="Y391" s="55">
        <v>193.5</v>
      </c>
      <c r="Z391" s="52">
        <f t="shared" si="147"/>
        <v>-68605.050702713197</v>
      </c>
      <c r="AA391" s="52">
        <f t="shared" si="148"/>
        <v>24537.140888838068</v>
      </c>
      <c r="AB391" s="52">
        <f t="shared" si="149"/>
        <v>1636.9516888965161</v>
      </c>
      <c r="AC391" s="52">
        <f t="shared" si="150"/>
        <v>-2129.2811822813246</v>
      </c>
      <c r="AD391" s="52">
        <f t="shared" si="134"/>
        <v>204.21018677537029</v>
      </c>
      <c r="AE391" s="52">
        <f t="shared" si="135"/>
        <v>-79.354948557891575</v>
      </c>
      <c r="AF391" s="52">
        <f t="shared" si="136"/>
        <v>62.012295602794502</v>
      </c>
      <c r="AG391" s="52">
        <f t="shared" si="137"/>
        <v>-11.923837395792289</v>
      </c>
      <c r="AH391" s="52">
        <f t="shared" si="138"/>
        <v>64.987748666595891</v>
      </c>
      <c r="AI391" s="52">
        <f t="shared" si="139"/>
        <v>-19.436993578981419</v>
      </c>
      <c r="AJ391" s="52">
        <f t="shared" si="140"/>
        <v>77.210142505979874</v>
      </c>
      <c r="AK391" s="52">
        <f t="shared" si="141"/>
        <v>-47.99411758311787</v>
      </c>
      <c r="AM391" s="52">
        <f t="shared" si="142"/>
        <v>90228.150705289838</v>
      </c>
      <c r="AN391" s="57">
        <f t="shared" si="143"/>
        <v>50732.429658308778</v>
      </c>
      <c r="AO391" s="57">
        <f t="shared" si="144"/>
        <v>74891.84190923968</v>
      </c>
    </row>
    <row r="392" spans="12:41" x14ac:dyDescent="0.25">
      <c r="L392" s="6">
        <v>389</v>
      </c>
      <c r="M392" s="52">
        <f t="shared" si="130"/>
        <v>24373.09853569698</v>
      </c>
      <c r="N392" s="52">
        <f t="shared" si="131"/>
        <v>9924.048101231685</v>
      </c>
      <c r="P392" s="6">
        <v>389</v>
      </c>
      <c r="Q392" s="52">
        <f t="shared" si="145"/>
        <v>-16938.831025012114</v>
      </c>
      <c r="R392" s="52">
        <f t="shared" si="146"/>
        <v>11696.833670862181</v>
      </c>
      <c r="T392" s="6">
        <v>389</v>
      </c>
      <c r="U392" s="52">
        <f t="shared" si="132"/>
        <v>-626.90146430302138</v>
      </c>
      <c r="V392" s="52">
        <f t="shared" si="133"/>
        <v>-12575.951898768315</v>
      </c>
      <c r="X392" s="6">
        <v>388</v>
      </c>
      <c r="Y392" s="55">
        <v>194</v>
      </c>
      <c r="Z392" s="52">
        <f t="shared" si="147"/>
        <v>-67761.048584918011</v>
      </c>
      <c r="AA392" s="52">
        <f t="shared" si="148"/>
        <v>23462.580929127671</v>
      </c>
      <c r="AB392" s="52">
        <f t="shared" si="149"/>
        <v>1739.0567822842013</v>
      </c>
      <c r="AC392" s="52">
        <f t="shared" si="150"/>
        <v>-2168.9586565602704</v>
      </c>
      <c r="AD392" s="52">
        <f t="shared" si="134"/>
        <v>211.86104686360659</v>
      </c>
      <c r="AE392" s="52">
        <f t="shared" si="135"/>
        <v>-79.896419823347884</v>
      </c>
      <c r="AF392" s="52">
        <f t="shared" si="136"/>
        <v>63.541299957269302</v>
      </c>
      <c r="AG392" s="52">
        <f t="shared" si="137"/>
        <v>-11.557327074647047</v>
      </c>
      <c r="AH392" s="52">
        <f t="shared" si="138"/>
        <v>68.155896608720056</v>
      </c>
      <c r="AI392" s="52">
        <f t="shared" si="139"/>
        <v>-19.211351113046902</v>
      </c>
      <c r="AJ392" s="52">
        <f t="shared" si="140"/>
        <v>80.163850297617202</v>
      </c>
      <c r="AK392" s="52">
        <f t="shared" si="141"/>
        <v>-49.12774163565394</v>
      </c>
      <c r="AM392" s="52">
        <f t="shared" si="142"/>
        <v>89200.928462899363</v>
      </c>
      <c r="AN392" s="57">
        <f t="shared" si="143"/>
        <v>49622.1608477927</v>
      </c>
      <c r="AO392" s="57">
        <f t="shared" si="144"/>
        <v>73609.234143605485</v>
      </c>
    </row>
    <row r="393" spans="12:41" x14ac:dyDescent="0.25">
      <c r="L393" s="6">
        <v>390</v>
      </c>
      <c r="M393" s="52">
        <f t="shared" si="130"/>
        <v>24330.127018922194</v>
      </c>
      <c r="N393" s="52">
        <f t="shared" si="131"/>
        <v>9999.9999999999964</v>
      </c>
      <c r="P393" s="6">
        <v>390</v>
      </c>
      <c r="Q393" s="52">
        <f t="shared" si="145"/>
        <v>-16968.911086754462</v>
      </c>
      <c r="R393" s="52">
        <f t="shared" si="146"/>
        <v>11749.999999999998</v>
      </c>
      <c r="T393" s="6">
        <v>390</v>
      </c>
      <c r="U393" s="52">
        <f t="shared" si="132"/>
        <v>-669.87298107780498</v>
      </c>
      <c r="V393" s="52">
        <f t="shared" si="133"/>
        <v>-12500.000000000004</v>
      </c>
      <c r="X393" s="6">
        <v>389</v>
      </c>
      <c r="Y393" s="55">
        <v>194.5</v>
      </c>
      <c r="Z393" s="52">
        <f t="shared" si="147"/>
        <v>-66865.037562917962</v>
      </c>
      <c r="AA393" s="52">
        <f t="shared" si="148"/>
        <v>22368.114548369616</v>
      </c>
      <c r="AB393" s="52">
        <f t="shared" si="149"/>
        <v>1844.9873057160046</v>
      </c>
      <c r="AC393" s="52">
        <f t="shared" si="150"/>
        <v>-2208.9068664719443</v>
      </c>
      <c r="AD393" s="52">
        <f t="shared" si="134"/>
        <v>220.24166670703738</v>
      </c>
      <c r="AE393" s="52">
        <f t="shared" si="135"/>
        <v>-80.44127275318553</v>
      </c>
      <c r="AF393" s="52">
        <f t="shared" si="136"/>
        <v>65.187360799181221</v>
      </c>
      <c r="AG393" s="52">
        <f t="shared" si="137"/>
        <v>-11.15768984461794</v>
      </c>
      <c r="AH393" s="52">
        <f t="shared" si="138"/>
        <v>71.661501984852251</v>
      </c>
      <c r="AI393" s="52">
        <f t="shared" si="139"/>
        <v>-18.912129624711316</v>
      </c>
      <c r="AJ393" s="52">
        <f t="shared" si="140"/>
        <v>83.392803923003882</v>
      </c>
      <c r="AK393" s="52">
        <f t="shared" si="141"/>
        <v>-50.371453283856283</v>
      </c>
      <c r="AM393" s="52">
        <f t="shared" si="142"/>
        <v>88128.290469239146</v>
      </c>
      <c r="AN393" s="57">
        <f t="shared" si="143"/>
        <v>48469.598752778053</v>
      </c>
      <c r="AO393" s="57">
        <f t="shared" si="144"/>
        <v>72274.884002406558</v>
      </c>
    </row>
    <row r="394" spans="12:41" x14ac:dyDescent="0.25">
      <c r="L394" s="6">
        <v>391</v>
      </c>
      <c r="M394" s="52">
        <f t="shared" si="130"/>
        <v>24285.83650351056</v>
      </c>
      <c r="N394" s="52">
        <f t="shared" si="131"/>
        <v>10075.19037455027</v>
      </c>
      <c r="P394" s="6">
        <v>391</v>
      </c>
      <c r="Q394" s="52">
        <f t="shared" si="145"/>
        <v>-16999.914447542607</v>
      </c>
      <c r="R394" s="52">
        <f t="shared" si="146"/>
        <v>11802.633262185189</v>
      </c>
      <c r="T394" s="6">
        <v>391</v>
      </c>
      <c r="U394" s="52">
        <f t="shared" si="132"/>
        <v>-714.16349648943833</v>
      </c>
      <c r="V394" s="52">
        <f t="shared" si="133"/>
        <v>-12424.80962544973</v>
      </c>
      <c r="X394" s="6">
        <v>390</v>
      </c>
      <c r="Y394" s="55">
        <v>195</v>
      </c>
      <c r="Z394" s="52">
        <f t="shared" si="147"/>
        <v>-65915.013701721575</v>
      </c>
      <c r="AA394" s="52">
        <f t="shared" si="148"/>
        <v>21253.605956039497</v>
      </c>
      <c r="AB394" s="52">
        <f t="shared" si="149"/>
        <v>1955.1081390695233</v>
      </c>
      <c r="AC394" s="52">
        <f t="shared" si="150"/>
        <v>-2249.127502848537</v>
      </c>
      <c r="AD394" s="52">
        <f t="shared" si="134"/>
        <v>229.44826210087314</v>
      </c>
      <c r="AE394" s="52">
        <f t="shared" si="135"/>
        <v>-80.975758511096615</v>
      </c>
      <c r="AF394" s="52">
        <f t="shared" si="136"/>
        <v>66.961908254721607</v>
      </c>
      <c r="AG394" s="52">
        <f t="shared" si="137"/>
        <v>-10.719519912984136</v>
      </c>
      <c r="AH394" s="52">
        <f t="shared" si="138"/>
        <v>75.552909383185067</v>
      </c>
      <c r="AI394" s="52">
        <f t="shared" si="139"/>
        <v>-18.517748389539175</v>
      </c>
      <c r="AJ394" s="52">
        <f t="shared" si="140"/>
        <v>86.933444462966463</v>
      </c>
      <c r="AK394" s="52">
        <f t="shared" si="141"/>
        <v>-51.738490208573296</v>
      </c>
      <c r="AM394" s="52">
        <f t="shared" si="142"/>
        <v>87008.914808547124</v>
      </c>
      <c r="AN394" s="57">
        <f t="shared" si="143"/>
        <v>47274.01115034653</v>
      </c>
      <c r="AO394" s="57">
        <f t="shared" si="144"/>
        <v>70886.972280502348</v>
      </c>
    </row>
    <row r="395" spans="12:41" x14ac:dyDescent="0.25">
      <c r="L395" s="6">
        <v>392</v>
      </c>
      <c r="M395" s="52">
        <f t="shared" si="130"/>
        <v>24240.240480782129</v>
      </c>
      <c r="N395" s="52">
        <f t="shared" si="131"/>
        <v>10149.596321166024</v>
      </c>
      <c r="P395" s="6">
        <v>392</v>
      </c>
      <c r="Q395" s="52">
        <f t="shared" si="145"/>
        <v>-17031.831663452507</v>
      </c>
      <c r="R395" s="52">
        <f t="shared" si="146"/>
        <v>11854.717424816215</v>
      </c>
      <c r="T395" s="6">
        <v>392</v>
      </c>
      <c r="U395" s="52">
        <f t="shared" si="132"/>
        <v>-759.75951921786873</v>
      </c>
      <c r="V395" s="52">
        <f t="shared" si="133"/>
        <v>-12350.403678833976</v>
      </c>
      <c r="X395" s="6">
        <v>391</v>
      </c>
      <c r="Y395" s="55">
        <v>195.5</v>
      </c>
      <c r="Z395" s="52">
        <f t="shared" si="147"/>
        <v>-64908.778599424208</v>
      </c>
      <c r="AA395" s="52">
        <f t="shared" si="148"/>
        <v>20118.920234801339</v>
      </c>
      <c r="AB395" s="52">
        <f t="shared" si="149"/>
        <v>2069.83227011996</v>
      </c>
      <c r="AC395" s="52">
        <f t="shared" si="150"/>
        <v>-2289.6153821040853</v>
      </c>
      <c r="AD395" s="52">
        <f t="shared" si="134"/>
        <v>239.59409462775858</v>
      </c>
      <c r="AE395" s="52">
        <f t="shared" si="135"/>
        <v>-81.481255911503595</v>
      </c>
      <c r="AF395" s="52">
        <f t="shared" si="136"/>
        <v>68.877978643511923</v>
      </c>
      <c r="AG395" s="52">
        <f t="shared" si="137"/>
        <v>-10.236464742206541</v>
      </c>
      <c r="AH395" s="52">
        <f t="shared" si="138"/>
        <v>79.887291537676418</v>
      </c>
      <c r="AI395" s="52">
        <f t="shared" si="139"/>
        <v>-18.00033659464593</v>
      </c>
      <c r="AJ395" s="52">
        <f t="shared" si="140"/>
        <v>90.828824446570238</v>
      </c>
      <c r="AK395" s="52">
        <f t="shared" si="141"/>
        <v>-53.244454574651122</v>
      </c>
      <c r="AM395" s="52">
        <f t="shared" si="142"/>
        <v>85841.352687025588</v>
      </c>
      <c r="AN395" s="57">
        <f t="shared" si="143"/>
        <v>46034.671086153896</v>
      </c>
      <c r="AO395" s="57">
        <f t="shared" si="144"/>
        <v>69443.504460339318</v>
      </c>
    </row>
    <row r="396" spans="12:41" x14ac:dyDescent="0.25">
      <c r="L396" s="6">
        <v>393</v>
      </c>
      <c r="M396" s="52">
        <f t="shared" si="130"/>
        <v>24193.352839727122</v>
      </c>
      <c r="N396" s="52">
        <f t="shared" si="131"/>
        <v>10223.195175075132</v>
      </c>
      <c r="P396" s="6">
        <v>393</v>
      </c>
      <c r="Q396" s="52">
        <f t="shared" si="145"/>
        <v>-17064.653012191015</v>
      </c>
      <c r="R396" s="52">
        <f t="shared" si="146"/>
        <v>11906.236622552593</v>
      </c>
      <c r="T396" s="6">
        <v>393</v>
      </c>
      <c r="U396" s="52">
        <f t="shared" si="132"/>
        <v>-806.64716027287795</v>
      </c>
      <c r="V396" s="52">
        <f t="shared" si="133"/>
        <v>-12276.804824924868</v>
      </c>
      <c r="X396" s="6">
        <v>392</v>
      </c>
      <c r="Y396" s="55">
        <v>196</v>
      </c>
      <c r="Z396" s="52">
        <f t="shared" si="147"/>
        <v>-63843.913202535754</v>
      </c>
      <c r="AA396" s="52">
        <f t="shared" si="148"/>
        <v>18963.927386760359</v>
      </c>
      <c r="AB396" s="52">
        <f t="shared" si="149"/>
        <v>2189.6293174338393</v>
      </c>
      <c r="AC396" s="52">
        <f t="shared" si="150"/>
        <v>-2330.356010059837</v>
      </c>
      <c r="AD396" s="52">
        <f t="shared" si="134"/>
        <v>250.8131531326336</v>
      </c>
      <c r="AE396" s="52">
        <f t="shared" si="135"/>
        <v>-81.932513939355772</v>
      </c>
      <c r="AF396" s="52">
        <f t="shared" si="136"/>
        <v>70.950500451427786</v>
      </c>
      <c r="AG396" s="52">
        <f t="shared" si="137"/>
        <v>-9.7010188833227886</v>
      </c>
      <c r="AH396" s="52">
        <f t="shared" si="138"/>
        <v>84.732512960675336</v>
      </c>
      <c r="AI396" s="52">
        <f t="shared" si="139"/>
        <v>-17.323638288593642</v>
      </c>
      <c r="AJ396" s="52">
        <f t="shared" si="140"/>
        <v>95.130139720530494</v>
      </c>
      <c r="AK396" s="52">
        <f t="shared" si="141"/>
        <v>-54.907856767439334</v>
      </c>
      <c r="AM396" s="52">
        <f t="shared" si="142"/>
        <v>84624.012031120714</v>
      </c>
      <c r="AN396" s="57">
        <f t="shared" si="143"/>
        <v>44750.873947964428</v>
      </c>
      <c r="AO396" s="57">
        <f t="shared" si="144"/>
        <v>67942.287895836213</v>
      </c>
    </row>
    <row r="397" spans="12:41" x14ac:dyDescent="0.25">
      <c r="L397" s="6">
        <v>394</v>
      </c>
      <c r="M397" s="52">
        <f t="shared" si="130"/>
        <v>24145.187862775208</v>
      </c>
      <c r="N397" s="52">
        <f t="shared" si="131"/>
        <v>10295.964517353732</v>
      </c>
      <c r="P397" s="6">
        <v>394</v>
      </c>
      <c r="Q397" s="52">
        <f t="shared" si="145"/>
        <v>-17098.368496057352</v>
      </c>
      <c r="R397" s="52">
        <f t="shared" si="146"/>
        <v>11957.175162147612</v>
      </c>
      <c r="T397" s="6">
        <v>394</v>
      </c>
      <c r="U397" s="52">
        <f t="shared" si="132"/>
        <v>-854.81213722478969</v>
      </c>
      <c r="V397" s="52">
        <f t="shared" si="133"/>
        <v>-12204.035482646268</v>
      </c>
      <c r="X397" s="6">
        <v>393</v>
      </c>
      <c r="Y397" s="55">
        <v>196.5</v>
      </c>
      <c r="Z397" s="52">
        <f t="shared" si="147"/>
        <v>-62717.746899677259</v>
      </c>
      <c r="AA397" s="52">
        <f t="shared" si="148"/>
        <v>17788.507817488022</v>
      </c>
      <c r="AB397" s="52">
        <f t="shared" si="149"/>
        <v>2315.0358940001561</v>
      </c>
      <c r="AC397" s="52">
        <f t="shared" si="150"/>
        <v>-2371.3222670295149</v>
      </c>
      <c r="AD397" s="52">
        <f t="shared" si="134"/>
        <v>263.2647426721802</v>
      </c>
      <c r="AE397" s="52">
        <f t="shared" si="135"/>
        <v>-82.295205815686543</v>
      </c>
      <c r="AF397" s="52">
        <f t="shared" si="136"/>
        <v>73.196644009903892</v>
      </c>
      <c r="AG397" s="52">
        <f t="shared" si="137"/>
        <v>-9.1042644696687471</v>
      </c>
      <c r="AH397" s="52">
        <f t="shared" si="138"/>
        <v>90.169399019843198</v>
      </c>
      <c r="AI397" s="52">
        <f t="shared" si="139"/>
        <v>-16.440124307435127</v>
      </c>
      <c r="AJ397" s="52">
        <f t="shared" si="140"/>
        <v>99.898699642433129</v>
      </c>
      <c r="AK397" s="52">
        <f t="shared" si="141"/>
        <v>-56.750817038582667</v>
      </c>
      <c r="AM397" s="52">
        <f t="shared" si="142"/>
        <v>83355.138085600818</v>
      </c>
      <c r="AN397" s="57">
        <f t="shared" si="143"/>
        <v>43421.961657759748</v>
      </c>
      <c r="AO397" s="57">
        <f t="shared" si="144"/>
        <v>66380.90502601389</v>
      </c>
    </row>
    <row r="398" spans="12:41" x14ac:dyDescent="0.25">
      <c r="L398" s="6">
        <v>395</v>
      </c>
      <c r="M398" s="52">
        <f t="shared" si="130"/>
        <v>24095.760221444958</v>
      </c>
      <c r="N398" s="52">
        <f t="shared" si="131"/>
        <v>10367.882181755231</v>
      </c>
      <c r="P398" s="6">
        <v>395</v>
      </c>
      <c r="Q398" s="52">
        <f t="shared" si="145"/>
        <v>-17132.967844988529</v>
      </c>
      <c r="R398" s="52">
        <f t="shared" si="146"/>
        <v>12007.517527228661</v>
      </c>
      <c r="T398" s="6">
        <v>395</v>
      </c>
      <c r="U398" s="52">
        <f t="shared" si="132"/>
        <v>-904.23977855504108</v>
      </c>
      <c r="V398" s="52">
        <f t="shared" si="133"/>
        <v>-12132.117818244769</v>
      </c>
      <c r="X398" s="6">
        <v>394</v>
      </c>
      <c r="Y398" s="55">
        <v>197</v>
      </c>
      <c r="Z398" s="52">
        <f t="shared" si="147"/>
        <v>-61527.320859843159</v>
      </c>
      <c r="AA398" s="52">
        <f t="shared" si="148"/>
        <v>16592.559783246303</v>
      </c>
      <c r="AB398" s="52">
        <f t="shared" si="149"/>
        <v>2446.6682653362463</v>
      </c>
      <c r="AC398" s="52">
        <f t="shared" si="150"/>
        <v>-2412.469869937358</v>
      </c>
      <c r="AD398" s="52">
        <f t="shared" si="134"/>
        <v>277.1392104514137</v>
      </c>
      <c r="AE398" s="52">
        <f t="shared" si="135"/>
        <v>-82.52249689396811</v>
      </c>
      <c r="AF398" s="52">
        <f t="shared" si="136"/>
        <v>75.636252069214734</v>
      </c>
      <c r="AG398" s="52">
        <f t="shared" si="137"/>
        <v>-8.4355420546974784</v>
      </c>
      <c r="AH398" s="52">
        <f t="shared" si="138"/>
        <v>96.294471891900301</v>
      </c>
      <c r="AI398" s="52">
        <f t="shared" si="139"/>
        <v>-15.286973722337097</v>
      </c>
      <c r="AJ398" s="52">
        <f t="shared" si="140"/>
        <v>105.20848649029867</v>
      </c>
      <c r="AK398" s="52">
        <f t="shared" si="141"/>
        <v>-58.799981116933544</v>
      </c>
      <c r="AM398" s="52">
        <f t="shared" si="142"/>
        <v>82032.790334083635</v>
      </c>
      <c r="AN398" s="57">
        <f t="shared" si="143"/>
        <v>42047.356900191022</v>
      </c>
      <c r="AO398" s="57">
        <f t="shared" si="144"/>
        <v>64756.681796164099</v>
      </c>
    </row>
    <row r="399" spans="12:41" x14ac:dyDescent="0.25">
      <c r="L399" s="6">
        <v>396</v>
      </c>
      <c r="M399" s="52">
        <f t="shared" si="130"/>
        <v>24045.084971874734</v>
      </c>
      <c r="N399" s="52">
        <f t="shared" si="131"/>
        <v>10438.926261462368</v>
      </c>
      <c r="P399" s="6">
        <v>396</v>
      </c>
      <c r="Q399" s="52">
        <f t="shared" si="145"/>
        <v>-17168.440519687687</v>
      </c>
      <c r="R399" s="52">
        <f t="shared" si="146"/>
        <v>12057.248383023658</v>
      </c>
      <c r="T399" s="6">
        <v>396</v>
      </c>
      <c r="U399" s="52">
        <f t="shared" si="132"/>
        <v>-954.91502812526505</v>
      </c>
      <c r="V399" s="52">
        <f t="shared" si="133"/>
        <v>-12061.073738537632</v>
      </c>
      <c r="X399" s="6">
        <v>395</v>
      </c>
      <c r="Y399" s="55">
        <v>197.5</v>
      </c>
      <c r="Z399" s="52">
        <f t="shared" si="147"/>
        <v>-60269.344325868609</v>
      </c>
      <c r="AA399" s="52">
        <f t="shared" si="148"/>
        <v>15376.009536165877</v>
      </c>
      <c r="AB399" s="52">
        <f t="shared" si="149"/>
        <v>2585.2378705619531</v>
      </c>
      <c r="AC399" s="52">
        <f t="shared" si="150"/>
        <v>-2453.7311183843422</v>
      </c>
      <c r="AD399" s="52">
        <f t="shared" si="134"/>
        <v>292.6650808790871</v>
      </c>
      <c r="AE399" s="52">
        <f t="shared" si="135"/>
        <v>-82.550188776379287</v>
      </c>
      <c r="AF399" s="52">
        <f t="shared" si="136"/>
        <v>78.292373962710641</v>
      </c>
      <c r="AG399" s="52">
        <f t="shared" si="137"/>
        <v>-7.6820296604895848</v>
      </c>
      <c r="AH399" s="52">
        <f t="shared" si="138"/>
        <v>103.22319062483693</v>
      </c>
      <c r="AI399" s="52">
        <f t="shared" si="139"/>
        <v>-13.78042941702706</v>
      </c>
      <c r="AJ399" s="52">
        <f t="shared" si="140"/>
        <v>111.14951629153956</v>
      </c>
      <c r="AK399" s="52">
        <f t="shared" si="141"/>
        <v>-61.087729698862638</v>
      </c>
      <c r="AM399" s="52">
        <f t="shared" si="142"/>
        <v>80654.814888626657</v>
      </c>
      <c r="AN399" s="57">
        <f t="shared" si="143"/>
        <v>40626.611610720291</v>
      </c>
      <c r="AO399" s="57">
        <f t="shared" si="144"/>
        <v>63066.6502801018</v>
      </c>
    </row>
    <row r="400" spans="12:41" x14ac:dyDescent="0.25">
      <c r="L400" s="6">
        <v>397</v>
      </c>
      <c r="M400" s="52">
        <f t="shared" si="130"/>
        <v>23993.177550236465</v>
      </c>
      <c r="N400" s="52">
        <f t="shared" si="131"/>
        <v>10509.075115760239</v>
      </c>
      <c r="P400" s="6">
        <v>397</v>
      </c>
      <c r="Q400" s="52">
        <f t="shared" si="145"/>
        <v>-17204.775714834475</v>
      </c>
      <c r="R400" s="52">
        <f t="shared" si="146"/>
        <v>12106.352581032168</v>
      </c>
      <c r="T400" s="6">
        <v>397</v>
      </c>
      <c r="U400" s="52">
        <f t="shared" si="132"/>
        <v>-1006.8224497635342</v>
      </c>
      <c r="V400" s="52">
        <f t="shared" si="133"/>
        <v>-11990.924884239761</v>
      </c>
      <c r="X400" s="6">
        <v>396</v>
      </c>
      <c r="Y400" s="55">
        <v>198</v>
      </c>
      <c r="Z400" s="52">
        <f t="shared" si="147"/>
        <v>-58940.142255477753</v>
      </c>
      <c r="AA400" s="52">
        <f t="shared" si="148"/>
        <v>14138.825203376658</v>
      </c>
      <c r="AB400" s="52">
        <f t="shared" si="149"/>
        <v>2731.5704110014967</v>
      </c>
      <c r="AC400" s="52">
        <f t="shared" si="150"/>
        <v>-2495.0062127725319</v>
      </c>
      <c r="AD400" s="52">
        <f t="shared" si="134"/>
        <v>310.11790105588994</v>
      </c>
      <c r="AE400" s="52">
        <f t="shared" si="135"/>
        <v>-82.289793269129916</v>
      </c>
      <c r="AF400" s="52">
        <f t="shared" si="136"/>
        <v>81.191933623086925</v>
      </c>
      <c r="AG400" s="52">
        <f t="shared" si="137"/>
        <v>-6.8281996946924801</v>
      </c>
      <c r="AH400" s="52">
        <f t="shared" si="138"/>
        <v>111.09366389379625</v>
      </c>
      <c r="AI400" s="52">
        <f t="shared" si="139"/>
        <v>-11.807796002450896</v>
      </c>
      <c r="AJ400" s="52">
        <f t="shared" si="140"/>
        <v>117.83230353900676</v>
      </c>
      <c r="AK400" s="52">
        <f t="shared" si="141"/>
        <v>-63.653797571986544</v>
      </c>
      <c r="AM400" s="52">
        <f t="shared" si="142"/>
        <v>79218.811272298539</v>
      </c>
      <c r="AN400" s="57">
        <f t="shared" si="143"/>
        <v>39159.475902276194</v>
      </c>
      <c r="AO400" s="57">
        <f t="shared" si="144"/>
        <v>61307.504277813459</v>
      </c>
    </row>
    <row r="401" spans="12:41" x14ac:dyDescent="0.25">
      <c r="L401" s="6">
        <v>398</v>
      </c>
      <c r="M401" s="52">
        <f t="shared" si="130"/>
        <v>23940.053768033609</v>
      </c>
      <c r="N401" s="52">
        <f t="shared" si="131"/>
        <v>10578.307376628292</v>
      </c>
      <c r="P401" s="6">
        <v>398</v>
      </c>
      <c r="Q401" s="52">
        <f t="shared" si="145"/>
        <v>-17241.962362376475</v>
      </c>
      <c r="R401" s="52">
        <f t="shared" si="146"/>
        <v>12154.815163639803</v>
      </c>
      <c r="T401" s="6">
        <v>398</v>
      </c>
      <c r="U401" s="52">
        <f t="shared" si="132"/>
        <v>-1059.9462319663912</v>
      </c>
      <c r="V401" s="52">
        <f t="shared" si="133"/>
        <v>-11921.692623371708</v>
      </c>
      <c r="X401" s="6">
        <v>397</v>
      </c>
      <c r="Y401" s="55">
        <v>198.5</v>
      </c>
      <c r="Z401" s="52">
        <f t="shared" si="147"/>
        <v>-57535.592312345019</v>
      </c>
      <c r="AA401" s="52">
        <f t="shared" si="148"/>
        <v>12881.035872831751</v>
      </c>
      <c r="AB401" s="52">
        <f t="shared" si="149"/>
        <v>2886.6293615294417</v>
      </c>
      <c r="AC401" s="52">
        <f t="shared" si="150"/>
        <v>-2536.151109407097</v>
      </c>
      <c r="AD401" s="52">
        <f t="shared" si="134"/>
        <v>329.83108252076454</v>
      </c>
      <c r="AE401" s="52">
        <f t="shared" si="135"/>
        <v>-81.618579604722797</v>
      </c>
      <c r="AF401" s="52">
        <f t="shared" si="136"/>
        <v>84.366572200865335</v>
      </c>
      <c r="AG401" s="52">
        <f t="shared" si="137"/>
        <v>-5.8551116711908424</v>
      </c>
      <c r="AH401" s="52">
        <f t="shared" si="138"/>
        <v>120.07064315451484</v>
      </c>
      <c r="AI401" s="52">
        <f t="shared" si="139"/>
        <v>-9.2159949768094052</v>
      </c>
      <c r="AJ401" s="52">
        <f t="shared" si="140"/>
        <v>125.39386716538439</v>
      </c>
      <c r="AK401" s="52">
        <f t="shared" si="141"/>
        <v>-66.547472956722544</v>
      </c>
      <c r="AM401" s="52">
        <f t="shared" si="142"/>
        <v>77722.092240822225</v>
      </c>
      <c r="AN401" s="57">
        <f t="shared" si="143"/>
        <v>37645.996572532356</v>
      </c>
      <c r="AO401" s="57">
        <f t="shared" si="144"/>
        <v>59475.54641153838</v>
      </c>
    </row>
    <row r="402" spans="12:41" x14ac:dyDescent="0.25">
      <c r="L402" s="6">
        <v>399</v>
      </c>
      <c r="M402" s="52">
        <f t="shared" si="130"/>
        <v>23885.729807284857</v>
      </c>
      <c r="N402" s="52">
        <f t="shared" si="131"/>
        <v>10646.601955249185</v>
      </c>
      <c r="P402" s="6">
        <v>399</v>
      </c>
      <c r="Q402" s="52">
        <f t="shared" si="145"/>
        <v>-17279.989134900599</v>
      </c>
      <c r="R402" s="52">
        <f t="shared" si="146"/>
        <v>12202.621368674429</v>
      </c>
      <c r="T402" s="6">
        <v>399</v>
      </c>
      <c r="U402" s="52">
        <f t="shared" si="132"/>
        <v>-1114.2701927151429</v>
      </c>
      <c r="V402" s="52">
        <f t="shared" si="133"/>
        <v>-11853.398044750815</v>
      </c>
      <c r="X402" s="6">
        <v>398</v>
      </c>
      <c r="Y402" s="55">
        <v>199</v>
      </c>
      <c r="Z402" s="52">
        <f t="shared" si="147"/>
        <v>-56051.048746265202</v>
      </c>
      <c r="AA402" s="52">
        <f t="shared" si="148"/>
        <v>11602.757995677614</v>
      </c>
      <c r="AB402" s="52">
        <f t="shared" si="149"/>
        <v>3051.5449027898239</v>
      </c>
      <c r="AC402" s="52">
        <f t="shared" si="150"/>
        <v>-2576.9603992094585</v>
      </c>
      <c r="AD402" s="52">
        <f t="shared" si="134"/>
        <v>352.20889651993775</v>
      </c>
      <c r="AE402" s="52">
        <f t="shared" si="135"/>
        <v>-80.365183839585995</v>
      </c>
      <c r="AF402" s="52">
        <f t="shared" si="136"/>
        <v>87.853720724907916</v>
      </c>
      <c r="AG402" s="52">
        <f t="shared" si="137"/>
        <v>-4.7394817178223985</v>
      </c>
      <c r="AH402" s="52">
        <f t="shared" si="138"/>
        <v>130.34925579281756</v>
      </c>
      <c r="AI402" s="52">
        <f t="shared" si="139"/>
        <v>-5.795068915275543</v>
      </c>
      <c r="AJ402" s="52">
        <f t="shared" si="140"/>
        <v>134.00592000221226</v>
      </c>
      <c r="AK402" s="52">
        <f t="shared" si="141"/>
        <v>-69.830633206488059</v>
      </c>
      <c r="AM402" s="52">
        <f t="shared" si="142"/>
        <v>76161.634952106324</v>
      </c>
      <c r="AN402" s="57">
        <f t="shared" si="143"/>
        <v>36086.658876907655</v>
      </c>
      <c r="AO402" s="57">
        <f t="shared" si="144"/>
        <v>57566.624975502389</v>
      </c>
    </row>
    <row r="403" spans="12:41" x14ac:dyDescent="0.25">
      <c r="L403" s="6">
        <v>400</v>
      </c>
      <c r="M403" s="52">
        <f t="shared" si="130"/>
        <v>23830.222215594891</v>
      </c>
      <c r="N403" s="52">
        <f t="shared" si="131"/>
        <v>10713.938048432696</v>
      </c>
      <c r="P403" s="6">
        <v>400</v>
      </c>
      <c r="Q403" s="52">
        <f t="shared" si="145"/>
        <v>-17318.844449083575</v>
      </c>
      <c r="R403" s="52">
        <f t="shared" si="146"/>
        <v>12249.756633902887</v>
      </c>
      <c r="T403" s="6">
        <v>400</v>
      </c>
      <c r="U403" s="52">
        <f t="shared" si="132"/>
        <v>-1169.7777844051093</v>
      </c>
      <c r="V403" s="52">
        <f t="shared" si="133"/>
        <v>-11786.061951567304</v>
      </c>
      <c r="X403" s="6">
        <v>399</v>
      </c>
      <c r="Y403" s="55">
        <v>199.5</v>
      </c>
      <c r="Z403" s="52">
        <f t="shared" si="147"/>
        <v>-54481.250182805292</v>
      </c>
      <c r="AA403" s="52">
        <f t="shared" si="148"/>
        <v>10304.232148092935</v>
      </c>
      <c r="AB403" s="52">
        <f t="shared" si="149"/>
        <v>3227.649351049793</v>
      </c>
      <c r="AC403" s="52">
        <f t="shared" si="150"/>
        <v>-2617.1429911292516</v>
      </c>
      <c r="AD403" s="52">
        <f t="shared" si="134"/>
        <v>377.74139386189006</v>
      </c>
      <c r="AE403" s="52">
        <f t="shared" si="135"/>
        <v>-78.288724315806718</v>
      </c>
      <c r="AF403" s="52">
        <f t="shared" si="136"/>
        <v>91.697979009971192</v>
      </c>
      <c r="AG403" s="52">
        <f t="shared" si="137"/>
        <v>-3.4524450116477259</v>
      </c>
      <c r="AH403" s="52">
        <f t="shared" si="138"/>
        <v>142.15721454307251</v>
      </c>
      <c r="AI403" s="52">
        <f t="shared" si="139"/>
        <v>-1.2542699153325354</v>
      </c>
      <c r="AJ403" s="52">
        <f t="shared" si="140"/>
        <v>143.88620030884636</v>
      </c>
      <c r="AK403" s="52">
        <f t="shared" si="141"/>
        <v>-73.582009388826449</v>
      </c>
      <c r="AM403" s="52">
        <f t="shared" si="142"/>
        <v>74534.02140455076</v>
      </c>
      <c r="AN403" s="57">
        <f t="shared" si="143"/>
        <v>34482.592294796275</v>
      </c>
      <c r="AO403" s="57">
        <f t="shared" si="144"/>
        <v>55576.058552743278</v>
      </c>
    </row>
    <row r="404" spans="12:41" x14ac:dyDescent="0.25">
      <c r="L404" s="6">
        <v>401</v>
      </c>
      <c r="M404" s="52">
        <f t="shared" si="130"/>
        <v>23773.54790111386</v>
      </c>
      <c r="N404" s="52">
        <f t="shared" si="131"/>
        <v>10780.295144952535</v>
      </c>
      <c r="P404" s="6">
        <v>401</v>
      </c>
      <c r="Q404" s="52">
        <f t="shared" si="145"/>
        <v>-17358.516469220296</v>
      </c>
      <c r="R404" s="52">
        <f t="shared" si="146"/>
        <v>12296.206601466774</v>
      </c>
      <c r="T404" s="6">
        <v>401</v>
      </c>
      <c r="U404" s="52">
        <f t="shared" si="132"/>
        <v>-1226.4520988861386</v>
      </c>
      <c r="V404" s="52">
        <f t="shared" si="133"/>
        <v>-11719.704855047465</v>
      </c>
      <c r="X404" s="6">
        <v>400</v>
      </c>
      <c r="Y404" s="55">
        <v>200</v>
      </c>
      <c r="Z404" s="52">
        <f t="shared" si="147"/>
        <v>-52820.207833047658</v>
      </c>
      <c r="AA404" s="52">
        <f t="shared" si="148"/>
        <v>8985.8745619888341</v>
      </c>
      <c r="AB404" s="52">
        <f t="shared" si="149"/>
        <v>3416.5200479807381</v>
      </c>
      <c r="AC404" s="52">
        <f t="shared" si="150"/>
        <v>-2656.2873532871549</v>
      </c>
      <c r="AD404" s="52">
        <f t="shared" si="134"/>
        <v>407.02007885039984</v>
      </c>
      <c r="AE404" s="52">
        <f t="shared" si="135"/>
        <v>-75.048514573875465</v>
      </c>
      <c r="AF404" s="52">
        <f t="shared" si="136"/>
        <v>95.952906607824033</v>
      </c>
      <c r="AG404" s="52">
        <f t="shared" si="137"/>
        <v>-1.9578903620315171</v>
      </c>
      <c r="AH404" s="52">
        <f t="shared" si="138"/>
        <v>155.75277101242867</v>
      </c>
      <c r="AI404" s="52">
        <f t="shared" si="139"/>
        <v>4.8126705329813459</v>
      </c>
      <c r="AJ404" s="52">
        <f t="shared" si="140"/>
        <v>155.31440123014718</v>
      </c>
      <c r="AK404" s="52">
        <f t="shared" si="141"/>
        <v>-77.903294744825288</v>
      </c>
      <c r="AM404" s="52">
        <f t="shared" si="142"/>
        <v>72835.365668487051</v>
      </c>
      <c r="AN404" s="57">
        <f t="shared" si="143"/>
        <v>32835.872039713882</v>
      </c>
      <c r="AO404" s="57">
        <f t="shared" si="144"/>
        <v>53498.546295196997</v>
      </c>
    </row>
    <row r="405" spans="12:41" x14ac:dyDescent="0.25">
      <c r="L405" s="6">
        <v>402</v>
      </c>
      <c r="M405" s="52">
        <f t="shared" si="130"/>
        <v>23715.724127386969</v>
      </c>
      <c r="N405" s="52">
        <f t="shared" si="131"/>
        <v>10845.653031794292</v>
      </c>
      <c r="P405" s="6">
        <v>402</v>
      </c>
      <c r="Q405" s="52">
        <f t="shared" si="145"/>
        <v>-17398.99311082912</v>
      </c>
      <c r="R405" s="52">
        <f t="shared" si="146"/>
        <v>12341.957122256004</v>
      </c>
      <c r="T405" s="6">
        <v>402</v>
      </c>
      <c r="U405" s="52">
        <f t="shared" si="132"/>
        <v>-1284.2758726130301</v>
      </c>
      <c r="V405" s="52">
        <f t="shared" si="133"/>
        <v>-11654.346968205708</v>
      </c>
      <c r="X405" s="6">
        <v>401</v>
      </c>
      <c r="Y405" s="55">
        <v>200.5</v>
      </c>
      <c r="Z405" s="52">
        <f t="shared" si="147"/>
        <v>-51061.07029920099</v>
      </c>
      <c r="AA405" s="52">
        <f t="shared" si="148"/>
        <v>7648.3498210235221</v>
      </c>
      <c r="AB405" s="52">
        <f t="shared" si="149"/>
        <v>3620.030087405938</v>
      </c>
      <c r="AC405" s="52">
        <f t="shared" si="150"/>
        <v>-2693.8116105740928</v>
      </c>
      <c r="AD405" s="52">
        <f t="shared" si="134"/>
        <v>440.75107285640172</v>
      </c>
      <c r="AE405" s="52">
        <f t="shared" si="135"/>
        <v>-70.160524066265211</v>
      </c>
      <c r="AF405" s="52">
        <f t="shared" si="136"/>
        <v>100.683374004263</v>
      </c>
      <c r="AG405" s="52">
        <f t="shared" si="137"/>
        <v>-0.21019048053579198</v>
      </c>
      <c r="AH405" s="52">
        <f t="shared" si="138"/>
        <v>171.41274863961189</v>
      </c>
      <c r="AI405" s="52">
        <f t="shared" si="139"/>
        <v>12.977750513238519</v>
      </c>
      <c r="AJ405" s="52">
        <f t="shared" si="140"/>
        <v>168.65495021252687</v>
      </c>
      <c r="AK405" s="52">
        <f t="shared" si="141"/>
        <v>-82.928084098967943</v>
      </c>
      <c r="AM405" s="52">
        <f t="shared" si="142"/>
        <v>71061.22514942578</v>
      </c>
      <c r="AN405" s="57">
        <f t="shared" si="143"/>
        <v>31149.965436516715</v>
      </c>
      <c r="AO405" s="57">
        <f t="shared" si="144"/>
        <v>51328.061980980659</v>
      </c>
    </row>
    <row r="406" spans="12:41" x14ac:dyDescent="0.25">
      <c r="L406" s="6">
        <v>403</v>
      </c>
      <c r="M406" s="52">
        <f t="shared" si="130"/>
        <v>23656.768508095854</v>
      </c>
      <c r="N406" s="52">
        <f t="shared" si="131"/>
        <v>10909.991800312489</v>
      </c>
      <c r="P406" s="6">
        <v>403</v>
      </c>
      <c r="Q406" s="52">
        <f t="shared" si="145"/>
        <v>-17440.2620443329</v>
      </c>
      <c r="R406" s="52">
        <f t="shared" si="146"/>
        <v>12386.994260218742</v>
      </c>
      <c r="T406" s="6">
        <v>403</v>
      </c>
      <c r="U406" s="52">
        <f t="shared" si="132"/>
        <v>-1343.2314919041451</v>
      </c>
      <c r="V406" s="52">
        <f t="shared" si="133"/>
        <v>-11590.008199687511</v>
      </c>
      <c r="X406" s="6">
        <v>402</v>
      </c>
      <c r="Y406" s="55">
        <v>201</v>
      </c>
      <c r="Z406" s="52">
        <f t="shared" si="147"/>
        <v>-49195.961371390971</v>
      </c>
      <c r="AA406" s="52">
        <f t="shared" si="148"/>
        <v>6292.6739502281916</v>
      </c>
      <c r="AB406" s="52">
        <f t="shared" si="149"/>
        <v>3840.4056238341391</v>
      </c>
      <c r="AC406" s="52">
        <f t="shared" si="150"/>
        <v>-2728.8918726072252</v>
      </c>
      <c r="AD406" s="52">
        <f t="shared" si="134"/>
        <v>479.75810575892382</v>
      </c>
      <c r="AE406" s="52">
        <f t="shared" si="135"/>
        <v>-62.936273662561092</v>
      </c>
      <c r="AF406" s="52">
        <f t="shared" si="136"/>
        <v>105.96868309144422</v>
      </c>
      <c r="AG406" s="52">
        <f t="shared" si="137"/>
        <v>1.8489337964341108</v>
      </c>
      <c r="AH406" s="52">
        <f t="shared" si="138"/>
        <v>189.39923324596282</v>
      </c>
      <c r="AI406" s="52">
        <f t="shared" si="139"/>
        <v>24.05006303055373</v>
      </c>
      <c r="AJ406" s="52">
        <f t="shared" si="140"/>
        <v>184.39018942151677</v>
      </c>
      <c r="AK406" s="52">
        <f t="shared" si="141"/>
        <v>-88.835270489548932</v>
      </c>
      <c r="AM406" s="52">
        <f t="shared" si="142"/>
        <v>69206.493238001072</v>
      </c>
      <c r="AN406" s="57">
        <f t="shared" si="143"/>
        <v>29430.399705730644</v>
      </c>
      <c r="AO406" s="57">
        <f t="shared" si="144"/>
        <v>49057.730945205869</v>
      </c>
    </row>
    <row r="407" spans="12:41" x14ac:dyDescent="0.25">
      <c r="L407" s="6">
        <v>404</v>
      </c>
      <c r="M407" s="52">
        <f t="shared" si="130"/>
        <v>23596.699001693254</v>
      </c>
      <c r="N407" s="52">
        <f t="shared" si="131"/>
        <v>10973.291852294986</v>
      </c>
      <c r="P407" s="6">
        <v>404</v>
      </c>
      <c r="Q407" s="52">
        <f t="shared" si="145"/>
        <v>-17482.310698814719</v>
      </c>
      <c r="R407" s="52">
        <f t="shared" si="146"/>
        <v>12431.30429660649</v>
      </c>
      <c r="T407" s="6">
        <v>404</v>
      </c>
      <c r="U407" s="52">
        <f t="shared" si="132"/>
        <v>-1403.3009983067441</v>
      </c>
      <c r="V407" s="52">
        <f t="shared" si="133"/>
        <v>-11526.708147705014</v>
      </c>
      <c r="X407" s="6">
        <v>403</v>
      </c>
      <c r="Y407" s="55">
        <v>201.5</v>
      </c>
      <c r="Z407" s="52">
        <f t="shared" si="147"/>
        <v>-47215.788796254034</v>
      </c>
      <c r="AA407" s="52">
        <f t="shared" si="148"/>
        <v>4920.3609797167592</v>
      </c>
      <c r="AB407" s="52">
        <f t="shared" si="149"/>
        <v>4080.2846767136011</v>
      </c>
      <c r="AC407" s="52">
        <f t="shared" si="150"/>
        <v>-2760.3600094385056</v>
      </c>
      <c r="AD407" s="52">
        <f t="shared" si="134"/>
        <v>524.95891084222592</v>
      </c>
      <c r="AE407" s="52">
        <f t="shared" si="135"/>
        <v>-52.40172836595103</v>
      </c>
      <c r="AF407" s="52">
        <f t="shared" si="136"/>
        <v>111.90675253151295</v>
      </c>
      <c r="AG407" s="52">
        <f t="shared" si="137"/>
        <v>4.2948097557632083</v>
      </c>
      <c r="AH407" s="52">
        <f t="shared" si="138"/>
        <v>209.88249033287769</v>
      </c>
      <c r="AI407" s="52">
        <f t="shared" si="139"/>
        <v>39.173117323567965</v>
      </c>
      <c r="AJ407" s="52">
        <f t="shared" si="140"/>
        <v>203.16966797783525</v>
      </c>
      <c r="AK407" s="52">
        <f t="shared" si="141"/>
        <v>-95.869655445282206</v>
      </c>
      <c r="AM407" s="52">
        <f t="shared" si="142"/>
        <v>67265.271879162101</v>
      </c>
      <c r="AN407" s="57">
        <f t="shared" si="143"/>
        <v>27685.770575851606</v>
      </c>
      <c r="AO407" s="57">
        <f t="shared" si="144"/>
        <v>46679.691571947536</v>
      </c>
    </row>
    <row r="408" spans="12:41" x14ac:dyDescent="0.25">
      <c r="L408" s="6">
        <v>405</v>
      </c>
      <c r="M408" s="52">
        <f t="shared" si="130"/>
        <v>23535.533905932742</v>
      </c>
      <c r="N408" s="52">
        <f t="shared" si="131"/>
        <v>11035.533905932734</v>
      </c>
      <c r="P408" s="6">
        <v>405</v>
      </c>
      <c r="Q408" s="52">
        <f t="shared" si="145"/>
        <v>-17525.126265847081</v>
      </c>
      <c r="R408" s="52">
        <f t="shared" si="146"/>
        <v>12474.873734152914</v>
      </c>
      <c r="T408" s="6">
        <v>405</v>
      </c>
      <c r="U408" s="52">
        <f t="shared" si="132"/>
        <v>-1464.4660940672584</v>
      </c>
      <c r="V408" s="52">
        <f t="shared" si="133"/>
        <v>-11464.466094067266</v>
      </c>
      <c r="X408" s="6">
        <v>404</v>
      </c>
      <c r="Y408" s="55">
        <v>202</v>
      </c>
      <c r="Z408" s="52">
        <f t="shared" si="147"/>
        <v>-45110.026594041949</v>
      </c>
      <c r="AA408" s="52">
        <f t="shared" si="148"/>
        <v>3533.6307589517623</v>
      </c>
      <c r="AB408" s="52">
        <f t="shared" si="149"/>
        <v>4342.7641321347137</v>
      </c>
      <c r="AC408" s="52">
        <f t="shared" si="150"/>
        <v>-2786.5608736214813</v>
      </c>
      <c r="AD408" s="52">
        <f t="shared" si="134"/>
        <v>577.28235830529468</v>
      </c>
      <c r="AE408" s="52">
        <f t="shared" si="135"/>
        <v>-37.203286177507337</v>
      </c>
      <c r="AF408" s="52">
        <f t="shared" si="136"/>
        <v>118.61978393849311</v>
      </c>
      <c r="AG408" s="52">
        <f t="shared" si="137"/>
        <v>7.2260738784044696</v>
      </c>
      <c r="AH408" s="52">
        <f t="shared" si="138"/>
        <v>232.77766152900335</v>
      </c>
      <c r="AI408" s="52">
        <f t="shared" si="139"/>
        <v>59.945229642705435</v>
      </c>
      <c r="AJ408" s="52">
        <f t="shared" si="140"/>
        <v>225.88491283779817</v>
      </c>
      <c r="AK408" s="52">
        <f t="shared" si="141"/>
        <v>-104.37458969861724</v>
      </c>
      <c r="AM408" s="52">
        <f t="shared" si="142"/>
        <v>65230.726257134251</v>
      </c>
      <c r="AN408" s="57">
        <f t="shared" si="143"/>
        <v>25929.276247420956</v>
      </c>
      <c r="AO408" s="57">
        <f t="shared" si="144"/>
        <v>44184.94882291837</v>
      </c>
    </row>
    <row r="409" spans="12:41" x14ac:dyDescent="0.25">
      <c r="L409" s="6">
        <v>406</v>
      </c>
      <c r="M409" s="52">
        <f t="shared" si="130"/>
        <v>23473.291852294988</v>
      </c>
      <c r="N409" s="52">
        <f t="shared" si="131"/>
        <v>11096.699001693254</v>
      </c>
      <c r="P409" s="6">
        <v>406</v>
      </c>
      <c r="Q409" s="52">
        <f t="shared" si="145"/>
        <v>-17568.69570339351</v>
      </c>
      <c r="R409" s="52">
        <f t="shared" si="146"/>
        <v>12517.689301185277</v>
      </c>
      <c r="T409" s="6">
        <v>406</v>
      </c>
      <c r="U409" s="52">
        <f t="shared" si="132"/>
        <v>-1526.7081477050119</v>
      </c>
      <c r="V409" s="52">
        <f t="shared" si="133"/>
        <v>-11403.300998306746</v>
      </c>
      <c r="X409" s="6">
        <v>405</v>
      </c>
      <c r="Y409" s="55">
        <v>202.5</v>
      </c>
      <c r="Z409" s="52">
        <f t="shared" si="147"/>
        <v>-42866.484233186427</v>
      </c>
      <c r="AA409" s="52">
        <f t="shared" si="148"/>
        <v>2135.6999113688335</v>
      </c>
      <c r="AB409" s="52">
        <f t="shared" si="149"/>
        <v>4631.4053112873607</v>
      </c>
      <c r="AC409" s="52">
        <f t="shared" si="150"/>
        <v>-2805.1625167102347</v>
      </c>
      <c r="AD409" s="52">
        <f t="shared" si="134"/>
        <v>637.46750449752301</v>
      </c>
      <c r="AE409" s="52">
        <f t="shared" si="135"/>
        <v>-15.538985945499277</v>
      </c>
      <c r="AF409" s="52">
        <f t="shared" si="136"/>
        <v>126.2619823990259</v>
      </c>
      <c r="AG409" s="52">
        <f t="shared" si="137"/>
        <v>10.773740119799788</v>
      </c>
      <c r="AH409" s="52">
        <f t="shared" si="138"/>
        <v>257.42019107611179</v>
      </c>
      <c r="AI409" s="52">
        <f t="shared" si="139"/>
        <v>88.532614408525319</v>
      </c>
      <c r="AJ409" s="52">
        <f t="shared" si="140"/>
        <v>253.78533102238532</v>
      </c>
      <c r="AK409" s="52">
        <f t="shared" si="141"/>
        <v>-114.84534047382438</v>
      </c>
      <c r="AM409" s="52">
        <f t="shared" si="142"/>
        <v>63094.932881193927</v>
      </c>
      <c r="AN409" s="57">
        <f t="shared" si="143"/>
        <v>24181.052852814486</v>
      </c>
      <c r="AO409" s="57">
        <f t="shared" si="144"/>
        <v>41563.239041665678</v>
      </c>
    </row>
    <row r="410" spans="12:41" x14ac:dyDescent="0.25">
      <c r="L410" s="6">
        <v>407</v>
      </c>
      <c r="M410" s="52">
        <f t="shared" si="130"/>
        <v>23409.991800312491</v>
      </c>
      <c r="N410" s="52">
        <f t="shared" si="131"/>
        <v>11156.768508095854</v>
      </c>
      <c r="P410" s="6">
        <v>407</v>
      </c>
      <c r="Q410" s="52">
        <f t="shared" si="145"/>
        <v>-17613.005739781256</v>
      </c>
      <c r="R410" s="52">
        <f t="shared" si="146"/>
        <v>12559.737955667097</v>
      </c>
      <c r="T410" s="6">
        <v>407</v>
      </c>
      <c r="U410" s="52">
        <f t="shared" si="132"/>
        <v>-1590.0081996875083</v>
      </c>
      <c r="V410" s="52">
        <f t="shared" si="133"/>
        <v>-11343.231491904146</v>
      </c>
      <c r="X410" s="6">
        <v>406</v>
      </c>
      <c r="Y410" s="55">
        <v>203</v>
      </c>
      <c r="Z410" s="52">
        <f t="shared" si="147"/>
        <v>-40471.098139480557</v>
      </c>
      <c r="AA410" s="52">
        <f t="shared" si="148"/>
        <v>731.17627977052871</v>
      </c>
      <c r="AB410" s="52">
        <f t="shared" si="149"/>
        <v>4950.1390635361222</v>
      </c>
      <c r="AC410" s="52">
        <f t="shared" si="150"/>
        <v>-2812.9320096829842</v>
      </c>
      <c r="AD410" s="52">
        <f t="shared" si="134"/>
        <v>705.65763556005606</v>
      </c>
      <c r="AE410" s="52">
        <f t="shared" si="135"/>
        <v>14.76248181717861</v>
      </c>
      <c r="AF410" s="52">
        <f t="shared" si="136"/>
        <v>135.0300828182464</v>
      </c>
      <c r="AG410" s="52">
        <f t="shared" si="137"/>
        <v>15.11457300504957</v>
      </c>
      <c r="AH410" s="52">
        <f t="shared" si="138"/>
        <v>281.96573663923976</v>
      </c>
      <c r="AI410" s="52">
        <f t="shared" si="139"/>
        <v>127.66734301436345</v>
      </c>
      <c r="AJ410" s="52">
        <f t="shared" si="140"/>
        <v>288.6618161025699</v>
      </c>
      <c r="AK410" s="52">
        <f t="shared" si="141"/>
        <v>-128.01943420223441</v>
      </c>
      <c r="AM410" s="52">
        <f t="shared" si="142"/>
        <v>60848.752532408005</v>
      </c>
      <c r="AN410" s="57">
        <f t="shared" si="143"/>
        <v>22471.692241416375</v>
      </c>
      <c r="AO410" s="57">
        <f t="shared" si="144"/>
        <v>38802.947186597514</v>
      </c>
    </row>
    <row r="411" spans="12:41" x14ac:dyDescent="0.25">
      <c r="L411" s="6">
        <v>408</v>
      </c>
      <c r="M411" s="52">
        <f t="shared" si="130"/>
        <v>23345.653031794296</v>
      </c>
      <c r="N411" s="52">
        <f t="shared" si="131"/>
        <v>11215.724127386969</v>
      </c>
      <c r="P411" s="6">
        <v>408</v>
      </c>
      <c r="Q411" s="52">
        <f t="shared" si="145"/>
        <v>-17658.042877743996</v>
      </c>
      <c r="R411" s="52">
        <f t="shared" si="146"/>
        <v>12601.006889170878</v>
      </c>
      <c r="T411" s="6">
        <v>408</v>
      </c>
      <c r="U411" s="52">
        <f t="shared" si="132"/>
        <v>-1654.3469682057057</v>
      </c>
      <c r="V411" s="52">
        <f t="shared" si="133"/>
        <v>-11284.275872613031</v>
      </c>
      <c r="X411" s="6">
        <v>407</v>
      </c>
      <c r="Y411" s="55">
        <v>203.5</v>
      </c>
      <c r="Z411" s="52">
        <f t="shared" si="147"/>
        <v>-37907.821403267488</v>
      </c>
      <c r="AA411" s="52">
        <f t="shared" si="148"/>
        <v>-673.44441484381605</v>
      </c>
      <c r="AB411" s="52">
        <f t="shared" si="149"/>
        <v>5302.9678813161499</v>
      </c>
      <c r="AC411" s="52">
        <f t="shared" si="150"/>
        <v>-2805.5507687743948</v>
      </c>
      <c r="AD411" s="52">
        <f t="shared" si="134"/>
        <v>780.72633972530843</v>
      </c>
      <c r="AE411" s="52">
        <f t="shared" si="135"/>
        <v>55.695720687991724</v>
      </c>
      <c r="AF411" s="52">
        <f t="shared" si="136"/>
        <v>145.17755079861297</v>
      </c>
      <c r="AG411" s="52">
        <f t="shared" si="137"/>
        <v>20.491198131461271</v>
      </c>
      <c r="AH411" s="52">
        <f t="shared" si="138"/>
        <v>302.40519192357885</v>
      </c>
      <c r="AI411" s="52">
        <f t="shared" si="139"/>
        <v>180.23995962834221</v>
      </c>
      <c r="AJ411" s="52">
        <f t="shared" si="140"/>
        <v>333.14359700311661</v>
      </c>
      <c r="AK411" s="52">
        <f t="shared" si="141"/>
        <v>-145.03543707181174</v>
      </c>
      <c r="AM411" s="52">
        <f t="shared" si="142"/>
        <v>58481.800359387584</v>
      </c>
      <c r="AN411" s="57">
        <f t="shared" si="143"/>
        <v>20847.361537808225</v>
      </c>
      <c r="AO411" s="57">
        <f t="shared" si="144"/>
        <v>35891.153568030095</v>
      </c>
    </row>
    <row r="412" spans="12:41" x14ac:dyDescent="0.25">
      <c r="L412" s="6">
        <v>409</v>
      </c>
      <c r="M412" s="52">
        <f t="shared" si="130"/>
        <v>23280.295144952535</v>
      </c>
      <c r="N412" s="52">
        <f t="shared" si="131"/>
        <v>11273.54790111386</v>
      </c>
      <c r="P412" s="6">
        <v>409</v>
      </c>
      <c r="Q412" s="52">
        <f t="shared" si="145"/>
        <v>-17703.793398533224</v>
      </c>
      <c r="R412" s="52">
        <f t="shared" si="146"/>
        <v>12641.483530779702</v>
      </c>
      <c r="T412" s="6">
        <v>409</v>
      </c>
      <c r="U412" s="52">
        <f t="shared" si="132"/>
        <v>-1719.7048550474628</v>
      </c>
      <c r="V412" s="52">
        <f t="shared" si="133"/>
        <v>-11226.45209888614</v>
      </c>
      <c r="X412" s="6">
        <v>408</v>
      </c>
      <c r="Y412" s="55">
        <v>204</v>
      </c>
      <c r="Z412" s="52">
        <f t="shared" si="147"/>
        <v>-35158.746670143752</v>
      </c>
      <c r="AA412" s="52">
        <f t="shared" si="148"/>
        <v>-2069.2578341450144</v>
      </c>
      <c r="AB412" s="52">
        <f t="shared" si="149"/>
        <v>5693.331051178804</v>
      </c>
      <c r="AC412" s="52">
        <f t="shared" si="150"/>
        <v>-2777.702908430399</v>
      </c>
      <c r="AD412" s="52">
        <f t="shared" si="134"/>
        <v>859.54071916838348</v>
      </c>
      <c r="AE412" s="52">
        <f t="shared" si="135"/>
        <v>107.39110138038686</v>
      </c>
      <c r="AF412" s="52">
        <f t="shared" si="136"/>
        <v>157.03313438497773</v>
      </c>
      <c r="AG412" s="52">
        <f t="shared" si="137"/>
        <v>27.243014791834799</v>
      </c>
      <c r="AH412" s="52">
        <f t="shared" si="138"/>
        <v>311.32155660804347</v>
      </c>
      <c r="AI412" s="52">
        <f t="shared" si="139"/>
        <v>247.87142484743543</v>
      </c>
      <c r="AJ412" s="52">
        <f t="shared" si="140"/>
        <v>391.18602817536225</v>
      </c>
      <c r="AK412" s="52">
        <f t="shared" si="141"/>
        <v>-167.72333825888339</v>
      </c>
      <c r="AM412" s="52">
        <f t="shared" si="142"/>
        <v>55982.658294488305</v>
      </c>
      <c r="AN412" s="57">
        <f t="shared" si="143"/>
        <v>19376.650517482765</v>
      </c>
      <c r="AO412" s="57">
        <f t="shared" si="144"/>
        <v>32813.931396187909</v>
      </c>
    </row>
    <row r="413" spans="12:41" x14ac:dyDescent="0.25">
      <c r="L413" s="6">
        <v>410</v>
      </c>
      <c r="M413" s="52">
        <f t="shared" si="130"/>
        <v>23213.938048432698</v>
      </c>
      <c r="N413" s="52">
        <f t="shared" si="131"/>
        <v>11330.222215594889</v>
      </c>
      <c r="P413" s="6">
        <v>410</v>
      </c>
      <c r="Q413" s="52">
        <f t="shared" si="145"/>
        <v>-17750.243366097111</v>
      </c>
      <c r="R413" s="52">
        <f t="shared" si="146"/>
        <v>12681.155550916423</v>
      </c>
      <c r="T413" s="6">
        <v>410</v>
      </c>
      <c r="U413" s="52">
        <f t="shared" si="132"/>
        <v>-1786.061951567302</v>
      </c>
      <c r="V413" s="52">
        <f t="shared" si="133"/>
        <v>-11169.777784405111</v>
      </c>
      <c r="X413" s="6">
        <v>409</v>
      </c>
      <c r="Y413" s="55">
        <v>204.5</v>
      </c>
      <c r="Z413" s="52">
        <f t="shared" si="147"/>
        <v>-32204.638554658304</v>
      </c>
      <c r="AA413" s="52">
        <f t="shared" si="148"/>
        <v>-3444.6854006876656</v>
      </c>
      <c r="AB413" s="52">
        <f t="shared" si="149"/>
        <v>6123.1014107629962</v>
      </c>
      <c r="AC413" s="52">
        <f t="shared" si="150"/>
        <v>-2724.0073577402054</v>
      </c>
      <c r="AD413" s="52">
        <f t="shared" si="134"/>
        <v>937.30838179673208</v>
      </c>
      <c r="AE413" s="52">
        <f t="shared" si="135"/>
        <v>164.32307368105899</v>
      </c>
      <c r="AF413" s="52">
        <f t="shared" si="136"/>
        <v>171.02332315933376</v>
      </c>
      <c r="AG413" s="52">
        <f t="shared" si="137"/>
        <v>35.85498377120792</v>
      </c>
      <c r="AH413" s="52">
        <f t="shared" si="138"/>
        <v>297.40806678561171</v>
      </c>
      <c r="AI413" s="52">
        <f t="shared" si="139"/>
        <v>327.62608049814588</v>
      </c>
      <c r="AJ413" s="52">
        <f t="shared" si="140"/>
        <v>468.87699185178661</v>
      </c>
      <c r="AK413" s="52">
        <f t="shared" si="141"/>
        <v>-199.15799058829481</v>
      </c>
      <c r="AM413" s="52">
        <f t="shared" si="142"/>
        <v>53339.576536963075</v>
      </c>
      <c r="AN413" s="57">
        <f t="shared" si="143"/>
        <v>18157.994596687047</v>
      </c>
      <c r="AO413" s="57">
        <f t="shared" si="144"/>
        <v>29557.023774031815</v>
      </c>
    </row>
    <row r="414" spans="12:41" x14ac:dyDescent="0.25">
      <c r="L414" s="6">
        <v>411</v>
      </c>
      <c r="M414" s="52">
        <f t="shared" si="130"/>
        <v>23146.601955249185</v>
      </c>
      <c r="N414" s="52">
        <f t="shared" si="131"/>
        <v>11385.729807284855</v>
      </c>
      <c r="P414" s="6">
        <v>411</v>
      </c>
      <c r="Q414" s="52">
        <f t="shared" si="145"/>
        <v>-17797.37863132557</v>
      </c>
      <c r="R414" s="52">
        <f t="shared" si="146"/>
        <v>12720.010865099399</v>
      </c>
      <c r="T414" s="6">
        <v>411</v>
      </c>
      <c r="U414" s="52">
        <f t="shared" si="132"/>
        <v>-1853.3980447508143</v>
      </c>
      <c r="V414" s="52">
        <f t="shared" si="133"/>
        <v>-11114.270192715145</v>
      </c>
      <c r="X414" s="6">
        <v>410</v>
      </c>
      <c r="Y414" s="55">
        <v>205</v>
      </c>
      <c r="Z414" s="52">
        <f t="shared" si="147"/>
        <v>-29025.924301552215</v>
      </c>
      <c r="AA414" s="52">
        <f t="shared" si="148"/>
        <v>-4786.148695347636</v>
      </c>
      <c r="AB414" s="52">
        <f t="shared" si="149"/>
        <v>6591.7556016613626</v>
      </c>
      <c r="AC414" s="52">
        <f t="shared" si="150"/>
        <v>-2641.8458208996758</v>
      </c>
      <c r="AD414" s="52">
        <f t="shared" si="134"/>
        <v>1011.9597547445444</v>
      </c>
      <c r="AE414" s="52">
        <f t="shared" si="135"/>
        <v>209.40353521598411</v>
      </c>
      <c r="AF414" s="52">
        <f t="shared" si="136"/>
        <v>187.6949550414823</v>
      </c>
      <c r="AG414" s="52">
        <f t="shared" si="137"/>
        <v>47.037320761604271</v>
      </c>
      <c r="AH414" s="52">
        <f t="shared" si="138"/>
        <v>248.52170019254805</v>
      </c>
      <c r="AI414" s="52">
        <f t="shared" si="139"/>
        <v>407.12493150819745</v>
      </c>
      <c r="AJ414" s="52">
        <f t="shared" si="140"/>
        <v>575.74309951051407</v>
      </c>
      <c r="AK414" s="52">
        <f t="shared" si="141"/>
        <v>-244.75871705381763</v>
      </c>
      <c r="AM414" s="52">
        <f t="shared" si="142"/>
        <v>50541.969722060901</v>
      </c>
      <c r="AN414" s="57">
        <f t="shared" si="143"/>
        <v>17323.322508637928</v>
      </c>
      <c r="AO414" s="57">
        <f t="shared" si="144"/>
        <v>26106.853449189661</v>
      </c>
    </row>
    <row r="415" spans="12:41" x14ac:dyDescent="0.25">
      <c r="L415" s="6">
        <v>412</v>
      </c>
      <c r="M415" s="52">
        <f t="shared" si="130"/>
        <v>23078.307376628294</v>
      </c>
      <c r="N415" s="52">
        <f t="shared" si="131"/>
        <v>11440.053768033607</v>
      </c>
      <c r="P415" s="6">
        <v>412</v>
      </c>
      <c r="Q415" s="52">
        <f t="shared" si="145"/>
        <v>-17845.184836360193</v>
      </c>
      <c r="R415" s="52">
        <f t="shared" si="146"/>
        <v>12758.037637623525</v>
      </c>
      <c r="T415" s="6">
        <v>412</v>
      </c>
      <c r="U415" s="52">
        <f t="shared" si="132"/>
        <v>-1921.6926233717058</v>
      </c>
      <c r="V415" s="52">
        <f t="shared" si="133"/>
        <v>-11059.946231966393</v>
      </c>
      <c r="X415" s="6">
        <v>411</v>
      </c>
      <c r="Y415" s="55">
        <v>205.5</v>
      </c>
      <c r="Z415" s="52">
        <f t="shared" si="147"/>
        <v>-25603.551531378467</v>
      </c>
      <c r="AA415" s="52">
        <f t="shared" si="148"/>
        <v>-6080.8961638954761</v>
      </c>
      <c r="AB415" s="52">
        <f t="shared" si="149"/>
        <v>7097.7354790336349</v>
      </c>
      <c r="AC415" s="52">
        <f t="shared" si="150"/>
        <v>-2537.1440532916836</v>
      </c>
      <c r="AD415" s="52">
        <f t="shared" si="134"/>
        <v>1095.6119807356213</v>
      </c>
      <c r="AE415" s="52">
        <f t="shared" si="135"/>
        <v>210.01625644439753</v>
      </c>
      <c r="AF415" s="52">
        <f t="shared" si="136"/>
        <v>207.7264172720626</v>
      </c>
      <c r="AG415" s="52">
        <f t="shared" si="137"/>
        <v>61.861649120217791</v>
      </c>
      <c r="AH415" s="52">
        <f t="shared" si="138"/>
        <v>161.23753574044866</v>
      </c>
      <c r="AI415" s="52">
        <f t="shared" si="139"/>
        <v>462.71441521422111</v>
      </c>
      <c r="AJ415" s="52">
        <f t="shared" si="140"/>
        <v>726.64802772311009</v>
      </c>
      <c r="AK415" s="52">
        <f t="shared" si="141"/>
        <v>-314.55980789004138</v>
      </c>
      <c r="AM415" s="52">
        <f t="shared" si="142"/>
        <v>47582.818883391119</v>
      </c>
      <c r="AN415" s="57">
        <f t="shared" si="143"/>
        <v>17029.239889049721</v>
      </c>
      <c r="AO415" s="57">
        <f t="shared" si="144"/>
        <v>22451.208184536139</v>
      </c>
    </row>
    <row r="416" spans="12:41" x14ac:dyDescent="0.25">
      <c r="L416" s="6">
        <v>413</v>
      </c>
      <c r="M416" s="52">
        <f t="shared" si="130"/>
        <v>23009.075115760243</v>
      </c>
      <c r="N416" s="52">
        <f t="shared" si="131"/>
        <v>11493.177550236464</v>
      </c>
      <c r="P416" s="6">
        <v>413</v>
      </c>
      <c r="Q416" s="52">
        <f t="shared" si="145"/>
        <v>-17893.64741896783</v>
      </c>
      <c r="R416" s="52">
        <f t="shared" si="146"/>
        <v>12795.224285165525</v>
      </c>
      <c r="T416" s="6">
        <v>413</v>
      </c>
      <c r="U416" s="52">
        <f t="shared" si="132"/>
        <v>-1990.9248842397583</v>
      </c>
      <c r="V416" s="52">
        <f t="shared" si="133"/>
        <v>-11006.822449763536</v>
      </c>
      <c r="X416" s="6">
        <v>412</v>
      </c>
      <c r="Y416" s="55">
        <v>206</v>
      </c>
      <c r="Z416" s="52">
        <f t="shared" si="147"/>
        <v>-21917.732294269699</v>
      </c>
      <c r="AA416" s="52">
        <f t="shared" si="148"/>
        <v>-7323.2161584857686</v>
      </c>
      <c r="AB416" s="52">
        <f t="shared" si="149"/>
        <v>7645.5414694014453</v>
      </c>
      <c r="AC416" s="52">
        <f t="shared" si="150"/>
        <v>-2432.135925069485</v>
      </c>
      <c r="AD416" s="52">
        <f t="shared" si="134"/>
        <v>1227.0526431434466</v>
      </c>
      <c r="AE416" s="52">
        <f t="shared" si="135"/>
        <v>123.56878153752729</v>
      </c>
      <c r="AF416" s="52">
        <f t="shared" si="136"/>
        <v>231.897921218812</v>
      </c>
      <c r="AG416" s="52">
        <f t="shared" si="137"/>
        <v>82.005223679523056</v>
      </c>
      <c r="AH416" s="52">
        <f t="shared" si="138"/>
        <v>51.980500686233377</v>
      </c>
      <c r="AI416" s="52">
        <f t="shared" si="139"/>
        <v>469.54908779739287</v>
      </c>
      <c r="AJ416" s="52">
        <f t="shared" si="140"/>
        <v>943.17422123840117</v>
      </c>
      <c r="AK416" s="52">
        <f t="shared" si="141"/>
        <v>-427.98552993938864</v>
      </c>
      <c r="AM416" s="52">
        <f t="shared" si="142"/>
        <v>44461.489156069147</v>
      </c>
      <c r="AN416" s="57">
        <f t="shared" si="143"/>
        <v>17429.042292280647</v>
      </c>
      <c r="AO416" s="57">
        <f t="shared" si="144"/>
        <v>18578.015936313273</v>
      </c>
    </row>
    <row r="417" spans="12:41" x14ac:dyDescent="0.25">
      <c r="L417" s="6">
        <v>414</v>
      </c>
      <c r="M417" s="52">
        <f t="shared" si="130"/>
        <v>22938.926261462369</v>
      </c>
      <c r="N417" s="52">
        <f t="shared" si="131"/>
        <v>11545.084971874734</v>
      </c>
      <c r="P417" s="6">
        <v>414</v>
      </c>
      <c r="Q417" s="52">
        <f t="shared" si="145"/>
        <v>-17942.75161697634</v>
      </c>
      <c r="R417" s="52">
        <f t="shared" si="146"/>
        <v>12831.559480312313</v>
      </c>
      <c r="T417" s="6">
        <v>414</v>
      </c>
      <c r="U417" s="52">
        <f t="shared" si="132"/>
        <v>-2061.0737385376297</v>
      </c>
      <c r="V417" s="52">
        <f t="shared" si="133"/>
        <v>-10954.915028125266</v>
      </c>
      <c r="X417" s="6">
        <v>413</v>
      </c>
      <c r="Y417" s="55">
        <v>206.5</v>
      </c>
      <c r="Z417" s="52">
        <f t="shared" si="147"/>
        <v>-17941.579979176044</v>
      </c>
      <c r="AA417" s="52">
        <f t="shared" si="148"/>
        <v>-8523.8380233283206</v>
      </c>
      <c r="AB417" s="52">
        <f t="shared" si="149"/>
        <v>8259.0677909731694</v>
      </c>
      <c r="AC417" s="52">
        <f t="shared" si="150"/>
        <v>-2370.3515343007211</v>
      </c>
      <c r="AD417" s="52">
        <f t="shared" si="134"/>
        <v>1459.0424182249494</v>
      </c>
      <c r="AE417" s="52">
        <f t="shared" si="135"/>
        <v>-91.217880057335151</v>
      </c>
      <c r="AF417" s="52">
        <f t="shared" si="136"/>
        <v>260.93719086175298</v>
      </c>
      <c r="AG417" s="52">
        <f t="shared" si="137"/>
        <v>110.20140128391769</v>
      </c>
      <c r="AH417" s="52">
        <f t="shared" si="138"/>
        <v>-46.846388977163421</v>
      </c>
      <c r="AI417" s="52">
        <f t="shared" si="139"/>
        <v>421.57330020694735</v>
      </c>
      <c r="AJ417" s="52">
        <f t="shared" si="140"/>
        <v>1244.9516163403598</v>
      </c>
      <c r="AK417" s="52">
        <f t="shared" si="141"/>
        <v>-622.99258154820018</v>
      </c>
      <c r="AM417" s="52">
        <f t="shared" si="142"/>
        <v>41186.489002026807</v>
      </c>
      <c r="AN417" s="57">
        <f t="shared" si="143"/>
        <v>18637.855780551392</v>
      </c>
      <c r="AO417" s="57">
        <f t="shared" si="144"/>
        <v>14471.529508158363</v>
      </c>
    </row>
    <row r="418" spans="12:41" x14ac:dyDescent="0.25">
      <c r="L418" s="6">
        <v>415</v>
      </c>
      <c r="M418" s="52">
        <f t="shared" si="130"/>
        <v>22867.882181755231</v>
      </c>
      <c r="N418" s="52">
        <f t="shared" si="131"/>
        <v>11595.760221444958</v>
      </c>
      <c r="P418" s="6">
        <v>415</v>
      </c>
      <c r="Q418" s="52">
        <f t="shared" si="145"/>
        <v>-17992.482472771339</v>
      </c>
      <c r="R418" s="52">
        <f t="shared" si="146"/>
        <v>12867.03215501147</v>
      </c>
      <c r="T418" s="6">
        <v>415</v>
      </c>
      <c r="U418" s="52">
        <f t="shared" si="132"/>
        <v>-2132.1178182447675</v>
      </c>
      <c r="V418" s="52">
        <f t="shared" si="133"/>
        <v>-10904.239778555042</v>
      </c>
      <c r="X418" s="6">
        <v>414</v>
      </c>
      <c r="Y418" s="55">
        <v>207</v>
      </c>
      <c r="Z418" s="52">
        <f t="shared" si="147"/>
        <v>-13629.665781411341</v>
      </c>
      <c r="AA418" s="52">
        <f t="shared" si="148"/>
        <v>-9720.4160254858471</v>
      </c>
      <c r="AB418" s="52">
        <f t="shared" si="149"/>
        <v>8988.5890000856434</v>
      </c>
      <c r="AC418" s="52">
        <f t="shared" si="150"/>
        <v>-2415.9604743293885</v>
      </c>
      <c r="AD418" s="52">
        <f t="shared" si="134"/>
        <v>1755.4731776032263</v>
      </c>
      <c r="AE418" s="52">
        <f t="shared" si="135"/>
        <v>-470.9917151789457</v>
      </c>
      <c r="AF418" s="52">
        <f t="shared" si="136"/>
        <v>294.95146743037685</v>
      </c>
      <c r="AG418" s="52">
        <f t="shared" si="137"/>
        <v>151.03293055282543</v>
      </c>
      <c r="AH418" s="52">
        <f t="shared" si="138"/>
        <v>-109.31122675495322</v>
      </c>
      <c r="AI418" s="52">
        <f t="shared" si="139"/>
        <v>338.39085892442887</v>
      </c>
      <c r="AJ418" s="52">
        <f t="shared" si="140"/>
        <v>1569.8329369278026</v>
      </c>
      <c r="AK418" s="52">
        <f t="shared" si="141"/>
        <v>-960.41550465620003</v>
      </c>
      <c r="AM418" s="52">
        <f t="shared" si="142"/>
        <v>37782.23324077388</v>
      </c>
      <c r="AN418" s="57">
        <f t="shared" si="143"/>
        <v>20723.801926161152</v>
      </c>
      <c r="AO418" s="57">
        <f t="shared" si="144"/>
        <v>10116.577407542951</v>
      </c>
    </row>
    <row r="419" spans="12:41" x14ac:dyDescent="0.25">
      <c r="L419" s="6">
        <v>416</v>
      </c>
      <c r="M419" s="52">
        <f t="shared" si="130"/>
        <v>22795.964517353732</v>
      </c>
      <c r="N419" s="52">
        <f t="shared" si="131"/>
        <v>11645.187862775208</v>
      </c>
      <c r="P419" s="6">
        <v>416</v>
      </c>
      <c r="Q419" s="52">
        <f t="shared" si="145"/>
        <v>-18042.824837852386</v>
      </c>
      <c r="R419" s="52">
        <f t="shared" si="146"/>
        <v>12901.631503942646</v>
      </c>
      <c r="T419" s="6">
        <v>416</v>
      </c>
      <c r="U419" s="52">
        <f t="shared" si="132"/>
        <v>-2204.0354826462667</v>
      </c>
      <c r="V419" s="52">
        <f t="shared" si="133"/>
        <v>-10854.812137224792</v>
      </c>
      <c r="X419" s="6">
        <v>415</v>
      </c>
      <c r="Y419" s="55">
        <v>207.5</v>
      </c>
      <c r="Z419" s="52">
        <f t="shared" si="147"/>
        <v>-8915.9371341681162</v>
      </c>
      <c r="AA419" s="52">
        <f t="shared" si="148"/>
        <v>-10987.270227047909</v>
      </c>
      <c r="AB419" s="52">
        <f t="shared" si="149"/>
        <v>9866.3255888872573</v>
      </c>
      <c r="AC419" s="52">
        <f t="shared" si="150"/>
        <v>-2651.4563319188615</v>
      </c>
      <c r="AD419" s="52">
        <f t="shared" si="134"/>
        <v>1560.7397992178269</v>
      </c>
      <c r="AE419" s="52">
        <f t="shared" si="135"/>
        <v>-933.67164649080769</v>
      </c>
      <c r="AF419" s="52">
        <f t="shared" si="136"/>
        <v>331.42494675187834</v>
      </c>
      <c r="AG419" s="52">
        <f t="shared" si="137"/>
        <v>211.89500178249057</v>
      </c>
      <c r="AH419" s="52">
        <f t="shared" si="138"/>
        <v>-131.37779509455171</v>
      </c>
      <c r="AI419" s="52">
        <f t="shared" si="139"/>
        <v>248.75908056987981</v>
      </c>
      <c r="AJ419" s="52">
        <f t="shared" si="140"/>
        <v>1360.6926475605003</v>
      </c>
      <c r="AK419" s="52">
        <f t="shared" si="141"/>
        <v>-1394.325728843178</v>
      </c>
      <c r="AM419" s="52">
        <f t="shared" si="142"/>
        <v>34320.70192748183</v>
      </c>
      <c r="AN419" s="57">
        <f t="shared" si="143"/>
        <v>23734.40458905268</v>
      </c>
      <c r="AO419" s="57">
        <f t="shared" si="144"/>
        <v>5606.8318923874413</v>
      </c>
    </row>
    <row r="420" spans="12:41" x14ac:dyDescent="0.25">
      <c r="L420" s="6">
        <v>417</v>
      </c>
      <c r="M420" s="52">
        <f t="shared" si="130"/>
        <v>22723.195175075136</v>
      </c>
      <c r="N420" s="52">
        <f t="shared" si="131"/>
        <v>11693.35283972712</v>
      </c>
      <c r="P420" s="6">
        <v>417</v>
      </c>
      <c r="Q420" s="52">
        <f t="shared" si="145"/>
        <v>-18093.763377447405</v>
      </c>
      <c r="R420" s="52">
        <f t="shared" si="146"/>
        <v>12935.346987808984</v>
      </c>
      <c r="T420" s="6">
        <v>417</v>
      </c>
      <c r="U420" s="52">
        <f t="shared" si="132"/>
        <v>-2276.8048249248645</v>
      </c>
      <c r="V420" s="52">
        <f t="shared" si="133"/>
        <v>-10806.64716027288</v>
      </c>
      <c r="X420" s="6">
        <v>416</v>
      </c>
      <c r="Y420" s="55">
        <v>208</v>
      </c>
      <c r="Z420" s="52">
        <f t="shared" si="147"/>
        <v>-3787.6818648222593</v>
      </c>
      <c r="AA420" s="52">
        <f t="shared" si="148"/>
        <v>-12429.707348818691</v>
      </c>
      <c r="AB420" s="52">
        <f t="shared" si="149"/>
        <v>10646.695488496171</v>
      </c>
      <c r="AC420" s="52">
        <f t="shared" si="150"/>
        <v>-3118.2921551642653</v>
      </c>
      <c r="AD420" s="52">
        <f t="shared" si="134"/>
        <v>-330.76758240594557</v>
      </c>
      <c r="AE420" s="52">
        <f t="shared" si="135"/>
        <v>-723.57894598471376</v>
      </c>
      <c r="AF420" s="52">
        <f t="shared" si="136"/>
        <v>359.35361489395387</v>
      </c>
      <c r="AG420" s="52">
        <f t="shared" si="137"/>
        <v>301.07231214352328</v>
      </c>
      <c r="AH420" s="52">
        <f t="shared" si="138"/>
        <v>-125.15741274069092</v>
      </c>
      <c r="AI420" s="52">
        <f t="shared" si="139"/>
        <v>173.15501194229634</v>
      </c>
      <c r="AJ420" s="52">
        <f t="shared" si="140"/>
        <v>-564.96378455920853</v>
      </c>
      <c r="AK420" s="52">
        <f t="shared" si="141"/>
        <v>-1197.8062700705334</v>
      </c>
      <c r="AM420" s="52">
        <f t="shared" si="142"/>
        <v>31032.999267095525</v>
      </c>
      <c r="AN420" s="57">
        <f t="shared" si="143"/>
        <v>27675.459003779219</v>
      </c>
      <c r="AO420" s="57">
        <f t="shared" si="144"/>
        <v>2841.8514341178147</v>
      </c>
    </row>
    <row r="421" spans="12:41" x14ac:dyDescent="0.25">
      <c r="L421" s="6">
        <v>418</v>
      </c>
      <c r="M421" s="52">
        <f t="shared" si="130"/>
        <v>22649.596321166027</v>
      </c>
      <c r="N421" s="52">
        <f t="shared" si="131"/>
        <v>11740.240480782129</v>
      </c>
      <c r="P421" s="6">
        <v>418</v>
      </c>
      <c r="Q421" s="52">
        <f t="shared" si="145"/>
        <v>-18145.282575183781</v>
      </c>
      <c r="R421" s="52">
        <f t="shared" si="146"/>
        <v>12968.168336547491</v>
      </c>
      <c r="T421" s="6">
        <v>418</v>
      </c>
      <c r="U421" s="52">
        <f t="shared" si="132"/>
        <v>-2350.4036788339745</v>
      </c>
      <c r="V421" s="52">
        <f t="shared" si="133"/>
        <v>-10759.759519217871</v>
      </c>
      <c r="X421" s="6">
        <v>417</v>
      </c>
      <c r="Y421" s="55">
        <v>208.5</v>
      </c>
      <c r="Z421" s="52">
        <f t="shared" si="147"/>
        <v>1494.3199316250827</v>
      </c>
      <c r="AA421" s="52">
        <f t="shared" si="148"/>
        <v>-14079.300794648912</v>
      </c>
      <c r="AB421" s="52">
        <f t="shared" si="149"/>
        <v>10481.311697293198</v>
      </c>
      <c r="AC421" s="52">
        <f t="shared" si="150"/>
        <v>-3480.0816281566222</v>
      </c>
      <c r="AD421" s="52">
        <f t="shared" si="134"/>
        <v>-1741.0970807171573</v>
      </c>
      <c r="AE421" s="52">
        <f t="shared" si="135"/>
        <v>251.06742565285714</v>
      </c>
      <c r="AF421" s="52">
        <f t="shared" si="136"/>
        <v>354.0659861406499</v>
      </c>
      <c r="AG421" s="52">
        <f t="shared" si="137"/>
        <v>412.87304156631461</v>
      </c>
      <c r="AH421" s="52">
        <f t="shared" si="138"/>
        <v>-107.14889565910019</v>
      </c>
      <c r="AI421" s="52">
        <f t="shared" si="139"/>
        <v>120.03499048108091</v>
      </c>
      <c r="AJ421" s="52">
        <f t="shared" si="140"/>
        <v>-1988.0141711987069</v>
      </c>
      <c r="AK421" s="52">
        <f t="shared" si="141"/>
        <v>-281.84060639453838</v>
      </c>
      <c r="AM421" s="52">
        <f t="shared" si="142"/>
        <v>28427.564397587488</v>
      </c>
      <c r="AN421" s="57">
        <f t="shared" si="143"/>
        <v>32277.213573699868</v>
      </c>
      <c r="AO421" s="57">
        <f t="shared" si="144"/>
        <v>6559.2589826166295</v>
      </c>
    </row>
    <row r="422" spans="12:41" x14ac:dyDescent="0.25">
      <c r="L422" s="6">
        <v>419</v>
      </c>
      <c r="M422" s="52">
        <f t="shared" si="130"/>
        <v>22575.190374550271</v>
      </c>
      <c r="N422" s="52">
        <f t="shared" si="131"/>
        <v>11785.83650351056</v>
      </c>
      <c r="P422" s="6">
        <v>419</v>
      </c>
      <c r="Q422" s="52">
        <f t="shared" si="145"/>
        <v>-18197.366737814809</v>
      </c>
      <c r="R422" s="52">
        <f t="shared" si="146"/>
        <v>13000.085552457393</v>
      </c>
      <c r="T422" s="6">
        <v>419</v>
      </c>
      <c r="U422" s="52">
        <f t="shared" si="132"/>
        <v>-2424.8096254497277</v>
      </c>
      <c r="V422" s="52">
        <f t="shared" si="133"/>
        <v>-10714.16349648944</v>
      </c>
      <c r="X422" s="6">
        <v>418</v>
      </c>
      <c r="Y422" s="55">
        <v>209</v>
      </c>
      <c r="Z422" s="52">
        <f t="shared" si="147"/>
        <v>6517.3386451820379</v>
      </c>
      <c r="AA422" s="52">
        <f t="shared" si="148"/>
        <v>-15787.958180520616</v>
      </c>
      <c r="AB422" s="52">
        <f t="shared" si="149"/>
        <v>9610.7631569346195</v>
      </c>
      <c r="AC422" s="52">
        <f t="shared" si="150"/>
        <v>-3354.5479153301935</v>
      </c>
      <c r="AD422" s="52">
        <f t="shared" si="134"/>
        <v>-1483.4991667343684</v>
      </c>
      <c r="AE422" s="52">
        <f t="shared" si="135"/>
        <v>718.01930329452239</v>
      </c>
      <c r="AF422" s="52">
        <f t="shared" si="136"/>
        <v>298.39776156549652</v>
      </c>
      <c r="AG422" s="52">
        <f t="shared" si="137"/>
        <v>515.40822762080484</v>
      </c>
      <c r="AH422" s="52">
        <f t="shared" si="138"/>
        <v>-89.265051788390068</v>
      </c>
      <c r="AI422" s="52">
        <f t="shared" si="139"/>
        <v>86.809745627291932</v>
      </c>
      <c r="AJ422" s="52">
        <f t="shared" si="140"/>
        <v>-1692.631876511475</v>
      </c>
      <c r="AK422" s="52">
        <f t="shared" si="141"/>
        <v>115.80133004642568</v>
      </c>
      <c r="AM422" s="52">
        <f t="shared" si="142"/>
        <v>26909.313507155453</v>
      </c>
      <c r="AN422" s="57">
        <f t="shared" si="143"/>
        <v>36989.02588530205</v>
      </c>
      <c r="AO422" s="57">
        <f t="shared" si="144"/>
        <v>11544.261239336753</v>
      </c>
    </row>
    <row r="423" spans="12:41" x14ac:dyDescent="0.25">
      <c r="L423" s="6">
        <v>420</v>
      </c>
      <c r="M423" s="52">
        <f t="shared" si="130"/>
        <v>22500</v>
      </c>
      <c r="N423" s="52">
        <f t="shared" si="131"/>
        <v>11830.127018922194</v>
      </c>
      <c r="P423" s="6">
        <v>420</v>
      </c>
      <c r="Q423" s="52">
        <f t="shared" si="145"/>
        <v>-18250</v>
      </c>
      <c r="R423" s="52">
        <f t="shared" si="146"/>
        <v>13031.088913245536</v>
      </c>
      <c r="T423" s="6">
        <v>420</v>
      </c>
      <c r="U423" s="52">
        <f t="shared" si="132"/>
        <v>-2500.0000000000014</v>
      </c>
      <c r="V423" s="52">
        <f t="shared" si="133"/>
        <v>-10669.872981077806</v>
      </c>
      <c r="X423" s="6">
        <v>419</v>
      </c>
      <c r="Y423" s="55">
        <v>209.5</v>
      </c>
      <c r="Z423" s="52">
        <f t="shared" si="147"/>
        <v>11137.28282780755</v>
      </c>
      <c r="AA423" s="52">
        <f t="shared" si="148"/>
        <v>-17375.479725273901</v>
      </c>
      <c r="AB423" s="52">
        <f t="shared" si="149"/>
        <v>8869.0135735674357</v>
      </c>
      <c r="AC423" s="52">
        <f t="shared" si="150"/>
        <v>-2995.5382636829322</v>
      </c>
      <c r="AD423" s="52">
        <f t="shared" si="134"/>
        <v>-1075.5661762382003</v>
      </c>
      <c r="AE423" s="52">
        <f t="shared" si="135"/>
        <v>822.23779604504716</v>
      </c>
      <c r="AF423" s="52">
        <f t="shared" si="136"/>
        <v>206.11159966918703</v>
      </c>
      <c r="AG423" s="52">
        <f t="shared" si="137"/>
        <v>578.50485568934039</v>
      </c>
      <c r="AH423" s="52">
        <f t="shared" si="138"/>
        <v>-75.226263586667841</v>
      </c>
      <c r="AI423" s="52">
        <f t="shared" si="139"/>
        <v>66.137917846376823</v>
      </c>
      <c r="AJ423" s="52">
        <f t="shared" si="140"/>
        <v>-1206.4515123207195</v>
      </c>
      <c r="AK423" s="52">
        <f t="shared" si="141"/>
        <v>177.59502250932994</v>
      </c>
      <c r="AM423" s="52">
        <f t="shared" si="142"/>
        <v>26407.143867461087</v>
      </c>
      <c r="AN423" s="57">
        <f t="shared" si="143"/>
        <v>41460.189002074767</v>
      </c>
      <c r="AO423" s="57">
        <f t="shared" si="144"/>
        <v>16311.186375915144</v>
      </c>
    </row>
    <row r="424" spans="12:41" x14ac:dyDescent="0.25">
      <c r="L424" s="6">
        <v>421</v>
      </c>
      <c r="M424" s="52">
        <f t="shared" si="130"/>
        <v>22424.048101231689</v>
      </c>
      <c r="N424" s="52">
        <f t="shared" si="131"/>
        <v>11873.098535696976</v>
      </c>
      <c r="P424" s="6">
        <v>421</v>
      </c>
      <c r="Q424" s="52">
        <f t="shared" si="145"/>
        <v>-18303.166329137817</v>
      </c>
      <c r="R424" s="52">
        <f t="shared" si="146"/>
        <v>13061.168974987884</v>
      </c>
      <c r="T424" s="6">
        <v>421</v>
      </c>
      <c r="U424" s="52">
        <f t="shared" si="132"/>
        <v>-2575.9518987683114</v>
      </c>
      <c r="V424" s="52">
        <f t="shared" si="133"/>
        <v>-10626.901464303024</v>
      </c>
      <c r="X424" s="6">
        <v>420</v>
      </c>
      <c r="Y424" s="55">
        <v>210</v>
      </c>
      <c r="Z424" s="52">
        <f t="shared" si="147"/>
        <v>15437.343842561493</v>
      </c>
      <c r="AA424" s="52">
        <f t="shared" si="148"/>
        <v>-18770.469132609735</v>
      </c>
      <c r="AB424" s="52">
        <f t="shared" si="149"/>
        <v>8331.2304854483355</v>
      </c>
      <c r="AC424" s="52">
        <f t="shared" si="150"/>
        <v>-2584.4193656604084</v>
      </c>
      <c r="AD424" s="52">
        <f t="shared" si="134"/>
        <v>-833.49911124399341</v>
      </c>
      <c r="AE424" s="52">
        <f t="shared" si="135"/>
        <v>809.02390943230421</v>
      </c>
      <c r="AF424" s="52">
        <f t="shared" si="136"/>
        <v>103.447720450308</v>
      </c>
      <c r="AG424" s="52">
        <f t="shared" si="137"/>
        <v>595.62238598631097</v>
      </c>
      <c r="AH424" s="52">
        <f t="shared" si="138"/>
        <v>-64.625888564930676</v>
      </c>
      <c r="AI424" s="52">
        <f t="shared" si="139"/>
        <v>52.467734048727131</v>
      </c>
      <c r="AJ424" s="52">
        <f t="shared" si="140"/>
        <v>-872.32094312937079</v>
      </c>
      <c r="AK424" s="52">
        <f t="shared" si="141"/>
        <v>160.93378939726608</v>
      </c>
      <c r="AM424" s="52">
        <f t="shared" si="142"/>
        <v>26663.746542044919</v>
      </c>
      <c r="AN424" s="57">
        <f t="shared" si="143"/>
        <v>45645.867641292352</v>
      </c>
      <c r="AO424" s="57">
        <f t="shared" si="144"/>
        <v>20782.239071357279</v>
      </c>
    </row>
    <row r="425" spans="12:41" x14ac:dyDescent="0.25">
      <c r="L425" s="6">
        <v>422</v>
      </c>
      <c r="M425" s="52">
        <f t="shared" si="130"/>
        <v>22347.357813929455</v>
      </c>
      <c r="N425" s="52">
        <f t="shared" si="131"/>
        <v>11914.737964294634</v>
      </c>
      <c r="P425" s="6">
        <v>422</v>
      </c>
      <c r="Q425" s="52">
        <f t="shared" si="145"/>
        <v>-18356.849530249383</v>
      </c>
      <c r="R425" s="52">
        <f t="shared" si="146"/>
        <v>13090.316575006244</v>
      </c>
      <c r="T425" s="6">
        <v>422</v>
      </c>
      <c r="U425" s="52">
        <f t="shared" si="132"/>
        <v>-2652.6421860705459</v>
      </c>
      <c r="V425" s="52">
        <f t="shared" si="133"/>
        <v>-10585.262035705366</v>
      </c>
      <c r="X425" s="6">
        <v>421</v>
      </c>
      <c r="Y425" s="55">
        <v>210.5</v>
      </c>
      <c r="Z425" s="52">
        <f t="shared" si="147"/>
        <v>19498.771696380161</v>
      </c>
      <c r="AA425" s="52">
        <f t="shared" si="148"/>
        <v>-19961.550826760904</v>
      </c>
      <c r="AB425" s="52">
        <f t="shared" si="149"/>
        <v>7914.480929826339</v>
      </c>
      <c r="AC425" s="52">
        <f t="shared" si="150"/>
        <v>-2179.9074109442563</v>
      </c>
      <c r="AD425" s="52">
        <f t="shared" si="134"/>
        <v>-703.37842614398994</v>
      </c>
      <c r="AE425" s="52">
        <f t="shared" si="135"/>
        <v>751.76252993015669</v>
      </c>
      <c r="AF425" s="52">
        <f t="shared" si="136"/>
        <v>10.508760552524388</v>
      </c>
      <c r="AG425" s="52">
        <f t="shared" si="137"/>
        <v>575.75930959056518</v>
      </c>
      <c r="AH425" s="52">
        <f t="shared" si="138"/>
        <v>-56.517697650695673</v>
      </c>
      <c r="AI425" s="52">
        <f t="shared" si="139"/>
        <v>42.871152647210302</v>
      </c>
      <c r="AJ425" s="52">
        <f t="shared" si="140"/>
        <v>-657.36948904581868</v>
      </c>
      <c r="AK425" s="52">
        <f t="shared" si="141"/>
        <v>133.13206769238113</v>
      </c>
      <c r="AM425" s="52">
        <f t="shared" si="142"/>
        <v>27466.124656076296</v>
      </c>
      <c r="AN425" s="57">
        <f t="shared" si="143"/>
        <v>49576.682961522747</v>
      </c>
      <c r="AO425" s="57">
        <f t="shared" si="144"/>
        <v>24996.135726105535</v>
      </c>
    </row>
    <row r="426" spans="12:41" x14ac:dyDescent="0.25">
      <c r="L426" s="6">
        <v>423</v>
      </c>
      <c r="M426" s="52">
        <f t="shared" si="130"/>
        <v>22269.952498697734</v>
      </c>
      <c r="N426" s="52">
        <f t="shared" si="131"/>
        <v>11955.032620941838</v>
      </c>
      <c r="P426" s="6">
        <v>423</v>
      </c>
      <c r="Q426" s="52">
        <f t="shared" si="145"/>
        <v>-18411.033250911587</v>
      </c>
      <c r="R426" s="52">
        <f t="shared" si="146"/>
        <v>13118.522834659287</v>
      </c>
      <c r="T426" s="6">
        <v>423</v>
      </c>
      <c r="U426" s="52">
        <f t="shared" si="132"/>
        <v>-2730.0475013022647</v>
      </c>
      <c r="V426" s="52">
        <f t="shared" si="133"/>
        <v>-10544.967379058162</v>
      </c>
      <c r="X426" s="6">
        <v>422</v>
      </c>
      <c r="Y426" s="55">
        <v>211</v>
      </c>
      <c r="Z426" s="52">
        <f t="shared" si="147"/>
        <v>23368.089858025331</v>
      </c>
      <c r="AA426" s="52">
        <f t="shared" si="148"/>
        <v>-20957.534215991764</v>
      </c>
      <c r="AB426" s="52">
        <f t="shared" si="149"/>
        <v>7562.7917167543437</v>
      </c>
      <c r="AC426" s="52">
        <f t="shared" si="150"/>
        <v>-1804.026145979178</v>
      </c>
      <c r="AD426" s="52">
        <f t="shared" si="134"/>
        <v>-628.44994135296224</v>
      </c>
      <c r="AE426" s="52">
        <f t="shared" si="135"/>
        <v>676.96008029506424</v>
      </c>
      <c r="AF426" s="52">
        <f t="shared" si="136"/>
        <v>-63.076687385251851</v>
      </c>
      <c r="AG426" s="52">
        <f t="shared" si="137"/>
        <v>532.94510098065223</v>
      </c>
      <c r="AH426" s="52">
        <f t="shared" si="138"/>
        <v>-50.180054769975442</v>
      </c>
      <c r="AI426" s="52">
        <f t="shared" si="139"/>
        <v>35.820133365048065</v>
      </c>
      <c r="AJ426" s="52">
        <f t="shared" si="140"/>
        <v>-515.19319919773488</v>
      </c>
      <c r="AK426" s="52">
        <f t="shared" si="141"/>
        <v>108.19484594936399</v>
      </c>
      <c r="AM426" s="52">
        <f t="shared" si="142"/>
        <v>28656.15610904706</v>
      </c>
      <c r="AN426" s="57">
        <f t="shared" si="143"/>
        <v>53283.769974243187</v>
      </c>
      <c r="AO426" s="57">
        <f t="shared" si="144"/>
        <v>28986.906287627735</v>
      </c>
    </row>
    <row r="427" spans="12:41" x14ac:dyDescent="0.25">
      <c r="L427" s="6">
        <v>424</v>
      </c>
      <c r="M427" s="52">
        <f t="shared" si="130"/>
        <v>22191.855733945391</v>
      </c>
      <c r="N427" s="52">
        <f t="shared" si="131"/>
        <v>11993.970231495834</v>
      </c>
      <c r="P427" s="6">
        <v>424</v>
      </c>
      <c r="Q427" s="52">
        <f t="shared" si="145"/>
        <v>-18465.700986238229</v>
      </c>
      <c r="R427" s="52">
        <f t="shared" si="146"/>
        <v>13145.779162047083</v>
      </c>
      <c r="T427" s="6">
        <v>424</v>
      </c>
      <c r="U427" s="52">
        <f t="shared" si="132"/>
        <v>-2808.1442660546109</v>
      </c>
      <c r="V427" s="52">
        <f t="shared" si="133"/>
        <v>-10506.029768504166</v>
      </c>
      <c r="X427" s="6">
        <v>423</v>
      </c>
      <c r="Y427" s="55">
        <v>211.5</v>
      </c>
      <c r="Z427" s="52">
        <f t="shared" si="147"/>
        <v>27070.92947373338</v>
      </c>
      <c r="AA427" s="52">
        <f t="shared" si="148"/>
        <v>-21774.927278944469</v>
      </c>
      <c r="AB427" s="52">
        <f t="shared" si="149"/>
        <v>7248.5667460778623</v>
      </c>
      <c r="AC427" s="52">
        <f t="shared" si="150"/>
        <v>-1465.5461058316459</v>
      </c>
      <c r="AD427" s="52">
        <f t="shared" si="134"/>
        <v>-578.1920737733617</v>
      </c>
      <c r="AE427" s="52">
        <f t="shared" si="135"/>
        <v>598.25851398462544</v>
      </c>
      <c r="AF427" s="52">
        <f t="shared" si="136"/>
        <v>-115.85595596061015</v>
      </c>
      <c r="AG427" s="52">
        <f t="shared" si="137"/>
        <v>479.66461809280139</v>
      </c>
      <c r="AH427" s="52">
        <f t="shared" si="138"/>
        <v>-45.119486928936318</v>
      </c>
      <c r="AI427" s="52">
        <f t="shared" si="139"/>
        <v>30.457618578155667</v>
      </c>
      <c r="AJ427" s="52">
        <f t="shared" si="140"/>
        <v>-417.21663088381524</v>
      </c>
      <c r="AK427" s="52">
        <f t="shared" si="141"/>
        <v>88.136277313668373</v>
      </c>
      <c r="AM427" s="52">
        <f t="shared" si="142"/>
        <v>30116.762953710651</v>
      </c>
      <c r="AN427" s="57">
        <f t="shared" si="143"/>
        <v>56791.886789429627</v>
      </c>
      <c r="AO427" s="57">
        <f t="shared" si="144"/>
        <v>32778.714998366944</v>
      </c>
    </row>
    <row r="428" spans="12:41" x14ac:dyDescent="0.25">
      <c r="L428" s="6">
        <v>425</v>
      </c>
      <c r="M428" s="52">
        <f t="shared" si="130"/>
        <v>22113.091308703501</v>
      </c>
      <c r="N428" s="52">
        <f t="shared" si="131"/>
        <v>12031.538935183249</v>
      </c>
      <c r="P428" s="6">
        <v>425</v>
      </c>
      <c r="Q428" s="52">
        <f t="shared" si="145"/>
        <v>-18520.83608390755</v>
      </c>
      <c r="R428" s="52">
        <f t="shared" si="146"/>
        <v>13172.077254628275</v>
      </c>
      <c r="T428" s="6">
        <v>425</v>
      </c>
      <c r="U428" s="52">
        <f t="shared" si="132"/>
        <v>-2886.9086912964999</v>
      </c>
      <c r="V428" s="52">
        <f t="shared" si="133"/>
        <v>-10468.461064816751</v>
      </c>
      <c r="X428" s="6">
        <v>424</v>
      </c>
      <c r="Y428" s="55">
        <v>212</v>
      </c>
      <c r="Z428" s="52">
        <f t="shared" si="147"/>
        <v>30622.938837550642</v>
      </c>
      <c r="AA428" s="52">
        <f t="shared" si="148"/>
        <v>-22432.918017612214</v>
      </c>
      <c r="AB428" s="52">
        <f t="shared" si="149"/>
        <v>6959.4707091911814</v>
      </c>
      <c r="AC428" s="52">
        <f t="shared" si="150"/>
        <v>-1166.4168488393332</v>
      </c>
      <c r="AD428" s="52">
        <f t="shared" si="134"/>
        <v>-538.66103471756787</v>
      </c>
      <c r="AE428" s="52">
        <f t="shared" si="135"/>
        <v>523.15013200352837</v>
      </c>
      <c r="AF428" s="52">
        <f t="shared" si="136"/>
        <v>-150.64265484567795</v>
      </c>
      <c r="AG428" s="52">
        <f t="shared" si="137"/>
        <v>424.47521410099944</v>
      </c>
      <c r="AH428" s="52">
        <f t="shared" si="138"/>
        <v>-40.999850120305709</v>
      </c>
      <c r="AI428" s="52">
        <f t="shared" si="139"/>
        <v>26.267632978666519</v>
      </c>
      <c r="AJ428" s="52">
        <f t="shared" si="140"/>
        <v>-347.0185297515842</v>
      </c>
      <c r="AK428" s="52">
        <f t="shared" si="141"/>
        <v>72.407284923862335</v>
      </c>
      <c r="AM428" s="52">
        <f t="shared" si="142"/>
        <v>31762.027809877563</v>
      </c>
      <c r="AN428" s="57">
        <f t="shared" si="143"/>
        <v>60121.3448592723</v>
      </c>
      <c r="AO428" s="57">
        <f t="shared" si="144"/>
        <v>36390.136598815043</v>
      </c>
    </row>
    <row r="429" spans="12:41" x14ac:dyDescent="0.25">
      <c r="L429" s="6">
        <v>426</v>
      </c>
      <c r="M429" s="52">
        <f t="shared" si="130"/>
        <v>22033.683215379002</v>
      </c>
      <c r="N429" s="52">
        <f t="shared" si="131"/>
        <v>12067.727288213006</v>
      </c>
      <c r="P429" s="6">
        <v>426</v>
      </c>
      <c r="Q429" s="52">
        <f t="shared" si="145"/>
        <v>-18576.421749234698</v>
      </c>
      <c r="R429" s="52">
        <f t="shared" si="146"/>
        <v>13197.409101749103</v>
      </c>
      <c r="T429" s="6">
        <v>426</v>
      </c>
      <c r="U429" s="52">
        <f t="shared" si="132"/>
        <v>-2966.316784620999</v>
      </c>
      <c r="V429" s="52">
        <f t="shared" si="133"/>
        <v>-10432.272711786994</v>
      </c>
      <c r="X429" s="6">
        <v>425</v>
      </c>
      <c r="Y429" s="55">
        <v>212.5</v>
      </c>
      <c r="Z429" s="52">
        <f t="shared" si="147"/>
        <v>34035.341562806534</v>
      </c>
      <c r="AA429" s="52">
        <f t="shared" si="148"/>
        <v>-22950.732675531439</v>
      </c>
      <c r="AB429" s="52">
        <f t="shared" si="149"/>
        <v>6690.1401918323972</v>
      </c>
      <c r="AC429" s="52">
        <f t="shared" si="150"/>
        <v>-904.84178283756899</v>
      </c>
      <c r="AD429" s="52">
        <f t="shared" si="134"/>
        <v>-504.13257493584257</v>
      </c>
      <c r="AE429" s="52">
        <f t="shared" si="135"/>
        <v>455.2215352268272</v>
      </c>
      <c r="AF429" s="52">
        <f t="shared" si="136"/>
        <v>-171.56269519551446</v>
      </c>
      <c r="AG429" s="52">
        <f t="shared" si="137"/>
        <v>372.21821393619513</v>
      </c>
      <c r="AH429" s="52">
        <f t="shared" si="138"/>
        <v>-37.588380338093806</v>
      </c>
      <c r="AI429" s="52">
        <f t="shared" si="139"/>
        <v>22.921381384942642</v>
      </c>
      <c r="AJ429" s="52">
        <f t="shared" si="140"/>
        <v>-294.98149940223431</v>
      </c>
      <c r="AK429" s="52">
        <f t="shared" si="141"/>
        <v>60.081939905689403</v>
      </c>
      <c r="AM429" s="52">
        <f t="shared" si="142"/>
        <v>33529.657517805375</v>
      </c>
      <c r="AN429" s="57">
        <f t="shared" si="143"/>
        <v>63289.564081793949</v>
      </c>
      <c r="AO429" s="57">
        <f t="shared" si="144"/>
        <v>39836.817656569088</v>
      </c>
    </row>
    <row r="430" spans="12:41" x14ac:dyDescent="0.25">
      <c r="L430" s="6">
        <v>427</v>
      </c>
      <c r="M430" s="52">
        <f t="shared" si="130"/>
        <v>21953.655642446367</v>
      </c>
      <c r="N430" s="52">
        <f t="shared" si="131"/>
        <v>12102.524267262203</v>
      </c>
      <c r="P430" s="6">
        <v>427</v>
      </c>
      <c r="Q430" s="52">
        <f t="shared" si="145"/>
        <v>-18632.441050287543</v>
      </c>
      <c r="R430" s="52">
        <f t="shared" si="146"/>
        <v>13221.766987083542</v>
      </c>
      <c r="T430" s="6">
        <v>427</v>
      </c>
      <c r="U430" s="52">
        <f t="shared" si="132"/>
        <v>-3046.3443575536344</v>
      </c>
      <c r="V430" s="52">
        <f t="shared" si="133"/>
        <v>-10397.475732737797</v>
      </c>
      <c r="X430" s="6">
        <v>426</v>
      </c>
      <c r="Y430" s="55">
        <v>213</v>
      </c>
      <c r="Z430" s="52">
        <f t="shared" si="147"/>
        <v>37317.395086855751</v>
      </c>
      <c r="AA430" s="52">
        <f t="shared" si="148"/>
        <v>-23346.25087504687</v>
      </c>
      <c r="AB430" s="52">
        <f t="shared" si="149"/>
        <v>6438.0739043644762</v>
      </c>
      <c r="AC430" s="52">
        <f t="shared" si="150"/>
        <v>-677.23101522415539</v>
      </c>
      <c r="AD430" s="52">
        <f t="shared" si="134"/>
        <v>-472.50799160363488</v>
      </c>
      <c r="AE430" s="52">
        <f t="shared" si="135"/>
        <v>395.65805270632518</v>
      </c>
      <c r="AF430" s="52">
        <f t="shared" si="136"/>
        <v>-182.52120794291855</v>
      </c>
      <c r="AG430" s="52">
        <f t="shared" si="137"/>
        <v>325.11211657330711</v>
      </c>
      <c r="AH430" s="52">
        <f t="shared" si="138"/>
        <v>-34.720618860518094</v>
      </c>
      <c r="AI430" s="52">
        <f t="shared" si="139"/>
        <v>20.199844485347732</v>
      </c>
      <c r="AJ430" s="52">
        <f t="shared" si="140"/>
        <v>-255.26616480019823</v>
      </c>
      <c r="AK430" s="52">
        <f t="shared" si="141"/>
        <v>50.346091647670313</v>
      </c>
      <c r="AM430" s="52">
        <f t="shared" si="142"/>
        <v>35374.897394064414</v>
      </c>
      <c r="AN430" s="57">
        <f t="shared" si="143"/>
        <v>66311.810614431874</v>
      </c>
      <c r="AO430" s="57">
        <f t="shared" si="144"/>
        <v>43132.607509936883</v>
      </c>
    </row>
    <row r="431" spans="12:41" x14ac:dyDescent="0.25">
      <c r="L431" s="6">
        <v>428</v>
      </c>
      <c r="M431" s="52">
        <f t="shared" si="130"/>
        <v>21873.032967079562</v>
      </c>
      <c r="N431" s="52">
        <f t="shared" si="131"/>
        <v>12135.919272833937</v>
      </c>
      <c r="P431" s="6">
        <v>428</v>
      </c>
      <c r="Q431" s="52">
        <f t="shared" si="145"/>
        <v>-18688.876923044307</v>
      </c>
      <c r="R431" s="52">
        <f t="shared" si="146"/>
        <v>13245.143490983755</v>
      </c>
      <c r="T431" s="6">
        <v>428</v>
      </c>
      <c r="U431" s="52">
        <f t="shared" si="132"/>
        <v>-3126.9670329204382</v>
      </c>
      <c r="V431" s="52">
        <f t="shared" si="133"/>
        <v>-10364.080727166063</v>
      </c>
      <c r="X431" s="6">
        <v>427</v>
      </c>
      <c r="Y431" s="55">
        <v>213.5</v>
      </c>
      <c r="Z431" s="52">
        <f t="shared" si="147"/>
        <v>40477.368540087533</v>
      </c>
      <c r="AA431" s="52">
        <f t="shared" si="148"/>
        <v>-23635.409126070655</v>
      </c>
      <c r="AB431" s="52">
        <f t="shared" si="149"/>
        <v>6201.8199085626584</v>
      </c>
      <c r="AC431" s="52">
        <f t="shared" si="150"/>
        <v>-479.4019888709928</v>
      </c>
      <c r="AD431" s="52">
        <f t="shared" si="134"/>
        <v>-443.12739100314923</v>
      </c>
      <c r="AE431" s="52">
        <f t="shared" si="135"/>
        <v>344.33145975625069</v>
      </c>
      <c r="AF431" s="52">
        <f t="shared" si="136"/>
        <v>-186.6577779643878</v>
      </c>
      <c r="AG431" s="52">
        <f t="shared" si="137"/>
        <v>283.80923418491284</v>
      </c>
      <c r="AH431" s="52">
        <f t="shared" si="138"/>
        <v>-32.27800215657404</v>
      </c>
      <c r="AI431" s="52">
        <f t="shared" si="139"/>
        <v>17.951902249002639</v>
      </c>
      <c r="AJ431" s="52">
        <f t="shared" si="140"/>
        <v>-224.19161088218738</v>
      </c>
      <c r="AK431" s="52">
        <f t="shared" si="141"/>
        <v>42.57032332233522</v>
      </c>
      <c r="AM431" s="52">
        <f t="shared" si="142"/>
        <v>37265.752692980328</v>
      </c>
      <c r="AN431" s="57">
        <f t="shared" si="143"/>
        <v>69201.537935306944</v>
      </c>
      <c r="AO431" s="57">
        <f t="shared" si="144"/>
        <v>46289.970189076244</v>
      </c>
    </row>
    <row r="432" spans="12:41" x14ac:dyDescent="0.25">
      <c r="L432" s="6">
        <v>429</v>
      </c>
      <c r="M432" s="52">
        <f t="shared" si="130"/>
        <v>21791.839747726499</v>
      </c>
      <c r="N432" s="52">
        <f t="shared" si="131"/>
        <v>12167.90213248601</v>
      </c>
      <c r="P432" s="6">
        <v>429</v>
      </c>
      <c r="Q432" s="52">
        <f t="shared" si="145"/>
        <v>-18745.712176591449</v>
      </c>
      <c r="R432" s="52">
        <f t="shared" si="146"/>
        <v>13267.531492740207</v>
      </c>
      <c r="T432" s="6">
        <v>429</v>
      </c>
      <c r="U432" s="52">
        <f t="shared" si="132"/>
        <v>-3208.1602522735002</v>
      </c>
      <c r="V432" s="52">
        <f t="shared" si="133"/>
        <v>-10332.09786751399</v>
      </c>
      <c r="X432" s="6">
        <v>428</v>
      </c>
      <c r="Y432" s="55">
        <v>214</v>
      </c>
      <c r="Z432" s="52">
        <f t="shared" si="147"/>
        <v>43522.887570493469</v>
      </c>
      <c r="AA432" s="52">
        <f t="shared" si="148"/>
        <v>-23832.068688036623</v>
      </c>
      <c r="AB432" s="52">
        <f t="shared" si="149"/>
        <v>5980.2562130610841</v>
      </c>
      <c r="AC432" s="52">
        <f t="shared" si="150"/>
        <v>-307.23625899286742</v>
      </c>
      <c r="AD432" s="52">
        <f t="shared" si="134"/>
        <v>-415.82410737718226</v>
      </c>
      <c r="AE432" s="52">
        <f t="shared" si="135"/>
        <v>300.49909346068085</v>
      </c>
      <c r="AF432" s="52">
        <f t="shared" si="136"/>
        <v>-186.29566589909504</v>
      </c>
      <c r="AG432" s="52">
        <f t="shared" si="137"/>
        <v>248.14252003464881</v>
      </c>
      <c r="AH432" s="52">
        <f t="shared" si="138"/>
        <v>-30.173393019575613</v>
      </c>
      <c r="AI432" s="52">
        <f t="shared" si="139"/>
        <v>16.070244036947468</v>
      </c>
      <c r="AJ432" s="52">
        <f t="shared" si="140"/>
        <v>-199.35504845851162</v>
      </c>
      <c r="AK432" s="52">
        <f t="shared" si="141"/>
        <v>36.286329389084578</v>
      </c>
      <c r="AM432" s="52">
        <f t="shared" si="142"/>
        <v>39179.392133185538</v>
      </c>
      <c r="AN432" s="57">
        <f t="shared" si="143"/>
        <v>71970.592029005726</v>
      </c>
      <c r="AO432" s="57">
        <f t="shared" si="144"/>
        <v>49320.138437447094</v>
      </c>
    </row>
    <row r="433" spans="12:41" x14ac:dyDescent="0.25">
      <c r="L433" s="6">
        <v>430</v>
      </c>
      <c r="M433" s="52">
        <f t="shared" si="130"/>
        <v>21710.100716628349</v>
      </c>
      <c r="N433" s="52">
        <f t="shared" si="131"/>
        <v>12198.463103929542</v>
      </c>
      <c r="P433" s="6">
        <v>430</v>
      </c>
      <c r="Q433" s="52">
        <f t="shared" si="145"/>
        <v>-18802.929498360158</v>
      </c>
      <c r="R433" s="52">
        <f t="shared" si="146"/>
        <v>13288.924172750678</v>
      </c>
      <c r="T433" s="6">
        <v>430</v>
      </c>
      <c r="U433" s="52">
        <f t="shared" si="132"/>
        <v>-3289.8992833716525</v>
      </c>
      <c r="V433" s="52">
        <f t="shared" si="133"/>
        <v>-10301.536896070458</v>
      </c>
      <c r="X433" s="6">
        <v>429</v>
      </c>
      <c r="Y433" s="55">
        <v>214.5</v>
      </c>
      <c r="Z433" s="52">
        <f t="shared" si="147"/>
        <v>46461.037663601863</v>
      </c>
      <c r="AA433" s="52">
        <f t="shared" si="148"/>
        <v>-23948.124430850472</v>
      </c>
      <c r="AB433" s="52">
        <f t="shared" si="149"/>
        <v>5772.3441593724929</v>
      </c>
      <c r="AC433" s="52">
        <f t="shared" si="150"/>
        <v>-156.98671226252699</v>
      </c>
      <c r="AD433" s="52">
        <f t="shared" si="134"/>
        <v>-390.55382863057014</v>
      </c>
      <c r="AE433" s="52">
        <f t="shared" si="135"/>
        <v>263.20386518750178</v>
      </c>
      <c r="AF433" s="52">
        <f t="shared" si="136"/>
        <v>-183.07443466537106</v>
      </c>
      <c r="AG433" s="52">
        <f t="shared" si="137"/>
        <v>217.57830039234022</v>
      </c>
      <c r="AH433" s="52">
        <f t="shared" si="138"/>
        <v>-28.341582870698584</v>
      </c>
      <c r="AI433" s="52">
        <f t="shared" si="139"/>
        <v>14.476806497239879</v>
      </c>
      <c r="AJ433" s="52">
        <f t="shared" si="140"/>
        <v>-179.13781109450053</v>
      </c>
      <c r="AK433" s="52">
        <f t="shared" si="141"/>
        <v>31.148758297921653</v>
      </c>
      <c r="AM433" s="52">
        <f t="shared" si="142"/>
        <v>41099.526085501406</v>
      </c>
      <c r="AN433" s="57">
        <f t="shared" si="143"/>
        <v>74629.382147350057</v>
      </c>
      <c r="AO433" s="57">
        <f t="shared" si="144"/>
        <v>52233.201397622877</v>
      </c>
    </row>
    <row r="434" spans="12:41" x14ac:dyDescent="0.25">
      <c r="L434" s="6">
        <v>431</v>
      </c>
      <c r="M434" s="52">
        <f t="shared" si="130"/>
        <v>21627.840772285785</v>
      </c>
      <c r="N434" s="52">
        <f t="shared" si="131"/>
        <v>12227.592877996583</v>
      </c>
      <c r="P434" s="6">
        <v>431</v>
      </c>
      <c r="Q434" s="52">
        <f t="shared" si="145"/>
        <v>-18860.51145939995</v>
      </c>
      <c r="R434" s="52">
        <f t="shared" si="146"/>
        <v>13309.315014597609</v>
      </c>
      <c r="T434" s="6">
        <v>431</v>
      </c>
      <c r="U434" s="52">
        <f t="shared" si="132"/>
        <v>-3372.1592277142163</v>
      </c>
      <c r="V434" s="52">
        <f t="shared" si="133"/>
        <v>-10272.407122003417</v>
      </c>
      <c r="X434" s="6">
        <v>430</v>
      </c>
      <c r="Y434" s="55">
        <v>215</v>
      </c>
      <c r="Z434" s="52">
        <f t="shared" si="147"/>
        <v>49298.390514709288</v>
      </c>
      <c r="AA434" s="52">
        <f t="shared" si="148"/>
        <v>-23993.717303833299</v>
      </c>
      <c r="AB434" s="52">
        <f t="shared" si="149"/>
        <v>5577.0672450572074</v>
      </c>
      <c r="AC434" s="52">
        <f t="shared" si="150"/>
        <v>-25.384779668776105</v>
      </c>
      <c r="AD434" s="52">
        <f t="shared" si="134"/>
        <v>-367.26897663102011</v>
      </c>
      <c r="AE434" s="52">
        <f t="shared" si="135"/>
        <v>231.47979651966642</v>
      </c>
      <c r="AF434" s="52">
        <f t="shared" si="136"/>
        <v>-178.11766112708665</v>
      </c>
      <c r="AG434" s="52">
        <f t="shared" si="137"/>
        <v>191.46400767441972</v>
      </c>
      <c r="AH434" s="52">
        <f t="shared" si="138"/>
        <v>-26.732946054387174</v>
      </c>
      <c r="AI434" s="52">
        <f t="shared" si="139"/>
        <v>13.113612078459044</v>
      </c>
      <c r="AJ434" s="52">
        <f t="shared" si="140"/>
        <v>-162.4183694495463</v>
      </c>
      <c r="AK434" s="52">
        <f t="shared" si="141"/>
        <v>26.902176766787633</v>
      </c>
      <c r="AM434" s="52">
        <f t="shared" si="142"/>
        <v>43014.531455848453</v>
      </c>
      <c r="AN434" s="57">
        <f t="shared" si="143"/>
        <v>77187.043887313674</v>
      </c>
      <c r="AO434" s="57">
        <f t="shared" si="144"/>
        <v>55038.188228076164</v>
      </c>
    </row>
    <row r="435" spans="12:41" x14ac:dyDescent="0.25">
      <c r="L435" s="6">
        <v>432</v>
      </c>
      <c r="M435" s="52">
        <f t="shared" si="130"/>
        <v>21545.084971874738</v>
      </c>
      <c r="N435" s="52">
        <f t="shared" si="131"/>
        <v>12255.282581475767</v>
      </c>
      <c r="P435" s="6">
        <v>432</v>
      </c>
      <c r="Q435" s="52">
        <f t="shared" si="145"/>
        <v>-18918.440519687683</v>
      </c>
      <c r="R435" s="52">
        <f t="shared" si="146"/>
        <v>13328.697807033037</v>
      </c>
      <c r="T435" s="6">
        <v>432</v>
      </c>
      <c r="U435" s="52">
        <f t="shared" si="132"/>
        <v>-3454.9150281252614</v>
      </c>
      <c r="V435" s="52">
        <f t="shared" si="133"/>
        <v>-10244.717418524233</v>
      </c>
      <c r="X435" s="6">
        <v>431</v>
      </c>
      <c r="Y435" s="55">
        <v>215.5</v>
      </c>
      <c r="Z435" s="52">
        <f t="shared" si="147"/>
        <v>52041.015515159015</v>
      </c>
      <c r="AA435" s="52">
        <f t="shared" si="148"/>
        <v>-23977.474719102727</v>
      </c>
      <c r="AB435" s="52">
        <f t="shared" si="149"/>
        <v>5393.4327567416976</v>
      </c>
      <c r="AC435" s="52">
        <f t="shared" si="150"/>
        <v>90.355118591057106</v>
      </c>
      <c r="AD435" s="52">
        <f t="shared" si="134"/>
        <v>-345.88905312838892</v>
      </c>
      <c r="AE435" s="52">
        <f t="shared" si="135"/>
        <v>204.4445952411175</v>
      </c>
      <c r="AF435" s="52">
        <f t="shared" si="136"/>
        <v>-172.17998263496116</v>
      </c>
      <c r="AG435" s="52">
        <f t="shared" si="137"/>
        <v>169.15166274812242</v>
      </c>
      <c r="AH435" s="52">
        <f t="shared" si="138"/>
        <v>-25.309124784532894</v>
      </c>
      <c r="AI435" s="52">
        <f t="shared" si="139"/>
        <v>11.936813235900766</v>
      </c>
      <c r="AJ435" s="52">
        <f t="shared" si="140"/>
        <v>-148.39994570889485</v>
      </c>
      <c r="AK435" s="52">
        <f t="shared" si="141"/>
        <v>23.35611925709431</v>
      </c>
      <c r="AM435" s="52">
        <f t="shared" si="142"/>
        <v>44916.122828383261</v>
      </c>
      <c r="AN435" s="57">
        <f t="shared" si="143"/>
        <v>79651.595745111394</v>
      </c>
      <c r="AO435" s="57">
        <f t="shared" si="144"/>
        <v>57743.159796920881</v>
      </c>
    </row>
    <row r="436" spans="12:41" x14ac:dyDescent="0.25">
      <c r="L436" s="6">
        <v>433</v>
      </c>
      <c r="M436" s="52">
        <f t="shared" si="130"/>
        <v>21461.858523613682</v>
      </c>
      <c r="N436" s="52">
        <f t="shared" si="131"/>
        <v>12281.523779815177</v>
      </c>
      <c r="P436" s="6">
        <v>433</v>
      </c>
      <c r="Q436" s="52">
        <f t="shared" si="145"/>
        <v>-18976.699033470424</v>
      </c>
      <c r="R436" s="52">
        <f t="shared" si="146"/>
        <v>13347.066645870626</v>
      </c>
      <c r="T436" s="6">
        <v>433</v>
      </c>
      <c r="U436" s="52">
        <f t="shared" si="132"/>
        <v>-3538.1414763863186</v>
      </c>
      <c r="V436" s="52">
        <f t="shared" si="133"/>
        <v>-10218.476220184823</v>
      </c>
      <c r="X436" s="6">
        <v>432</v>
      </c>
      <c r="Y436" s="55">
        <v>216</v>
      </c>
      <c r="Z436" s="52">
        <f t="shared" si="147"/>
        <v>54694.495761888815</v>
      </c>
      <c r="AA436" s="52">
        <f t="shared" si="148"/>
        <v>-23906.741585402062</v>
      </c>
      <c r="AB436" s="52">
        <f t="shared" si="149"/>
        <v>5220.4882301775033</v>
      </c>
      <c r="AC436" s="52">
        <f t="shared" si="150"/>
        <v>192.57741621161585</v>
      </c>
      <c r="AD436" s="52">
        <f t="shared" si="134"/>
        <v>-326.30383589662642</v>
      </c>
      <c r="AE436" s="52">
        <f t="shared" si="135"/>
        <v>181.33196819101047</v>
      </c>
      <c r="AF436" s="52">
        <f t="shared" si="136"/>
        <v>-165.76008600459659</v>
      </c>
      <c r="AG436" s="52">
        <f t="shared" si="137"/>
        <v>150.05216452919464</v>
      </c>
      <c r="AH436" s="52">
        <f t="shared" si="138"/>
        <v>-24.040044087431255</v>
      </c>
      <c r="AI436" s="52">
        <f t="shared" si="139"/>
        <v>10.912712566835493</v>
      </c>
      <c r="AJ436" s="52">
        <f t="shared" si="140"/>
        <v>-136.50370580459861</v>
      </c>
      <c r="AK436" s="52">
        <f t="shared" si="141"/>
        <v>20.367091094980335</v>
      </c>
      <c r="AM436" s="52">
        <f t="shared" si="142"/>
        <v>46798.412934456916</v>
      </c>
      <c r="AN436" s="57">
        <f t="shared" si="143"/>
        <v>82030.084859532246</v>
      </c>
      <c r="AO436" s="57">
        <f t="shared" si="144"/>
        <v>60355.305234380947</v>
      </c>
    </row>
    <row r="437" spans="12:41" x14ac:dyDescent="0.25">
      <c r="L437" s="6">
        <v>434</v>
      </c>
      <c r="M437" s="52">
        <f t="shared" si="130"/>
        <v>21378.186779085001</v>
      </c>
      <c r="N437" s="52">
        <f t="shared" si="131"/>
        <v>12306.308479691594</v>
      </c>
      <c r="P437" s="6">
        <v>434</v>
      </c>
      <c r="Q437" s="52">
        <f t="shared" si="145"/>
        <v>-19035.269254640501</v>
      </c>
      <c r="R437" s="52">
        <f t="shared" si="146"/>
        <v>13364.415935784116</v>
      </c>
      <c r="T437" s="6">
        <v>434</v>
      </c>
      <c r="U437" s="52">
        <f t="shared" si="132"/>
        <v>-3621.8132209150008</v>
      </c>
      <c r="V437" s="52">
        <f t="shared" si="133"/>
        <v>-10193.691520308406</v>
      </c>
      <c r="X437" s="6">
        <v>433</v>
      </c>
      <c r="Y437" s="55">
        <v>216.5</v>
      </c>
      <c r="Z437" s="52">
        <f t="shared" si="147"/>
        <v>57263.951897490493</v>
      </c>
      <c r="AA437" s="52">
        <f t="shared" si="148"/>
        <v>-23787.786381272377</v>
      </c>
      <c r="AB437" s="52">
        <f t="shared" si="149"/>
        <v>5057.3363122291903</v>
      </c>
      <c r="AC437" s="52">
        <f t="shared" si="150"/>
        <v>283.24340030712108</v>
      </c>
      <c r="AD437" s="52">
        <f t="shared" si="134"/>
        <v>-308.38468394901412</v>
      </c>
      <c r="AE437" s="52">
        <f t="shared" si="135"/>
        <v>161.49433997954125</v>
      </c>
      <c r="AF437" s="52">
        <f t="shared" si="136"/>
        <v>-159.18219211809287</v>
      </c>
      <c r="AG437" s="52">
        <f t="shared" si="137"/>
        <v>133.65352221348681</v>
      </c>
      <c r="AH437" s="52">
        <f t="shared" si="138"/>
        <v>-22.901812281150015</v>
      </c>
      <c r="AI437" s="52">
        <f t="shared" si="139"/>
        <v>10.015039641334084</v>
      </c>
      <c r="AJ437" s="52">
        <f t="shared" si="140"/>
        <v>-126.30067954977123</v>
      </c>
      <c r="AK437" s="52">
        <f t="shared" si="141"/>
        <v>17.825778124720355</v>
      </c>
      <c r="AM437" s="52">
        <f t="shared" si="142"/>
        <v>48657.247020958952</v>
      </c>
      <c r="AN437" s="57">
        <f t="shared" si="143"/>
        <v>84328.718544539865</v>
      </c>
      <c r="AO437" s="57">
        <f t="shared" si="144"/>
        <v>62881.037645508732</v>
      </c>
    </row>
    <row r="438" spans="12:41" x14ac:dyDescent="0.25">
      <c r="L438" s="6">
        <v>435</v>
      </c>
      <c r="M438" s="52">
        <f t="shared" si="130"/>
        <v>21294.095225512603</v>
      </c>
      <c r="N438" s="52">
        <f t="shared" si="131"/>
        <v>12329.629131445341</v>
      </c>
      <c r="P438" s="6">
        <v>435</v>
      </c>
      <c r="Q438" s="52">
        <f t="shared" si="145"/>
        <v>-19094.133342141176</v>
      </c>
      <c r="R438" s="52">
        <f t="shared" si="146"/>
        <v>13380.740392011739</v>
      </c>
      <c r="T438" s="6">
        <v>435</v>
      </c>
      <c r="U438" s="52">
        <f t="shared" si="132"/>
        <v>-3705.904774487396</v>
      </c>
      <c r="V438" s="52">
        <f t="shared" si="133"/>
        <v>-10170.370868554659</v>
      </c>
      <c r="X438" s="6">
        <v>434</v>
      </c>
      <c r="Y438" s="55">
        <v>217</v>
      </c>
      <c r="Z438" s="52">
        <f t="shared" si="147"/>
        <v>59754.071968111464</v>
      </c>
      <c r="AA438" s="52">
        <f t="shared" si="148"/>
        <v>-23625.977888621375</v>
      </c>
      <c r="AB438" s="52">
        <f t="shared" si="149"/>
        <v>4903.1439702546832</v>
      </c>
      <c r="AC438" s="52">
        <f t="shared" si="150"/>
        <v>363.99057029689169</v>
      </c>
      <c r="AD438" s="52">
        <f t="shared" si="134"/>
        <v>-291.99532798912247</v>
      </c>
      <c r="AE438" s="52">
        <f t="shared" si="135"/>
        <v>144.39261178472691</v>
      </c>
      <c r="AF438" s="52">
        <f t="shared" si="136"/>
        <v>-152.65287575268144</v>
      </c>
      <c r="AG438" s="52">
        <f t="shared" si="137"/>
        <v>119.5215936401131</v>
      </c>
      <c r="AH438" s="52">
        <f t="shared" si="138"/>
        <v>-21.875220673307421</v>
      </c>
      <c r="AI438" s="52">
        <f t="shared" si="139"/>
        <v>9.223048660931795</v>
      </c>
      <c r="AJ438" s="52">
        <f t="shared" si="140"/>
        <v>-117.46723156313361</v>
      </c>
      <c r="AK438" s="52">
        <f t="shared" si="141"/>
        <v>15.647969483682019</v>
      </c>
      <c r="AM438" s="52">
        <f t="shared" si="142"/>
        <v>50489.729030454626</v>
      </c>
      <c r="AN438" s="57">
        <f t="shared" si="143"/>
        <v>86552.980217094533</v>
      </c>
      <c r="AO438" s="57">
        <f t="shared" si="144"/>
        <v>65326.084613930012</v>
      </c>
    </row>
    <row r="439" spans="12:41" x14ac:dyDescent="0.25">
      <c r="L439" s="6">
        <v>436</v>
      </c>
      <c r="M439" s="52">
        <f t="shared" si="130"/>
        <v>21209.609477998343</v>
      </c>
      <c r="N439" s="52">
        <f t="shared" si="131"/>
        <v>12351.478631379981</v>
      </c>
      <c r="P439" s="6">
        <v>436</v>
      </c>
      <c r="Q439" s="52">
        <f t="shared" si="145"/>
        <v>-19153.273365401161</v>
      </c>
      <c r="R439" s="52">
        <f t="shared" si="146"/>
        <v>13396.035041965986</v>
      </c>
      <c r="T439" s="6">
        <v>436</v>
      </c>
      <c r="U439" s="52">
        <f t="shared" si="132"/>
        <v>-3790.3905220016559</v>
      </c>
      <c r="V439" s="52">
        <f t="shared" si="133"/>
        <v>-10148.521368620019</v>
      </c>
      <c r="X439" s="6">
        <v>435</v>
      </c>
      <c r="Y439" s="55">
        <v>217.5</v>
      </c>
      <c r="Z439" s="52">
        <f t="shared" si="147"/>
        <v>62169.144537240165</v>
      </c>
      <c r="AA439" s="52">
        <f t="shared" si="148"/>
        <v>-23425.933526999841</v>
      </c>
      <c r="AB439" s="52">
        <f t="shared" si="149"/>
        <v>4757.1463062601215</v>
      </c>
      <c r="AC439" s="52">
        <f t="shared" si="150"/>
        <v>436.18687618925514</v>
      </c>
      <c r="AD439" s="52">
        <f t="shared" si="134"/>
        <v>-276.99986437792666</v>
      </c>
      <c r="AE439" s="52">
        <f t="shared" si="135"/>
        <v>129.58146083442375</v>
      </c>
      <c r="AF439" s="52">
        <f t="shared" si="136"/>
        <v>-146.29996478666095</v>
      </c>
      <c r="AG439" s="52">
        <f t="shared" si="137"/>
        <v>107.29321250515473</v>
      </c>
      <c r="AH439" s="52">
        <f t="shared" si="138"/>
        <v>-20.944655172642758</v>
      </c>
      <c r="AI439" s="52">
        <f t="shared" si="139"/>
        <v>8.520164783137032</v>
      </c>
      <c r="AJ439" s="52">
        <f t="shared" si="140"/>
        <v>-109.75524441862292</v>
      </c>
      <c r="AK439" s="52">
        <f t="shared" si="141"/>
        <v>13.768083546131979</v>
      </c>
      <c r="AM439" s="52">
        <f t="shared" si="142"/>
        <v>52293.882199728345</v>
      </c>
      <c r="AN439" s="57">
        <f t="shared" si="143"/>
        <v>88707.729911960196</v>
      </c>
      <c r="AO439" s="57">
        <f t="shared" si="144"/>
        <v>67695.571004801197</v>
      </c>
    </row>
    <row r="440" spans="12:41" x14ac:dyDescent="0.25">
      <c r="L440" s="6">
        <v>437</v>
      </c>
      <c r="M440" s="52">
        <f t="shared" si="130"/>
        <v>21124.755271719328</v>
      </c>
      <c r="N440" s="52">
        <f t="shared" si="131"/>
        <v>12371.850323926175</v>
      </c>
      <c r="P440" s="6">
        <v>437</v>
      </c>
      <c r="Q440" s="52">
        <f t="shared" si="145"/>
        <v>-19212.671309796471</v>
      </c>
      <c r="R440" s="52">
        <f t="shared" si="146"/>
        <v>13410.295226748323</v>
      </c>
      <c r="T440" s="6">
        <v>437</v>
      </c>
      <c r="U440" s="52">
        <f t="shared" si="132"/>
        <v>-3875.2447282806734</v>
      </c>
      <c r="V440" s="52">
        <f t="shared" si="133"/>
        <v>-10128.149676073825</v>
      </c>
      <c r="X440" s="6">
        <v>436</v>
      </c>
      <c r="Y440" s="55">
        <v>218</v>
      </c>
      <c r="Z440" s="52">
        <f t="shared" si="147"/>
        <v>64513.092707322983</v>
      </c>
      <c r="AA440" s="52">
        <f t="shared" si="148"/>
        <v>-23191.642406300911</v>
      </c>
      <c r="AB440" s="52">
        <f t="shared" si="149"/>
        <v>4618.6463740711579</v>
      </c>
      <c r="AC440" s="52">
        <f t="shared" si="150"/>
        <v>500.97760660646702</v>
      </c>
      <c r="AD440" s="52">
        <f t="shared" si="134"/>
        <v>-263.26792524507158</v>
      </c>
      <c r="AE440" s="52">
        <f t="shared" si="135"/>
        <v>116.69423934953157</v>
      </c>
      <c r="AF440" s="52">
        <f t="shared" si="136"/>
        <v>-140.19890770840559</v>
      </c>
      <c r="AG440" s="52">
        <f t="shared" si="137"/>
        <v>96.66672161901883</v>
      </c>
      <c r="AH440" s="52">
        <f t="shared" si="138"/>
        <v>-20.097295400354124</v>
      </c>
      <c r="AI440" s="52">
        <f t="shared" si="139"/>
        <v>7.8930047510206647</v>
      </c>
      <c r="AJ440" s="52">
        <f t="shared" si="140"/>
        <v>-102.97172213631188</v>
      </c>
      <c r="AK440" s="52">
        <f t="shared" si="141"/>
        <v>12.134512979492074</v>
      </c>
      <c r="AM440" s="52">
        <f t="shared" si="142"/>
        <v>54068.404229891778</v>
      </c>
      <c r="AN440" s="57">
        <f t="shared" si="143"/>
        <v>90797.290513452681</v>
      </c>
      <c r="AO440" s="57">
        <f t="shared" si="144"/>
        <v>69994.093058268758</v>
      </c>
    </row>
    <row r="441" spans="12:41" x14ac:dyDescent="0.25">
      <c r="L441" s="6">
        <v>438</v>
      </c>
      <c r="M441" s="52">
        <f t="shared" si="130"/>
        <v>21039.558454088794</v>
      </c>
      <c r="N441" s="52">
        <f t="shared" si="131"/>
        <v>12390.738003669028</v>
      </c>
      <c r="P441" s="6">
        <v>438</v>
      </c>
      <c r="Q441" s="52">
        <f t="shared" si="145"/>
        <v>-19272.309082137843</v>
      </c>
      <c r="R441" s="52">
        <f t="shared" si="146"/>
        <v>13423.516602568319</v>
      </c>
      <c r="T441" s="6">
        <v>438</v>
      </c>
      <c r="U441" s="52">
        <f t="shared" si="132"/>
        <v>-3960.4415459112051</v>
      </c>
      <c r="V441" s="52">
        <f t="shared" si="133"/>
        <v>-10109.261996330972</v>
      </c>
      <c r="X441" s="6">
        <v>437</v>
      </c>
      <c r="Y441" s="55">
        <v>218.5</v>
      </c>
      <c r="Z441" s="52">
        <f t="shared" si="147"/>
        <v>66789.507403702926</v>
      </c>
      <c r="AA441" s="52">
        <f t="shared" si="148"/>
        <v>-22926.566823078985</v>
      </c>
      <c r="AB441" s="52">
        <f t="shared" si="149"/>
        <v>4487.0124114486225</v>
      </c>
      <c r="AC441" s="52">
        <f t="shared" si="150"/>
        <v>559.32472628123276</v>
      </c>
      <c r="AD441" s="52">
        <f t="shared" si="134"/>
        <v>-250.67763539069085</v>
      </c>
      <c r="AE441" s="52">
        <f t="shared" si="135"/>
        <v>105.42921420536248</v>
      </c>
      <c r="AF441" s="52">
        <f t="shared" si="136"/>
        <v>-134.39055451669162</v>
      </c>
      <c r="AG441" s="52">
        <f t="shared" si="137"/>
        <v>87.392311103261378</v>
      </c>
      <c r="AH441" s="52">
        <f t="shared" si="138"/>
        <v>-19.322517414908592</v>
      </c>
      <c r="AI441" s="52">
        <f t="shared" si="139"/>
        <v>7.3306575862066747</v>
      </c>
      <c r="AJ441" s="52">
        <f t="shared" si="140"/>
        <v>-96.964563459090641</v>
      </c>
      <c r="AK441" s="52">
        <f t="shared" si="141"/>
        <v>10.706245515894436</v>
      </c>
      <c r="AM441" s="52">
        <f t="shared" si="142"/>
        <v>55812.489388312199</v>
      </c>
      <c r="AN441" s="57">
        <f t="shared" si="143"/>
        <v>92825.521265070696</v>
      </c>
      <c r="AO441" s="57">
        <f t="shared" si="144"/>
        <v>72225.783726222406</v>
      </c>
    </row>
    <row r="442" spans="12:41" x14ac:dyDescent="0.25">
      <c r="L442" s="6">
        <v>439</v>
      </c>
      <c r="M442" s="52">
        <f t="shared" si="130"/>
        <v>20954.044976882727</v>
      </c>
      <c r="N442" s="52">
        <f t="shared" si="131"/>
        <v>12408.13591723832</v>
      </c>
      <c r="P442" s="6">
        <v>439</v>
      </c>
      <c r="Q442" s="52">
        <f t="shared" si="145"/>
        <v>-19332.16851618209</v>
      </c>
      <c r="R442" s="52">
        <f t="shared" si="146"/>
        <v>13435.695142066823</v>
      </c>
      <c r="T442" s="6">
        <v>439</v>
      </c>
      <c r="U442" s="52">
        <f t="shared" si="132"/>
        <v>-4045.955023117272</v>
      </c>
      <c r="V442" s="52">
        <f t="shared" si="133"/>
        <v>-10091.86408276168</v>
      </c>
      <c r="X442" s="6">
        <v>438</v>
      </c>
      <c r="Y442" s="55">
        <v>219</v>
      </c>
      <c r="Z442" s="52">
        <f t="shared" si="147"/>
        <v>69001.678905003399</v>
      </c>
      <c r="AA442" s="52">
        <f t="shared" si="148"/>
        <v>-22633.725808162701</v>
      </c>
      <c r="AB442" s="52">
        <f t="shared" si="149"/>
        <v>4361.6735937532767</v>
      </c>
      <c r="AC442" s="52">
        <f t="shared" si="150"/>
        <v>612.03933338391403</v>
      </c>
      <c r="AD442" s="52">
        <f t="shared" si="134"/>
        <v>-239.1170191718266</v>
      </c>
      <c r="AE442" s="52">
        <f t="shared" si="135"/>
        <v>95.537733388641641</v>
      </c>
      <c r="AF442" s="52">
        <f t="shared" si="136"/>
        <v>-128.89311593720282</v>
      </c>
      <c r="AG442" s="52">
        <f t="shared" si="137"/>
        <v>79.263198751641369</v>
      </c>
      <c r="AH442" s="52">
        <f t="shared" si="138"/>
        <v>-18.611442659736834</v>
      </c>
      <c r="AI442" s="52">
        <f t="shared" si="139"/>
        <v>6.8241489837564204</v>
      </c>
      <c r="AJ442" s="52">
        <f t="shared" si="140"/>
        <v>-91.612460574886953</v>
      </c>
      <c r="AK442" s="52">
        <f t="shared" si="141"/>
        <v>9.4503856532438544</v>
      </c>
      <c r="AM442" s="52">
        <f t="shared" si="142"/>
        <v>57525.698314671383</v>
      </c>
      <c r="AN442" s="57">
        <f t="shared" si="143"/>
        <v>94795.880227105183</v>
      </c>
      <c r="AO442" s="57">
        <f t="shared" si="144"/>
        <v>74394.369749823367</v>
      </c>
    </row>
    <row r="443" spans="12:41" x14ac:dyDescent="0.25">
      <c r="L443" s="6">
        <v>440</v>
      </c>
      <c r="M443" s="52">
        <f t="shared" si="130"/>
        <v>20868.240888334651</v>
      </c>
      <c r="N443" s="52">
        <f t="shared" si="131"/>
        <v>12424.038765061039</v>
      </c>
      <c r="P443" s="6">
        <v>440</v>
      </c>
      <c r="Q443" s="52">
        <f t="shared" si="145"/>
        <v>-19392.231378165743</v>
      </c>
      <c r="R443" s="52">
        <f t="shared" si="146"/>
        <v>13446.827135542728</v>
      </c>
      <c r="T443" s="6">
        <v>440</v>
      </c>
      <c r="U443" s="52">
        <f t="shared" si="132"/>
        <v>-4131.7591116653475</v>
      </c>
      <c r="V443" s="52">
        <f t="shared" si="133"/>
        <v>-10075.961234938961</v>
      </c>
      <c r="X443" s="6">
        <v>439</v>
      </c>
      <c r="Y443" s="55">
        <v>219.5</v>
      </c>
      <c r="Z443" s="52">
        <f t="shared" si="147"/>
        <v>71152.62607448356</v>
      </c>
      <c r="AA443" s="52">
        <f t="shared" si="148"/>
        <v>-22315.763924797164</v>
      </c>
      <c r="AB443" s="52">
        <f t="shared" si="149"/>
        <v>4242.1150841673634</v>
      </c>
      <c r="AC443" s="52">
        <f t="shared" si="150"/>
        <v>659.8082000782349</v>
      </c>
      <c r="AD443" s="52">
        <f t="shared" si="134"/>
        <v>-228.48439744753284</v>
      </c>
      <c r="AE443" s="52">
        <f t="shared" si="135"/>
        <v>86.814363540184942</v>
      </c>
      <c r="AF443" s="52">
        <f t="shared" si="136"/>
        <v>-123.71019484081042</v>
      </c>
      <c r="AG443" s="52">
        <f t="shared" si="137"/>
        <v>72.108007887872702</v>
      </c>
      <c r="AH443" s="52">
        <f t="shared" si="138"/>
        <v>-17.956593313650938</v>
      </c>
      <c r="AI443" s="52">
        <f t="shared" si="139"/>
        <v>6.3660374408014295</v>
      </c>
      <c r="AJ443" s="52">
        <f t="shared" si="140"/>
        <v>-86.817609293071484</v>
      </c>
      <c r="AK443" s="52">
        <f t="shared" si="141"/>
        <v>8.3403182115107999</v>
      </c>
      <c r="AM443" s="52">
        <f t="shared" si="142"/>
        <v>59207.862085496476</v>
      </c>
      <c r="AN443" s="57">
        <f t="shared" si="143"/>
        <v>96711.477283297878</v>
      </c>
      <c r="AO443" s="57">
        <f t="shared" si="144"/>
        <v>76503.221238347061</v>
      </c>
    </row>
    <row r="444" spans="12:41" x14ac:dyDescent="0.25">
      <c r="L444" s="6">
        <v>441</v>
      </c>
      <c r="M444" s="52">
        <f t="shared" si="130"/>
        <v>20782.172325201154</v>
      </c>
      <c r="N444" s="52">
        <f t="shared" si="131"/>
        <v>12438.441702975688</v>
      </c>
      <c r="P444" s="6">
        <v>441</v>
      </c>
      <c r="Q444" s="52">
        <f t="shared" si="145"/>
        <v>-19452.47937235919</v>
      </c>
      <c r="R444" s="52">
        <f t="shared" si="146"/>
        <v>13456.909192082981</v>
      </c>
      <c r="T444" s="6">
        <v>441</v>
      </c>
      <c r="U444" s="52">
        <f t="shared" si="132"/>
        <v>-4217.8276747988439</v>
      </c>
      <c r="V444" s="52">
        <f t="shared" si="133"/>
        <v>-10061.558297024312</v>
      </c>
      <c r="X444" s="6">
        <v>440</v>
      </c>
      <c r="Y444" s="55">
        <v>220</v>
      </c>
      <c r="Z444" s="52">
        <f t="shared" si="147"/>
        <v>73245.123066886299</v>
      </c>
      <c r="AA444" s="52">
        <f t="shared" si="148"/>
        <v>-21975.008029315522</v>
      </c>
      <c r="AB444" s="52">
        <f t="shared" si="149"/>
        <v>4127.8728854435967</v>
      </c>
      <c r="AC444" s="52">
        <f t="shared" si="150"/>
        <v>703.21538184832741</v>
      </c>
      <c r="AD444" s="52">
        <f t="shared" si="134"/>
        <v>-218.68816691653097</v>
      </c>
      <c r="AE444" s="52">
        <f t="shared" si="135"/>
        <v>79.088814325343606</v>
      </c>
      <c r="AF444" s="52">
        <f t="shared" si="136"/>
        <v>-118.8361718720796</v>
      </c>
      <c r="AG444" s="52">
        <f t="shared" si="137"/>
        <v>65.784374574598928</v>
      </c>
      <c r="AH444" s="52">
        <f t="shared" si="138"/>
        <v>-17.351626039170728</v>
      </c>
      <c r="AI444" s="52">
        <f t="shared" si="139"/>
        <v>5.9501061682999081</v>
      </c>
      <c r="AJ444" s="52">
        <f t="shared" si="140"/>
        <v>-82.500369005280632</v>
      </c>
      <c r="AK444" s="52">
        <f t="shared" si="141"/>
        <v>7.3543335824447702</v>
      </c>
      <c r="AM444" s="52">
        <f t="shared" si="142"/>
        <v>60859.011072610127</v>
      </c>
      <c r="AN444" s="57">
        <f t="shared" si="143"/>
        <v>98575.119143897376</v>
      </c>
      <c r="AO444" s="57">
        <f t="shared" si="144"/>
        <v>78555.39459999674</v>
      </c>
    </row>
    <row r="445" spans="12:41" x14ac:dyDescent="0.25">
      <c r="L445" s="6">
        <v>442</v>
      </c>
      <c r="M445" s="52">
        <f t="shared" si="130"/>
        <v>20695.865504800324</v>
      </c>
      <c r="N445" s="52">
        <f t="shared" si="131"/>
        <v>12451.340343707852</v>
      </c>
      <c r="P445" s="6">
        <v>442</v>
      </c>
      <c r="Q445" s="52">
        <f t="shared" si="145"/>
        <v>-19512.894146639774</v>
      </c>
      <c r="R445" s="52">
        <f t="shared" si="146"/>
        <v>13465.938240595497</v>
      </c>
      <c r="T445" s="6">
        <v>442</v>
      </c>
      <c r="U445" s="52">
        <f t="shared" si="132"/>
        <v>-4304.1344951996743</v>
      </c>
      <c r="V445" s="52">
        <f t="shared" si="133"/>
        <v>-10048.659656292148</v>
      </c>
      <c r="X445" s="6">
        <v>441</v>
      </c>
      <c r="Y445" s="55">
        <v>220.5</v>
      </c>
      <c r="Z445" s="52">
        <f t="shared" si="147"/>
        <v>75281.723488743533</v>
      </c>
      <c r="AA445" s="52">
        <f t="shared" si="148"/>
        <v>-21613.514236600691</v>
      </c>
      <c r="AB445" s="52">
        <f t="shared" si="149"/>
        <v>4018.528801985331</v>
      </c>
      <c r="AC445" s="52">
        <f t="shared" si="150"/>
        <v>742.75978901099916</v>
      </c>
      <c r="AD445" s="52">
        <f t="shared" si="134"/>
        <v>-209.64622942275045</v>
      </c>
      <c r="AE445" s="52">
        <f t="shared" si="135"/>
        <v>72.219390674236564</v>
      </c>
      <c r="AF445" s="52">
        <f t="shared" si="136"/>
        <v>-114.25980842807444</v>
      </c>
      <c r="AG445" s="52">
        <f t="shared" si="137"/>
        <v>60.173676749049903</v>
      </c>
      <c r="AH445" s="52">
        <f t="shared" si="138"/>
        <v>-16.79112417769127</v>
      </c>
      <c r="AI445" s="52">
        <f t="shared" si="139"/>
        <v>5.5711255401743882</v>
      </c>
      <c r="AJ445" s="52">
        <f t="shared" si="140"/>
        <v>-78.595296816984757</v>
      </c>
      <c r="AK445" s="52">
        <f t="shared" si="141"/>
        <v>6.4745883850122707</v>
      </c>
      <c r="AM445" s="52">
        <f t="shared" si="142"/>
        <v>62479.321884049365</v>
      </c>
      <c r="AN445" s="57">
        <f t="shared" si="143"/>
        <v>100389.34760906227</v>
      </c>
      <c r="AO445" s="57">
        <f t="shared" si="144"/>
        <v>80553.669667376395</v>
      </c>
    </row>
    <row r="446" spans="12:41" x14ac:dyDescent="0.25">
      <c r="L446" s="6">
        <v>443</v>
      </c>
      <c r="M446" s="52">
        <f t="shared" si="130"/>
        <v>20609.346717025743</v>
      </c>
      <c r="N446" s="52">
        <f t="shared" si="131"/>
        <v>12462.73075820661</v>
      </c>
      <c r="P446" s="6">
        <v>443</v>
      </c>
      <c r="Q446" s="52">
        <f t="shared" si="145"/>
        <v>-19573.457298081983</v>
      </c>
      <c r="R446" s="52">
        <f t="shared" si="146"/>
        <v>13473.911530744626</v>
      </c>
      <c r="T446" s="6">
        <v>443</v>
      </c>
      <c r="U446" s="52">
        <f t="shared" si="132"/>
        <v>-4390.6532829742591</v>
      </c>
      <c r="V446" s="52">
        <f t="shared" si="133"/>
        <v>-10037.26924179339</v>
      </c>
      <c r="X446" s="6">
        <v>442</v>
      </c>
      <c r="Y446" s="55">
        <v>221</v>
      </c>
      <c r="Z446" s="52">
        <f t="shared" si="147"/>
        <v>77264.782111058346</v>
      </c>
      <c r="AA446" s="52">
        <f t="shared" si="148"/>
        <v>-21233.106918260914</v>
      </c>
      <c r="AB446" s="52">
        <f t="shared" si="149"/>
        <v>3913.7056872739558</v>
      </c>
      <c r="AC446" s="52">
        <f t="shared" si="150"/>
        <v>778.86948434811745</v>
      </c>
      <c r="AD446" s="52">
        <f t="shared" si="134"/>
        <v>-201.28524589186696</v>
      </c>
      <c r="AE446" s="52">
        <f t="shared" si="135"/>
        <v>66.087710492267604</v>
      </c>
      <c r="AF446" s="52">
        <f t="shared" si="136"/>
        <v>-109.9666472035959</v>
      </c>
      <c r="AG446" s="52">
        <f t="shared" si="137"/>
        <v>55.176730183234824</v>
      </c>
      <c r="AH446" s="52">
        <f t="shared" si="138"/>
        <v>-16.270434002446933</v>
      </c>
      <c r="AI446" s="52">
        <f t="shared" si="139"/>
        <v>5.2246681046865442</v>
      </c>
      <c r="AJ446" s="52">
        <f t="shared" si="140"/>
        <v>-75.048164685824119</v>
      </c>
      <c r="AK446" s="52">
        <f t="shared" si="141"/>
        <v>5.6863122043462315</v>
      </c>
      <c r="AM446" s="52">
        <f t="shared" si="142"/>
        <v>64069.077591324829</v>
      </c>
      <c r="AN446" s="57">
        <f t="shared" si="143"/>
        <v>102156.47217322637</v>
      </c>
      <c r="AO446" s="57">
        <f t="shared" si="144"/>
        <v>82500.581801793232</v>
      </c>
    </row>
    <row r="447" spans="12:41" x14ac:dyDescent="0.25">
      <c r="L447" s="6">
        <v>444</v>
      </c>
      <c r="M447" s="52">
        <f t="shared" si="130"/>
        <v>20522.642316338268</v>
      </c>
      <c r="N447" s="52">
        <f t="shared" si="131"/>
        <v>12472.609476841368</v>
      </c>
      <c r="P447" s="6">
        <v>444</v>
      </c>
      <c r="Q447" s="52">
        <f t="shared" si="145"/>
        <v>-19634.150378563212</v>
      </c>
      <c r="R447" s="52">
        <f t="shared" si="146"/>
        <v>13480.826633788956</v>
      </c>
      <c r="T447" s="6">
        <v>444</v>
      </c>
      <c r="U447" s="52">
        <f t="shared" si="132"/>
        <v>-4477.3576836617322</v>
      </c>
      <c r="V447" s="52">
        <f t="shared" si="133"/>
        <v>-10027.390523158632</v>
      </c>
      <c r="X447" s="6">
        <v>443</v>
      </c>
      <c r="Y447" s="55">
        <v>221.5</v>
      </c>
      <c r="Z447" s="52">
        <f t="shared" si="147"/>
        <v>79196.474298958841</v>
      </c>
      <c r="AA447" s="52">
        <f t="shared" si="148"/>
        <v>-20835.411212275321</v>
      </c>
      <c r="AB447" s="52">
        <f t="shared" si="149"/>
        <v>3813.0630643280224</v>
      </c>
      <c r="AC447" s="52">
        <f t="shared" si="150"/>
        <v>811.91333959425128</v>
      </c>
      <c r="AD447" s="52">
        <f t="shared" si="134"/>
        <v>-193.539824640956</v>
      </c>
      <c r="AE447" s="52">
        <f t="shared" si="135"/>
        <v>60.594451587359842</v>
      </c>
      <c r="AF447" s="52">
        <f t="shared" si="136"/>
        <v>-105.94060061469037</v>
      </c>
      <c r="AG447" s="52">
        <f t="shared" si="137"/>
        <v>50.710291753735014</v>
      </c>
      <c r="AH447" s="52">
        <f t="shared" si="138"/>
        <v>-15.785534530048469</v>
      </c>
      <c r="AI447" s="52">
        <f t="shared" si="139"/>
        <v>4.906963194807064</v>
      </c>
      <c r="AJ447" s="52">
        <f t="shared" si="140"/>
        <v>-71.813689496217179</v>
      </c>
      <c r="AK447" s="52">
        <f t="shared" si="141"/>
        <v>4.9771966388177642</v>
      </c>
      <c r="AM447" s="52">
        <f t="shared" si="142"/>
        <v>65628.637788666863</v>
      </c>
      <c r="AN447" s="57">
        <f t="shared" si="143"/>
        <v>103878.59788221112</v>
      </c>
      <c r="AO447" s="57">
        <f t="shared" si="144"/>
        <v>84398.449680024249</v>
      </c>
    </row>
    <row r="448" spans="12:41" x14ac:dyDescent="0.25">
      <c r="L448" s="6">
        <v>445</v>
      </c>
      <c r="M448" s="52">
        <f t="shared" si="130"/>
        <v>20435.778713738295</v>
      </c>
      <c r="N448" s="52">
        <f t="shared" si="131"/>
        <v>12480.973490458728</v>
      </c>
      <c r="P448" s="6">
        <v>445</v>
      </c>
      <c r="Q448" s="52">
        <f t="shared" si="145"/>
        <v>-19694.954900383193</v>
      </c>
      <c r="R448" s="52">
        <f t="shared" si="146"/>
        <v>13486.681443321109</v>
      </c>
      <c r="T448" s="6">
        <v>445</v>
      </c>
      <c r="U448" s="52">
        <f t="shared" si="132"/>
        <v>-4564.2212862617034</v>
      </c>
      <c r="V448" s="52">
        <f t="shared" si="133"/>
        <v>-10019.026509541272</v>
      </c>
      <c r="X448" s="6">
        <v>444</v>
      </c>
      <c r="Y448" s="55">
        <v>222</v>
      </c>
      <c r="Z448" s="52">
        <f t="shared" si="147"/>
        <v>81078.813353042729</v>
      </c>
      <c r="AA448" s="52">
        <f t="shared" si="148"/>
        <v>-20421.880236029778</v>
      </c>
      <c r="AB448" s="52">
        <f t="shared" si="149"/>
        <v>3716.2931520075444</v>
      </c>
      <c r="AC448" s="52">
        <f t="shared" si="150"/>
        <v>842.21056538793118</v>
      </c>
      <c r="AD448" s="52">
        <f t="shared" si="134"/>
        <v>-186.35171018240047</v>
      </c>
      <c r="AE448" s="52">
        <f t="shared" si="135"/>
        <v>55.655927017380264</v>
      </c>
      <c r="AF448" s="52">
        <f t="shared" si="136"/>
        <v>-102.16499019770613</v>
      </c>
      <c r="AG448" s="52">
        <f t="shared" si="137"/>
        <v>46.704224656869471</v>
      </c>
      <c r="AH448" s="52">
        <f t="shared" si="138"/>
        <v>-15.332933144641466</v>
      </c>
      <c r="AI448" s="52">
        <f t="shared" si="139"/>
        <v>4.6147816769882226</v>
      </c>
      <c r="AJ448" s="52">
        <f t="shared" si="140"/>
        <v>-68.853786840052862</v>
      </c>
      <c r="AK448" s="52">
        <f t="shared" si="141"/>
        <v>4.3369206835225711</v>
      </c>
      <c r="AM448" s="52">
        <f t="shared" si="142"/>
        <v>67158.415976934877</v>
      </c>
      <c r="AN448" s="57">
        <f t="shared" si="143"/>
        <v>105557.64920627301</v>
      </c>
      <c r="AO448" s="57">
        <f t="shared" si="144"/>
        <v>86249.399380875795</v>
      </c>
    </row>
    <row r="449" spans="12:41" x14ac:dyDescent="0.25">
      <c r="L449" s="6">
        <v>446</v>
      </c>
      <c r="M449" s="52">
        <f t="shared" si="130"/>
        <v>20348.782368720629</v>
      </c>
      <c r="N449" s="52">
        <f t="shared" si="131"/>
        <v>12487.820251299121</v>
      </c>
      <c r="P449" s="6">
        <v>446</v>
      </c>
      <c r="Q449" s="52">
        <f t="shared" si="145"/>
        <v>-19755.852341895559</v>
      </c>
      <c r="R449" s="52">
        <f t="shared" si="146"/>
        <v>13491.474175909385</v>
      </c>
      <c r="T449" s="6">
        <v>446</v>
      </c>
      <c r="U449" s="52">
        <f t="shared" si="132"/>
        <v>-4651.2176312793717</v>
      </c>
      <c r="V449" s="52">
        <f t="shared" si="133"/>
        <v>-10012.179748700879</v>
      </c>
      <c r="X449" s="6">
        <v>445</v>
      </c>
      <c r="Y449" s="55">
        <v>222.5</v>
      </c>
      <c r="Z449" s="52">
        <f t="shared" si="147"/>
        <v>82913.6659652737</v>
      </c>
      <c r="AA449" s="52">
        <f t="shared" si="148"/>
        <v>-19993.817962458637</v>
      </c>
      <c r="AB449" s="52">
        <f t="shared" si="149"/>
        <v>3623.117296916344</v>
      </c>
      <c r="AC449" s="52">
        <f t="shared" si="150"/>
        <v>870.0385288966213</v>
      </c>
      <c r="AD449" s="52">
        <f t="shared" si="134"/>
        <v>-179.66901015444745</v>
      </c>
      <c r="AE449" s="52">
        <f t="shared" si="135"/>
        <v>51.201323531487724</v>
      </c>
      <c r="AF449" s="52">
        <f t="shared" si="136"/>
        <v>-98.623214806637463</v>
      </c>
      <c r="AG449" s="52">
        <f t="shared" si="137"/>
        <v>43.099200677048792</v>
      </c>
      <c r="AH449" s="52">
        <f t="shared" si="138"/>
        <v>-14.909581260043508</v>
      </c>
      <c r="AI449" s="52">
        <f t="shared" si="139"/>
        <v>4.3453438570648855</v>
      </c>
      <c r="AJ449" s="52">
        <f t="shared" si="140"/>
        <v>-66.136214087766476</v>
      </c>
      <c r="AK449" s="52">
        <f t="shared" si="141"/>
        <v>3.756778997374052</v>
      </c>
      <c r="AM449" s="52">
        <f t="shared" si="142"/>
        <v>68658.862438456199</v>
      </c>
      <c r="AN449" s="57">
        <f t="shared" si="143"/>
        <v>107195.39056497271</v>
      </c>
      <c r="AO449" s="57">
        <f t="shared" si="144"/>
        <v>88055.385305476331</v>
      </c>
    </row>
    <row r="450" spans="12:41" x14ac:dyDescent="0.25">
      <c r="L450" s="6">
        <v>447</v>
      </c>
      <c r="M450" s="52">
        <f t="shared" si="130"/>
        <v>20261.679781214723</v>
      </c>
      <c r="N450" s="52">
        <f t="shared" si="131"/>
        <v>12493.14767377287</v>
      </c>
      <c r="P450" s="6">
        <v>447</v>
      </c>
      <c r="Q450" s="52">
        <f t="shared" si="145"/>
        <v>-19816.824153149693</v>
      </c>
      <c r="R450" s="52">
        <f t="shared" si="146"/>
        <v>13495.203371641008</v>
      </c>
      <c r="T450" s="6">
        <v>447</v>
      </c>
      <c r="U450" s="52">
        <f t="shared" si="132"/>
        <v>-4738.3202187852776</v>
      </c>
      <c r="V450" s="52">
        <f t="shared" si="133"/>
        <v>-10006.85232622713</v>
      </c>
      <c r="X450" s="6">
        <v>446</v>
      </c>
      <c r="Y450" s="55">
        <v>223</v>
      </c>
      <c r="Z450" s="52">
        <f t="shared" si="147"/>
        <v>84702.765987462568</v>
      </c>
      <c r="AA450" s="52">
        <f t="shared" si="148"/>
        <v>-19552.398532568892</v>
      </c>
      <c r="AB450" s="52">
        <f t="shared" si="149"/>
        <v>3533.2827918391204</v>
      </c>
      <c r="AC450" s="52">
        <f t="shared" si="150"/>
        <v>895.63919066236519</v>
      </c>
      <c r="AD450" s="52">
        <f t="shared" si="134"/>
        <v>-173.44547985820537</v>
      </c>
      <c r="AE450" s="52">
        <f t="shared" si="135"/>
        <v>47.170469465197883</v>
      </c>
      <c r="AF450" s="52">
        <f t="shared" si="136"/>
        <v>-95.29916814112137</v>
      </c>
      <c r="AG450" s="52">
        <f t="shared" si="137"/>
        <v>39.844835642350425</v>
      </c>
      <c r="AH450" s="52">
        <f t="shared" si="138"/>
        <v>-14.512805672152805</v>
      </c>
      <c r="AI450" s="52">
        <f t="shared" si="139"/>
        <v>4.0962453379745716</v>
      </c>
      <c r="AJ450" s="52">
        <f t="shared" si="140"/>
        <v>-63.63350604493121</v>
      </c>
      <c r="AK450" s="52">
        <f t="shared" si="141"/>
        <v>3.2293884848728833</v>
      </c>
      <c r="AM450" s="52">
        <f t="shared" si="142"/>
        <v>70130.451251886858</v>
      </c>
      <c r="AN450" s="57">
        <f t="shared" si="143"/>
        <v>108793.44403250192</v>
      </c>
      <c r="AO450" s="57">
        <f t="shared" si="144"/>
        <v>89818.208388949774</v>
      </c>
    </row>
    <row r="451" spans="12:41" x14ac:dyDescent="0.25">
      <c r="L451" s="6">
        <v>448</v>
      </c>
      <c r="M451" s="52">
        <f t="shared" si="130"/>
        <v>20174.497483512503</v>
      </c>
      <c r="N451" s="52">
        <f t="shared" si="131"/>
        <v>12496.954135095479</v>
      </c>
      <c r="P451" s="6">
        <v>448</v>
      </c>
      <c r="Q451" s="52">
        <f t="shared" si="145"/>
        <v>-19877.851761541246</v>
      </c>
      <c r="R451" s="52">
        <f t="shared" si="146"/>
        <v>13497.867894566836</v>
      </c>
      <c r="T451" s="6">
        <v>448</v>
      </c>
      <c r="U451" s="52">
        <f t="shared" si="132"/>
        <v>-4825.502516487496</v>
      </c>
      <c r="V451" s="52">
        <f t="shared" si="133"/>
        <v>-10003.045864904521</v>
      </c>
      <c r="X451" s="6">
        <v>447</v>
      </c>
      <c r="Y451" s="55">
        <v>223.5</v>
      </c>
      <c r="Z451" s="52">
        <f t="shared" si="147"/>
        <v>86447.726698399856</v>
      </c>
      <c r="AA451" s="52">
        <f t="shared" si="148"/>
        <v>-19098.682628554558</v>
      </c>
      <c r="AB451" s="52">
        <f t="shared" si="149"/>
        <v>3446.5600519100176</v>
      </c>
      <c r="AC451" s="52">
        <f t="shared" si="150"/>
        <v>919.2244253949641</v>
      </c>
      <c r="AD451" s="52">
        <f t="shared" si="134"/>
        <v>-167.63987261021231</v>
      </c>
      <c r="AE451" s="52">
        <f t="shared" si="135"/>
        <v>43.512025212465531</v>
      </c>
      <c r="AF451" s="52">
        <f t="shared" si="136"/>
        <v>-92.177487525147839</v>
      </c>
      <c r="AG451" s="52">
        <f t="shared" si="137"/>
        <v>36.898173316108291</v>
      </c>
      <c r="AH451" s="52">
        <f t="shared" si="138"/>
        <v>-14.140252297591511</v>
      </c>
      <c r="AI451" s="52">
        <f t="shared" si="139"/>
        <v>3.8653969103643613</v>
      </c>
      <c r="AJ451" s="52">
        <f t="shared" si="140"/>
        <v>-61.322132787472945</v>
      </c>
      <c r="AK451" s="52">
        <f t="shared" si="141"/>
        <v>2.7484549859928791</v>
      </c>
      <c r="AM451" s="52">
        <f t="shared" si="142"/>
        <v>71573.670444932548</v>
      </c>
      <c r="AN451" s="57">
        <f t="shared" si="143"/>
        <v>110353.30466268136</v>
      </c>
      <c r="AO451" s="57">
        <f t="shared" si="144"/>
        <v>91539.531993531884</v>
      </c>
    </row>
    <row r="452" spans="12:41" x14ac:dyDescent="0.25">
      <c r="L452" s="6">
        <v>449</v>
      </c>
      <c r="M452" s="52">
        <f t="shared" si="130"/>
        <v>20087.26203218642</v>
      </c>
      <c r="N452" s="52">
        <f t="shared" si="131"/>
        <v>12499.238475781956</v>
      </c>
      <c r="P452" s="6">
        <v>449</v>
      </c>
      <c r="Q452" s="52">
        <f t="shared" si="145"/>
        <v>-19938.916577469507</v>
      </c>
      <c r="R452" s="52">
        <f t="shared" si="146"/>
        <v>13499.46693304737</v>
      </c>
      <c r="T452" s="6">
        <v>449</v>
      </c>
      <c r="U452" s="52">
        <f t="shared" si="132"/>
        <v>-4912.7379678135821</v>
      </c>
      <c r="V452" s="52">
        <f t="shared" si="133"/>
        <v>-10000.761524218044</v>
      </c>
      <c r="X452" s="6">
        <v>448</v>
      </c>
      <c r="Y452" s="55">
        <v>224</v>
      </c>
      <c r="Z452" s="52">
        <f t="shared" si="147"/>
        <v>88150.051740278592</v>
      </c>
      <c r="AA452" s="52">
        <f t="shared" si="148"/>
        <v>-18633.631412705519</v>
      </c>
      <c r="AB452" s="52">
        <f t="shared" si="149"/>
        <v>3362.7401156049114</v>
      </c>
      <c r="AC452" s="52">
        <f t="shared" si="150"/>
        <v>940.98043800119683</v>
      </c>
      <c r="AD452" s="52">
        <f t="shared" si="134"/>
        <v>-162.21535734442199</v>
      </c>
      <c r="AE452" s="52">
        <f t="shared" si="135"/>
        <v>40.182011308644448</v>
      </c>
      <c r="AF452" s="52">
        <f t="shared" si="136"/>
        <v>-89.243689737340006</v>
      </c>
      <c r="AG452" s="52">
        <f t="shared" si="137"/>
        <v>34.222449344481745</v>
      </c>
      <c r="AH452" s="52">
        <f t="shared" si="138"/>
        <v>-13.789839765470187</v>
      </c>
      <c r="AI452" s="52">
        <f t="shared" si="139"/>
        <v>3.650975498680106</v>
      </c>
      <c r="AJ452" s="52">
        <f t="shared" si="140"/>
        <v>-59.181827841611778</v>
      </c>
      <c r="AK452" s="52">
        <f t="shared" si="141"/>
        <v>2.3085864654825956</v>
      </c>
      <c r="AM452" s="52">
        <f t="shared" si="142"/>
        <v>72989.014536557472</v>
      </c>
      <c r="AN452" s="57">
        <f t="shared" si="143"/>
        <v>111876.35379875236</v>
      </c>
      <c r="AO452" s="57">
        <f t="shared" si="144"/>
        <v>93220.895814511357</v>
      </c>
    </row>
    <row r="453" spans="12:41" x14ac:dyDescent="0.25">
      <c r="L453" s="6">
        <v>450</v>
      </c>
      <c r="M453" s="52">
        <f t="shared" ref="M453:M516" si="151">$G$20*COS(L453*PI()/180)+$G$19</f>
        <v>20000</v>
      </c>
      <c r="N453" s="52">
        <f t="shared" ref="N453:N516" si="152">$G$20*SIN(L453*PI()/180)+$H$19</f>
        <v>12500</v>
      </c>
      <c r="P453" s="6">
        <v>450</v>
      </c>
      <c r="Q453" s="52">
        <f t="shared" si="145"/>
        <v>-20000</v>
      </c>
      <c r="R453" s="52">
        <f t="shared" si="146"/>
        <v>13500</v>
      </c>
      <c r="T453" s="6">
        <v>450</v>
      </c>
      <c r="U453" s="52">
        <f t="shared" ref="U453:U516" si="153">$G$40*COS(T453*PI()/180)+$G$39</f>
        <v>-4999.9999999999982</v>
      </c>
      <c r="V453" s="52">
        <f t="shared" ref="V453:V516" si="154">$G$40*SIN(T453*PI()/180)+$H$39</f>
        <v>-10000</v>
      </c>
      <c r="X453" s="6">
        <v>449</v>
      </c>
      <c r="Y453" s="55">
        <v>224.5</v>
      </c>
      <c r="Z453" s="52">
        <f t="shared" si="147"/>
        <v>89811.144878413004</v>
      </c>
      <c r="AA453" s="52">
        <f t="shared" si="148"/>
        <v>-18158.118442291339</v>
      </c>
      <c r="AB453" s="52">
        <f t="shared" si="149"/>
        <v>3281.6324369327003</v>
      </c>
      <c r="AC453" s="52">
        <f t="shared" si="150"/>
        <v>961.07144365551903</v>
      </c>
      <c r="AD453" s="52">
        <f t="shared" ref="AD453:AD516" si="155">AF453+AH453+AJ453</f>
        <v>-157.13900101079577</v>
      </c>
      <c r="AE453" s="52">
        <f t="shared" ref="AE453:AE516" si="156">AG453+AI453+AK453</f>
        <v>37.14260676997894</v>
      </c>
      <c r="AF453" s="52">
        <f t="shared" ref="AF453:AF516" si="157">(($G$19-Z453)/(AM453^2+$G$24^2)^(3/2))*$G$23</f>
        <v>-86.484231958255833</v>
      </c>
      <c r="AG453" s="52">
        <f t="shared" ref="AG453:AG516" si="158">(($H$19-AA453)/(AM453^2+$G$24^2)^(3/2))*$G$23</f>
        <v>31.786080443750063</v>
      </c>
      <c r="AH453" s="52">
        <f t="shared" ref="AH453:AH516" si="159">(($G$29-Z453)/(AN453^2+$G$34^2)^(3/2))*$G$33</f>
        <v>-13.459720903962866</v>
      </c>
      <c r="AI453" s="52">
        <f t="shared" ref="AI453:AI516" si="160">(($H$29-AA453)/(AN453^2+$G$34^2)^(3/2))*$G$33</f>
        <v>3.4513838812409658</v>
      </c>
      <c r="AJ453" s="52">
        <f t="shared" ref="AJ453:AJ516" si="161">(($G$39-Z453)/(AO453^2+$G$44^2)^(3/2))*$G$43</f>
        <v>-57.195048148577065</v>
      </c>
      <c r="AK453" s="52">
        <f t="shared" ref="AK453:AK516" si="162">(($H$39-AA453)/(AO453^2+$G$44^2)^(3/2))*$G$43</f>
        <v>1.9051424449879064</v>
      </c>
      <c r="AM453" s="52">
        <f t="shared" ref="AM453:AM516" si="163">SQRT(($G$19-Z453)^2+($H$19-AA453)^2)</f>
        <v>74376.97890633512</v>
      </c>
      <c r="AN453" s="57">
        <f t="shared" ref="AN453:AN516" si="164">SQRT(($G$29-Z453)^2+($H$29-AA453)^2)</f>
        <v>113363.87067191169</v>
      </c>
      <c r="AO453" s="57">
        <f t="shared" ref="AO453:AO516" si="165">SQRT(($G$39-Z453)^2+($H$39-AA453)^2)</f>
        <v>94863.728080077912</v>
      </c>
    </row>
    <row r="454" spans="12:41" x14ac:dyDescent="0.25">
      <c r="L454" s="6">
        <v>451</v>
      </c>
      <c r="M454" s="52">
        <f t="shared" si="151"/>
        <v>19912.73796781358</v>
      </c>
      <c r="N454" s="52">
        <f t="shared" si="152"/>
        <v>12499.238475781956</v>
      </c>
      <c r="P454" s="6">
        <v>451</v>
      </c>
      <c r="Q454" s="52">
        <f t="shared" ref="Q454:Q517" si="166">$G$30*COS(P454*PI()/180)+$G$29</f>
        <v>-20061.083422530493</v>
      </c>
      <c r="R454" s="52">
        <f t="shared" ref="R454:R517" si="167">$G$30*SIN(P454*PI()/180)+$H$29</f>
        <v>13499.46693304737</v>
      </c>
      <c r="T454" s="6">
        <v>451</v>
      </c>
      <c r="U454" s="52">
        <f t="shared" si="153"/>
        <v>-5087.2620321864197</v>
      </c>
      <c r="V454" s="52">
        <f t="shared" si="154"/>
        <v>-10000.761524218044</v>
      </c>
      <c r="X454" s="6">
        <v>450</v>
      </c>
      <c r="Y454" s="55">
        <v>225</v>
      </c>
      <c r="Z454" s="52">
        <f t="shared" ref="Z454:Z517" si="168">Z453+AB453*$G$4+((1/2)*AD453)*$G$4^2</f>
        <v>91432.318721753007</v>
      </c>
      <c r="AA454" s="52">
        <f t="shared" ref="AA454:AA517" si="169">AA453+AC453*$G$4+((1/2)*AE453)*$G$4^2</f>
        <v>-17672.939894617331</v>
      </c>
      <c r="AB454" s="52">
        <f t="shared" ref="AB454:AB517" si="170">AB453+AD453*$G$4</f>
        <v>3203.0629364273022</v>
      </c>
      <c r="AC454" s="52">
        <f t="shared" ref="AC454:AC517" si="171">AC453+AE453*$G$4</f>
        <v>979.64274704050854</v>
      </c>
      <c r="AD454" s="52">
        <f t="shared" si="155"/>
        <v>-152.38131125584357</v>
      </c>
      <c r="AE454" s="52">
        <f t="shared" si="156"/>
        <v>34.361164338844304</v>
      </c>
      <c r="AF454" s="52">
        <f t="shared" si="157"/>
        <v>-83.886523812949605</v>
      </c>
      <c r="AG454" s="52">
        <f t="shared" si="158"/>
        <v>29.56183503068489</v>
      </c>
      <c r="AH454" s="52">
        <f t="shared" si="159"/>
        <v>-13.148250595784329</v>
      </c>
      <c r="AI454" s="52">
        <f t="shared" si="160"/>
        <v>3.2652174219316312</v>
      </c>
      <c r="AJ454" s="52">
        <f t="shared" si="161"/>
        <v>-55.34653684710964</v>
      </c>
      <c r="AK454" s="52">
        <f t="shared" si="162"/>
        <v>1.5341118862277856</v>
      </c>
      <c r="AM454" s="52">
        <f t="shared" si="163"/>
        <v>75738.055565905059</v>
      </c>
      <c r="AN454" s="57">
        <f t="shared" si="164"/>
        <v>114817.04254211328</v>
      </c>
      <c r="AO454" s="57">
        <f t="shared" si="165"/>
        <v>96469.356283402201</v>
      </c>
    </row>
    <row r="455" spans="12:41" x14ac:dyDescent="0.25">
      <c r="L455" s="6">
        <v>452</v>
      </c>
      <c r="M455" s="52">
        <f t="shared" si="151"/>
        <v>19825.502516487497</v>
      </c>
      <c r="N455" s="52">
        <f t="shared" si="152"/>
        <v>12496.954135095479</v>
      </c>
      <c r="P455" s="6">
        <v>452</v>
      </c>
      <c r="Q455" s="52">
        <f t="shared" si="166"/>
        <v>-20122.148238458751</v>
      </c>
      <c r="R455" s="52">
        <f t="shared" si="167"/>
        <v>13497.867894566836</v>
      </c>
      <c r="T455" s="6">
        <v>452</v>
      </c>
      <c r="U455" s="52">
        <f t="shared" si="153"/>
        <v>-5174.4974835125013</v>
      </c>
      <c r="V455" s="52">
        <f t="shared" si="154"/>
        <v>-10003.045864904521</v>
      </c>
      <c r="X455" s="6">
        <v>451</v>
      </c>
      <c r="Y455" s="55">
        <v>225.5</v>
      </c>
      <c r="Z455" s="52">
        <f t="shared" si="168"/>
        <v>93014.802526059677</v>
      </c>
      <c r="AA455" s="52">
        <f t="shared" si="169"/>
        <v>-17178.823375554719</v>
      </c>
      <c r="AB455" s="52">
        <f t="shared" si="170"/>
        <v>3126.8722807993804</v>
      </c>
      <c r="AC455" s="52">
        <f t="shared" si="171"/>
        <v>996.82332920993065</v>
      </c>
      <c r="AD455" s="52">
        <f t="shared" si="155"/>
        <v>-147.91583393853421</v>
      </c>
      <c r="AE455" s="52">
        <f t="shared" si="156"/>
        <v>31.809400349676437</v>
      </c>
      <c r="AF455" s="52">
        <f t="shared" si="157"/>
        <v>-81.438908221301602</v>
      </c>
      <c r="AG455" s="52">
        <f t="shared" si="158"/>
        <v>27.526150347036694</v>
      </c>
      <c r="AH455" s="52">
        <f t="shared" si="159"/>
        <v>-12.853958804700973</v>
      </c>
      <c r="AI455" s="52">
        <f t="shared" si="160"/>
        <v>3.091236441784408</v>
      </c>
      <c r="AJ455" s="52">
        <f t="shared" si="161"/>
        <v>-53.622966912531652</v>
      </c>
      <c r="AK455" s="52">
        <f t="shared" si="162"/>
        <v>1.1920135608553384</v>
      </c>
      <c r="AM455" s="52">
        <f t="shared" si="163"/>
        <v>77072.730009526174</v>
      </c>
      <c r="AN455" s="57">
        <f t="shared" si="164"/>
        <v>116236.9735931036</v>
      </c>
      <c r="AO455" s="57">
        <f t="shared" si="165"/>
        <v>98039.016649109341</v>
      </c>
    </row>
    <row r="456" spans="12:41" x14ac:dyDescent="0.25">
      <c r="L456" s="6">
        <v>453</v>
      </c>
      <c r="M456" s="52">
        <f t="shared" si="151"/>
        <v>19738.32021878528</v>
      </c>
      <c r="N456" s="52">
        <f t="shared" si="152"/>
        <v>12493.14767377287</v>
      </c>
      <c r="P456" s="6">
        <v>453</v>
      </c>
      <c r="Q456" s="52">
        <f t="shared" si="166"/>
        <v>-20183.175846850303</v>
      </c>
      <c r="R456" s="52">
        <f t="shared" si="167"/>
        <v>13495.203371641008</v>
      </c>
      <c r="T456" s="6">
        <v>453</v>
      </c>
      <c r="U456" s="52">
        <f t="shared" si="153"/>
        <v>-5261.6797812147188</v>
      </c>
      <c r="V456" s="52">
        <f t="shared" si="154"/>
        <v>-10006.85232622713</v>
      </c>
      <c r="X456" s="6">
        <v>452</v>
      </c>
      <c r="Y456" s="55">
        <v>226</v>
      </c>
      <c r="Z456" s="52">
        <f t="shared" si="168"/>
        <v>94559.74918721705</v>
      </c>
      <c r="AA456" s="52">
        <f t="shared" si="169"/>
        <v>-16676.435535906043</v>
      </c>
      <c r="AB456" s="52">
        <f t="shared" si="170"/>
        <v>3052.9143638301134</v>
      </c>
      <c r="AC456" s="52">
        <f t="shared" si="171"/>
        <v>1012.7280293847689</v>
      </c>
      <c r="AD456" s="52">
        <f t="shared" si="155"/>
        <v>-143.71879978403621</v>
      </c>
      <c r="AE456" s="52">
        <f t="shared" si="156"/>
        <v>29.462725647167229</v>
      </c>
      <c r="AF456" s="52">
        <f t="shared" si="157"/>
        <v>-79.130623099866398</v>
      </c>
      <c r="AG456" s="52">
        <f t="shared" si="158"/>
        <v>25.658568183837048</v>
      </c>
      <c r="AH456" s="52">
        <f t="shared" si="159"/>
        <v>-12.575527826062324</v>
      </c>
      <c r="AI456" s="52">
        <f t="shared" si="160"/>
        <v>2.9283431550963721</v>
      </c>
      <c r="AJ456" s="52">
        <f t="shared" si="161"/>
        <v>-52.012648858107468</v>
      </c>
      <c r="AK456" s="52">
        <f t="shared" si="162"/>
        <v>0.87581430823381079</v>
      </c>
      <c r="AM456" s="52">
        <f t="shared" si="163"/>
        <v>78381.478897010704</v>
      </c>
      <c r="AN456" s="57">
        <f t="shared" si="164"/>
        <v>117624.69275938376</v>
      </c>
      <c r="AO456" s="57">
        <f t="shared" si="165"/>
        <v>99573.862505818339</v>
      </c>
    </row>
    <row r="457" spans="12:41" x14ac:dyDescent="0.25">
      <c r="L457" s="6">
        <v>454</v>
      </c>
      <c r="M457" s="52">
        <f t="shared" si="151"/>
        <v>19651.217631279378</v>
      </c>
      <c r="N457" s="52">
        <f t="shared" si="152"/>
        <v>12487.820251299123</v>
      </c>
      <c r="P457" s="6">
        <v>454</v>
      </c>
      <c r="Q457" s="52">
        <f t="shared" si="166"/>
        <v>-20244.147658104434</v>
      </c>
      <c r="R457" s="52">
        <f t="shared" si="167"/>
        <v>13491.474175909385</v>
      </c>
      <c r="T457" s="6">
        <v>454</v>
      </c>
      <c r="U457" s="52">
        <f t="shared" si="153"/>
        <v>-5348.782368720621</v>
      </c>
      <c r="V457" s="52">
        <f t="shared" si="154"/>
        <v>-10012.179748700877</v>
      </c>
      <c r="X457" s="6">
        <v>453</v>
      </c>
      <c r="Y457" s="55">
        <v>226.5</v>
      </c>
      <c r="Z457" s="52">
        <f t="shared" si="168"/>
        <v>96068.241519159099</v>
      </c>
      <c r="AA457" s="52">
        <f t="shared" si="169"/>
        <v>-16166.388680507762</v>
      </c>
      <c r="AB457" s="52">
        <f t="shared" si="170"/>
        <v>2981.0549639380952</v>
      </c>
      <c r="AC457" s="52">
        <f t="shared" si="171"/>
        <v>1027.4593922083525</v>
      </c>
      <c r="AD457" s="52">
        <f t="shared" si="155"/>
        <v>-139.7688146208036</v>
      </c>
      <c r="AE457" s="52">
        <f t="shared" si="156"/>
        <v>27.299690846859182</v>
      </c>
      <c r="AF457" s="52">
        <f t="shared" si="157"/>
        <v>-76.95175206240647</v>
      </c>
      <c r="AG457" s="52">
        <f t="shared" si="158"/>
        <v>23.9412669148699</v>
      </c>
      <c r="AH457" s="52">
        <f t="shared" si="159"/>
        <v>-12.311773007647721</v>
      </c>
      <c r="AI457" s="52">
        <f t="shared" si="160"/>
        <v>2.7755623213359106</v>
      </c>
      <c r="AJ457" s="52">
        <f t="shared" si="161"/>
        <v>-50.505289550749417</v>
      </c>
      <c r="AK457" s="52">
        <f t="shared" si="162"/>
        <v>0.58286161065337183</v>
      </c>
      <c r="AM457" s="52">
        <f t="shared" si="163"/>
        <v>79664.768379717178</v>
      </c>
      <c r="AN457" s="57">
        <f t="shared" si="164"/>
        <v>118981.16063448554</v>
      </c>
      <c r="AO457" s="57">
        <f t="shared" si="165"/>
        <v>101074.97171075089</v>
      </c>
    </row>
    <row r="458" spans="12:41" x14ac:dyDescent="0.25">
      <c r="L458" s="6">
        <v>455</v>
      </c>
      <c r="M458" s="52">
        <f t="shared" si="151"/>
        <v>19564.221286261713</v>
      </c>
      <c r="N458" s="52">
        <f t="shared" si="152"/>
        <v>12480.973490458728</v>
      </c>
      <c r="P458" s="6">
        <v>455</v>
      </c>
      <c r="Q458" s="52">
        <f t="shared" si="166"/>
        <v>-20305.045099616804</v>
      </c>
      <c r="R458" s="52">
        <f t="shared" si="167"/>
        <v>13486.681443321109</v>
      </c>
      <c r="T458" s="6">
        <v>455</v>
      </c>
      <c r="U458" s="52">
        <f t="shared" si="153"/>
        <v>-5435.7787137382893</v>
      </c>
      <c r="V458" s="52">
        <f t="shared" si="154"/>
        <v>-10019.026509541272</v>
      </c>
      <c r="X458" s="6">
        <v>454</v>
      </c>
      <c r="Y458" s="55">
        <v>227</v>
      </c>
      <c r="Z458" s="52">
        <f t="shared" si="168"/>
        <v>97541.297899300553</v>
      </c>
      <c r="AA458" s="52">
        <f t="shared" si="169"/>
        <v>-15649.246523047728</v>
      </c>
      <c r="AB458" s="52">
        <f t="shared" si="170"/>
        <v>2911.1705566276933</v>
      </c>
      <c r="AC458" s="52">
        <f t="shared" si="171"/>
        <v>1041.109237631782</v>
      </c>
      <c r="AD458" s="52">
        <f t="shared" si="155"/>
        <v>-136.04658800291509</v>
      </c>
      <c r="AE458" s="52">
        <f t="shared" si="156"/>
        <v>25.301524626557011</v>
      </c>
      <c r="AF458" s="52">
        <f t="shared" si="157"/>
        <v>-74.893169584218995</v>
      </c>
      <c r="AG458" s="52">
        <f t="shared" si="158"/>
        <v>22.358671992426686</v>
      </c>
      <c r="AH458" s="52">
        <f t="shared" si="159"/>
        <v>-12.061626337152189</v>
      </c>
      <c r="AI458" s="52">
        <f t="shared" si="160"/>
        <v>2.6320249386351442</v>
      </c>
      <c r="AJ458" s="52">
        <f t="shared" si="161"/>
        <v>-49.091792081543907</v>
      </c>
      <c r="AK458" s="52">
        <f t="shared" si="162"/>
        <v>0.31082769549518041</v>
      </c>
      <c r="AM458" s="52">
        <f t="shared" si="163"/>
        <v>80923.052923705924</v>
      </c>
      <c r="AN458" s="57">
        <f t="shared" si="164"/>
        <v>120307.27558652549</v>
      </c>
      <c r="AO458" s="57">
        <f t="shared" si="165"/>
        <v>102543.35325081187</v>
      </c>
    </row>
    <row r="459" spans="12:41" x14ac:dyDescent="0.25">
      <c r="L459" s="6">
        <v>456</v>
      </c>
      <c r="M459" s="52">
        <f t="shared" si="151"/>
        <v>19477.357683661736</v>
      </c>
      <c r="N459" s="52">
        <f t="shared" si="152"/>
        <v>12472.609476841368</v>
      </c>
      <c r="P459" s="6">
        <v>456</v>
      </c>
      <c r="Q459" s="52">
        <f t="shared" si="166"/>
        <v>-20365.849621436784</v>
      </c>
      <c r="R459" s="52">
        <f t="shared" si="167"/>
        <v>13480.826633788956</v>
      </c>
      <c r="T459" s="6">
        <v>456</v>
      </c>
      <c r="U459" s="52">
        <f t="shared" si="153"/>
        <v>-5522.6423163382642</v>
      </c>
      <c r="V459" s="52">
        <f t="shared" si="154"/>
        <v>-10027.390523158632</v>
      </c>
      <c r="X459" s="6">
        <v>455</v>
      </c>
      <c r="Y459" s="55">
        <v>227.5</v>
      </c>
      <c r="Z459" s="52">
        <f t="shared" si="168"/>
        <v>98979.877354114025</v>
      </c>
      <c r="AA459" s="52">
        <f t="shared" si="169"/>
        <v>-15125.529213653517</v>
      </c>
      <c r="AB459" s="52">
        <f t="shared" si="170"/>
        <v>2843.1472626262357</v>
      </c>
      <c r="AC459" s="52">
        <f t="shared" si="171"/>
        <v>1053.7599999450604</v>
      </c>
      <c r="AD459" s="52">
        <f t="shared" si="155"/>
        <v>-132.53469547704336</v>
      </c>
      <c r="AE459" s="52">
        <f t="shared" si="156"/>
        <v>23.451747991385012</v>
      </c>
      <c r="AF459" s="52">
        <f t="shared" si="157"/>
        <v>-72.946484248425364</v>
      </c>
      <c r="AG459" s="52">
        <f t="shared" si="158"/>
        <v>20.897130581706239</v>
      </c>
      <c r="AH459" s="52">
        <f t="shared" si="159"/>
        <v>-11.824122409888991</v>
      </c>
      <c r="AI459" s="52">
        <f t="shared" si="160"/>
        <v>2.4969544400459793</v>
      </c>
      <c r="AJ459" s="52">
        <f t="shared" si="161"/>
        <v>-47.764088818729014</v>
      </c>
      <c r="AK459" s="52">
        <f t="shared" si="162"/>
        <v>5.7662969632792896E-2</v>
      </c>
      <c r="AM459" s="52">
        <f t="shared" si="163"/>
        <v>82156.774517192316</v>
      </c>
      <c r="AN459" s="57">
        <f t="shared" si="164"/>
        <v>121603.87918757433</v>
      </c>
      <c r="AO459" s="57">
        <f t="shared" si="165"/>
        <v>103979.95312636025</v>
      </c>
    </row>
    <row r="460" spans="12:41" x14ac:dyDescent="0.25">
      <c r="L460" s="6">
        <v>457</v>
      </c>
      <c r="M460" s="52">
        <f t="shared" si="151"/>
        <v>19390.653282974261</v>
      </c>
      <c r="N460" s="52">
        <f t="shared" si="152"/>
        <v>12462.73075820661</v>
      </c>
      <c r="P460" s="6">
        <v>457</v>
      </c>
      <c r="Q460" s="52">
        <f t="shared" si="166"/>
        <v>-20426.542701918017</v>
      </c>
      <c r="R460" s="52">
        <f t="shared" si="167"/>
        <v>13473.911530744626</v>
      </c>
      <c r="T460" s="6">
        <v>457</v>
      </c>
      <c r="U460" s="52">
        <f t="shared" si="153"/>
        <v>-5609.3467170257381</v>
      </c>
      <c r="V460" s="52">
        <f t="shared" si="154"/>
        <v>-10037.26924179339</v>
      </c>
      <c r="X460" s="6">
        <v>456</v>
      </c>
      <c r="Y460" s="55">
        <v>228</v>
      </c>
      <c r="Z460" s="52">
        <f t="shared" si="168"/>
        <v>100384.88414849252</v>
      </c>
      <c r="AA460" s="52">
        <f t="shared" si="169"/>
        <v>-14595.717745182063</v>
      </c>
      <c r="AB460" s="52">
        <f t="shared" si="170"/>
        <v>2776.8799148877142</v>
      </c>
      <c r="AC460" s="52">
        <f t="shared" si="171"/>
        <v>1065.485873940753</v>
      </c>
      <c r="AD460" s="52">
        <f t="shared" si="155"/>
        <v>-129.21737024425994</v>
      </c>
      <c r="AE460" s="52">
        <f t="shared" si="156"/>
        <v>21.735850815035121</v>
      </c>
      <c r="AF460" s="52">
        <f t="shared" si="157"/>
        <v>-71.103982421857722</v>
      </c>
      <c r="AG460" s="52">
        <f t="shared" si="158"/>
        <v>19.544638806090987</v>
      </c>
      <c r="AH460" s="52">
        <f t="shared" si="159"/>
        <v>-11.598386382515709</v>
      </c>
      <c r="AI460" s="52">
        <f t="shared" si="160"/>
        <v>2.3696549594386247</v>
      </c>
      <c r="AJ460" s="52">
        <f t="shared" si="161"/>
        <v>-46.515001439886511</v>
      </c>
      <c r="AK460" s="52">
        <f t="shared" si="162"/>
        <v>-0.17844295049448913</v>
      </c>
      <c r="AM460" s="52">
        <f t="shared" si="163"/>
        <v>83366.362174688402</v>
      </c>
      <c r="AN460" s="57">
        <f t="shared" si="164"/>
        <v>122871.7610472261</v>
      </c>
      <c r="AO460" s="57">
        <f t="shared" si="165"/>
        <v>105385.659608567</v>
      </c>
    </row>
    <row r="461" spans="12:41" x14ac:dyDescent="0.25">
      <c r="L461" s="6">
        <v>458</v>
      </c>
      <c r="M461" s="52">
        <f t="shared" si="151"/>
        <v>19304.134495199676</v>
      </c>
      <c r="N461" s="52">
        <f t="shared" si="152"/>
        <v>12451.340343707852</v>
      </c>
      <c r="P461" s="6">
        <v>458</v>
      </c>
      <c r="Q461" s="52">
        <f t="shared" si="166"/>
        <v>-20487.105853360226</v>
      </c>
      <c r="R461" s="52">
        <f t="shared" si="167"/>
        <v>13465.938240595497</v>
      </c>
      <c r="T461" s="6">
        <v>458</v>
      </c>
      <c r="U461" s="52">
        <f t="shared" si="153"/>
        <v>-5695.865504800322</v>
      </c>
      <c r="V461" s="52">
        <f t="shared" si="154"/>
        <v>-10048.659656292148</v>
      </c>
      <c r="X461" s="6">
        <v>457</v>
      </c>
      <c r="Y461" s="55">
        <v>228.5</v>
      </c>
      <c r="Z461" s="52">
        <f t="shared" si="168"/>
        <v>101757.17193465585</v>
      </c>
      <c r="AA461" s="52">
        <f t="shared" si="169"/>
        <v>-14060.257826859806</v>
      </c>
      <c r="AB461" s="52">
        <f t="shared" si="170"/>
        <v>2712.2712297655844</v>
      </c>
      <c r="AC461" s="52">
        <f t="shared" si="171"/>
        <v>1076.3537993482705</v>
      </c>
      <c r="AD461" s="52">
        <f t="shared" si="155"/>
        <v>-126.08032045135553</v>
      </c>
      <c r="AE461" s="52">
        <f t="shared" si="156"/>
        <v>20.141019619557575</v>
      </c>
      <c r="AF461" s="52">
        <f t="shared" si="157"/>
        <v>-69.358573836326357</v>
      </c>
      <c r="AG461" s="52">
        <f t="shared" si="158"/>
        <v>18.290612297715896</v>
      </c>
      <c r="AH461" s="52">
        <f t="shared" si="159"/>
        <v>-11.383623591595283</v>
      </c>
      <c r="AI461" s="52">
        <f t="shared" si="160"/>
        <v>2.2495013169712754</v>
      </c>
      <c r="AJ461" s="52">
        <f t="shared" si="161"/>
        <v>-45.338123023433887</v>
      </c>
      <c r="AK461" s="52">
        <f t="shared" si="162"/>
        <v>-0.39909399512959803</v>
      </c>
      <c r="AM461" s="52">
        <f t="shared" si="163"/>
        <v>84552.231669622706</v>
      </c>
      <c r="AN461" s="57">
        <f t="shared" si="164"/>
        <v>124111.66312728355</v>
      </c>
      <c r="AO461" s="57">
        <f t="shared" si="165"/>
        <v>106761.30794832765</v>
      </c>
    </row>
    <row r="462" spans="12:41" x14ac:dyDescent="0.25">
      <c r="L462" s="6">
        <v>459</v>
      </c>
      <c r="M462" s="52">
        <f t="shared" si="151"/>
        <v>19217.827674798853</v>
      </c>
      <c r="N462" s="52">
        <f t="shared" si="152"/>
        <v>12438.44170297569</v>
      </c>
      <c r="P462" s="6">
        <v>459</v>
      </c>
      <c r="Q462" s="52">
        <f t="shared" si="166"/>
        <v>-20547.520627640803</v>
      </c>
      <c r="R462" s="52">
        <f t="shared" si="167"/>
        <v>13456.909192082981</v>
      </c>
      <c r="T462" s="6">
        <v>459</v>
      </c>
      <c r="U462" s="52">
        <f t="shared" si="153"/>
        <v>-5782.1723252011489</v>
      </c>
      <c r="V462" s="52">
        <f t="shared" si="154"/>
        <v>-10061.55829702431</v>
      </c>
      <c r="X462" s="6">
        <v>458</v>
      </c>
      <c r="Y462" s="55">
        <v>229</v>
      </c>
      <c r="Z462" s="52">
        <f t="shared" si="168"/>
        <v>103097.54750948222</v>
      </c>
      <c r="AA462" s="52">
        <f t="shared" si="169"/>
        <v>-13519.563299733225</v>
      </c>
      <c r="AB462" s="52">
        <f t="shared" si="170"/>
        <v>2649.2310695399065</v>
      </c>
      <c r="AC462" s="52">
        <f t="shared" si="171"/>
        <v>1086.4243091580493</v>
      </c>
      <c r="AD462" s="52">
        <f t="shared" si="155"/>
        <v>-123.11056880272393</v>
      </c>
      <c r="AE462" s="52">
        <f t="shared" si="156"/>
        <v>18.65590766779405</v>
      </c>
      <c r="AF462" s="52">
        <f t="shared" si="157"/>
        <v>-67.703739955636152</v>
      </c>
      <c r="AG462" s="52">
        <f t="shared" si="158"/>
        <v>17.125692517745872</v>
      </c>
      <c r="AH462" s="52">
        <f t="shared" si="159"/>
        <v>-11.179110573929233</v>
      </c>
      <c r="AI462" s="52">
        <f t="shared" si="160"/>
        <v>2.1359304397026455</v>
      </c>
      <c r="AJ462" s="52">
        <f t="shared" si="161"/>
        <v>-44.227718273158544</v>
      </c>
      <c r="AK462" s="52">
        <f t="shared" si="162"/>
        <v>-0.60571528965446564</v>
      </c>
      <c r="AM462" s="52">
        <f t="shared" si="163"/>
        <v>85714.785442198627</v>
      </c>
      <c r="AN462" s="57">
        <f t="shared" si="164"/>
        <v>125324.2836032163</v>
      </c>
      <c r="AO462" s="57">
        <f t="shared" si="165"/>
        <v>108107.68460377025</v>
      </c>
    </row>
    <row r="463" spans="12:41" x14ac:dyDescent="0.25">
      <c r="L463" s="6">
        <v>460</v>
      </c>
      <c r="M463" s="52">
        <f t="shared" si="151"/>
        <v>19131.759111665349</v>
      </c>
      <c r="N463" s="52">
        <f t="shared" si="152"/>
        <v>12424.038765061041</v>
      </c>
      <c r="P463" s="6">
        <v>460</v>
      </c>
      <c r="Q463" s="52">
        <f t="shared" si="166"/>
        <v>-20607.768621834253</v>
      </c>
      <c r="R463" s="52">
        <f t="shared" si="167"/>
        <v>13446.827135542728</v>
      </c>
      <c r="T463" s="6">
        <v>460</v>
      </c>
      <c r="U463" s="52">
        <f t="shared" si="153"/>
        <v>-5868.2408883346488</v>
      </c>
      <c r="V463" s="52">
        <f t="shared" si="154"/>
        <v>-10075.961234938959</v>
      </c>
      <c r="X463" s="6">
        <v>459</v>
      </c>
      <c r="Y463" s="55">
        <v>229.5</v>
      </c>
      <c r="Z463" s="52">
        <f t="shared" si="168"/>
        <v>104406.77422315184</v>
      </c>
      <c r="AA463" s="52">
        <f t="shared" si="169"/>
        <v>-12974.019156695726</v>
      </c>
      <c r="AB463" s="52">
        <f t="shared" si="170"/>
        <v>2587.6757851385446</v>
      </c>
      <c r="AC463" s="52">
        <f t="shared" si="171"/>
        <v>1095.7522629919463</v>
      </c>
      <c r="AD463" s="52">
        <f t="shared" si="155"/>
        <v>-120.29631160137737</v>
      </c>
      <c r="AE463" s="52">
        <f t="shared" si="156"/>
        <v>17.270440124377984</v>
      </c>
      <c r="AF463" s="52">
        <f t="shared" si="157"/>
        <v>-66.133485605157006</v>
      </c>
      <c r="AG463" s="52">
        <f t="shared" si="158"/>
        <v>16.041582724146487</v>
      </c>
      <c r="AH463" s="52">
        <f t="shared" si="159"/>
        <v>-10.984187272146233</v>
      </c>
      <c r="AI463" s="52">
        <f t="shared" si="160"/>
        <v>2.0284339851009414</v>
      </c>
      <c r="AJ463" s="52">
        <f t="shared" si="161"/>
        <v>-43.178638724074126</v>
      </c>
      <c r="AK463" s="52">
        <f t="shared" si="162"/>
        <v>-0.79957658486944616</v>
      </c>
      <c r="AM463" s="52">
        <f t="shared" si="163"/>
        <v>86854.412640849012</v>
      </c>
      <c r="AN463" s="57">
        <f t="shared" si="164"/>
        <v>126510.2803286061</v>
      </c>
      <c r="AO463" s="57">
        <f t="shared" si="165"/>
        <v>109425.53104414507</v>
      </c>
    </row>
    <row r="464" spans="12:41" x14ac:dyDescent="0.25">
      <c r="L464" s="6">
        <v>461</v>
      </c>
      <c r="M464" s="52">
        <f t="shared" si="151"/>
        <v>19045.955023117276</v>
      </c>
      <c r="N464" s="52">
        <f t="shared" si="152"/>
        <v>12408.13591723832</v>
      </c>
      <c r="P464" s="6">
        <v>461</v>
      </c>
      <c r="Q464" s="52">
        <f t="shared" si="166"/>
        <v>-20667.831483817907</v>
      </c>
      <c r="R464" s="52">
        <f t="shared" si="167"/>
        <v>13435.695142066823</v>
      </c>
      <c r="T464" s="6">
        <v>461</v>
      </c>
      <c r="U464" s="52">
        <f t="shared" si="153"/>
        <v>-5954.0449768827248</v>
      </c>
      <c r="V464" s="52">
        <f t="shared" si="154"/>
        <v>-10091.86408276168</v>
      </c>
      <c r="X464" s="6">
        <v>460</v>
      </c>
      <c r="Y464" s="55">
        <v>230</v>
      </c>
      <c r="Z464" s="52">
        <f t="shared" si="168"/>
        <v>105685.57507677093</v>
      </c>
      <c r="AA464" s="52">
        <f t="shared" si="169"/>
        <v>-12423.984220184204</v>
      </c>
      <c r="AB464" s="52">
        <f t="shared" si="170"/>
        <v>2527.5276293378561</v>
      </c>
      <c r="AC464" s="52">
        <f t="shared" si="171"/>
        <v>1104.3874830541354</v>
      </c>
      <c r="AD464" s="52">
        <f t="shared" si="155"/>
        <v>-117.62679470237524</v>
      </c>
      <c r="AE464" s="52">
        <f t="shared" si="156"/>
        <v>15.975648385038653</v>
      </c>
      <c r="AF464" s="52">
        <f t="shared" si="157"/>
        <v>-64.642294070404773</v>
      </c>
      <c r="AG464" s="52">
        <f t="shared" si="158"/>
        <v>15.030908596473967</v>
      </c>
      <c r="AH464" s="52">
        <f t="shared" si="159"/>
        <v>-10.798250246497423</v>
      </c>
      <c r="AI464" s="52">
        <f t="shared" si="160"/>
        <v>1.9265519769086885</v>
      </c>
      <c r="AJ464" s="52">
        <f t="shared" si="161"/>
        <v>-42.186250385473045</v>
      </c>
      <c r="AK464" s="52">
        <f t="shared" si="162"/>
        <v>-0.98181218834400186</v>
      </c>
      <c r="AM464" s="52">
        <f t="shared" si="163"/>
        <v>87971.489264665157</v>
      </c>
      <c r="AN464" s="57">
        <f t="shared" si="164"/>
        <v>127670.27395085235</v>
      </c>
      <c r="AO464" s="57">
        <f t="shared" si="165"/>
        <v>110715.54718002956</v>
      </c>
    </row>
    <row r="465" spans="12:41" x14ac:dyDescent="0.25">
      <c r="L465" s="6">
        <v>462</v>
      </c>
      <c r="M465" s="52">
        <f t="shared" si="151"/>
        <v>18960.441545911199</v>
      </c>
      <c r="N465" s="52">
        <f t="shared" si="152"/>
        <v>12390.738003669027</v>
      </c>
      <c r="P465" s="6">
        <v>462</v>
      </c>
      <c r="Q465" s="52">
        <f t="shared" si="166"/>
        <v>-20727.690917862161</v>
      </c>
      <c r="R465" s="52">
        <f t="shared" si="167"/>
        <v>13423.516602568319</v>
      </c>
      <c r="T465" s="6">
        <v>462</v>
      </c>
      <c r="U465" s="52">
        <f t="shared" si="153"/>
        <v>-6039.5584540888012</v>
      </c>
      <c r="V465" s="52">
        <f t="shared" si="154"/>
        <v>-10109.261996330973</v>
      </c>
      <c r="X465" s="6">
        <v>461</v>
      </c>
      <c r="Y465" s="55">
        <v>230.5</v>
      </c>
      <c r="Z465" s="52">
        <f t="shared" si="168"/>
        <v>106934.63554210206</v>
      </c>
      <c r="AA465" s="52">
        <f t="shared" si="169"/>
        <v>-11869.793522609007</v>
      </c>
      <c r="AB465" s="52">
        <f t="shared" si="170"/>
        <v>2468.7142319866684</v>
      </c>
      <c r="AC465" s="52">
        <f t="shared" si="171"/>
        <v>1112.3753072466548</v>
      </c>
      <c r="AD465" s="52">
        <f t="shared" si="155"/>
        <v>-115.09220419375258</v>
      </c>
      <c r="AE465" s="52">
        <f t="shared" si="156"/>
        <v>14.763528751285465</v>
      </c>
      <c r="AF465" s="52">
        <f t="shared" si="157"/>
        <v>-63.225085693057046</v>
      </c>
      <c r="AG465" s="52">
        <f t="shared" si="158"/>
        <v>14.087099436112316</v>
      </c>
      <c r="AH465" s="52">
        <f t="shared" si="159"/>
        <v>-10.620746744133644</v>
      </c>
      <c r="AI465" s="52">
        <f t="shared" si="160"/>
        <v>1.8298672963305078</v>
      </c>
      <c r="AJ465" s="52">
        <f t="shared" si="161"/>
        <v>-41.246371756561885</v>
      </c>
      <c r="AK465" s="52">
        <f t="shared" si="162"/>
        <v>-1.1534379811573587</v>
      </c>
      <c r="AM465" s="52">
        <f t="shared" si="163"/>
        <v>89066.378381219809</v>
      </c>
      <c r="AN465" s="57">
        <f t="shared" si="164"/>
        <v>128804.85071971407</v>
      </c>
      <c r="AO465" s="57">
        <f t="shared" si="165"/>
        <v>111978.39446310309</v>
      </c>
    </row>
    <row r="466" spans="12:41" x14ac:dyDescent="0.25">
      <c r="L466" s="6">
        <v>463</v>
      </c>
      <c r="M466" s="52">
        <f t="shared" si="151"/>
        <v>18875.244728280675</v>
      </c>
      <c r="N466" s="52">
        <f t="shared" si="152"/>
        <v>12371.850323926177</v>
      </c>
      <c r="P466" s="6">
        <v>463</v>
      </c>
      <c r="Q466" s="52">
        <f t="shared" si="166"/>
        <v>-20787.328690203525</v>
      </c>
      <c r="R466" s="52">
        <f t="shared" si="167"/>
        <v>13410.295226748323</v>
      </c>
      <c r="T466" s="6">
        <v>463</v>
      </c>
      <c r="U466" s="52">
        <f t="shared" si="153"/>
        <v>-6124.7552717193239</v>
      </c>
      <c r="V466" s="52">
        <f t="shared" si="154"/>
        <v>-10128.149676073823</v>
      </c>
      <c r="X466" s="6">
        <v>462</v>
      </c>
      <c r="Y466" s="55">
        <v>231</v>
      </c>
      <c r="Z466" s="52">
        <f t="shared" si="168"/>
        <v>108154.60613257118</v>
      </c>
      <c r="AA466" s="52">
        <f t="shared" si="169"/>
        <v>-11311.76042789177</v>
      </c>
      <c r="AB466" s="52">
        <f t="shared" si="170"/>
        <v>2411.168129889792</v>
      </c>
      <c r="AC466" s="52">
        <f t="shared" si="171"/>
        <v>1119.7570716222974</v>
      </c>
      <c r="AD466" s="52">
        <f t="shared" si="155"/>
        <v>-112.68356991130341</v>
      </c>
      <c r="AE466" s="52">
        <f t="shared" si="156"/>
        <v>13.626921494245241</v>
      </c>
      <c r="AF466" s="52">
        <f t="shared" si="157"/>
        <v>-61.877179878774612</v>
      </c>
      <c r="AG466" s="52">
        <f t="shared" si="158"/>
        <v>13.204286592609414</v>
      </c>
      <c r="AH466" s="52">
        <f t="shared" si="159"/>
        <v>-10.451169501795235</v>
      </c>
      <c r="AI466" s="52">
        <f t="shared" si="160"/>
        <v>1.7380008985641939</v>
      </c>
      <c r="AJ466" s="52">
        <f t="shared" si="161"/>
        <v>-40.355220530733554</v>
      </c>
      <c r="AK466" s="52">
        <f t="shared" si="162"/>
        <v>-1.3153659969283651</v>
      </c>
      <c r="AM466" s="52">
        <f t="shared" si="163"/>
        <v>90139.430399715478</v>
      </c>
      <c r="AN466" s="57">
        <f t="shared" si="164"/>
        <v>129914.56502459724</v>
      </c>
      <c r="AO466" s="57">
        <f t="shared" si="165"/>
        <v>113214.69869305214</v>
      </c>
    </row>
    <row r="467" spans="12:41" x14ac:dyDescent="0.25">
      <c r="L467" s="6">
        <v>464</v>
      </c>
      <c r="M467" s="52">
        <f t="shared" si="151"/>
        <v>18790.39052200166</v>
      </c>
      <c r="N467" s="52">
        <f t="shared" si="152"/>
        <v>12351.478631379981</v>
      </c>
      <c r="P467" s="6">
        <v>464</v>
      </c>
      <c r="Q467" s="52">
        <f t="shared" si="166"/>
        <v>-20846.726634598839</v>
      </c>
      <c r="R467" s="52">
        <f t="shared" si="167"/>
        <v>13396.035041965988</v>
      </c>
      <c r="T467" s="6">
        <v>464</v>
      </c>
      <c r="U467" s="52">
        <f t="shared" si="153"/>
        <v>-6209.6094779983414</v>
      </c>
      <c r="V467" s="52">
        <f t="shared" si="154"/>
        <v>-10148.521368620019</v>
      </c>
      <c r="X467" s="6">
        <v>463</v>
      </c>
      <c r="Y467" s="55">
        <v>231.5</v>
      </c>
      <c r="Z467" s="52">
        <f t="shared" si="168"/>
        <v>109346.10475127716</v>
      </c>
      <c r="AA467" s="52">
        <f t="shared" si="169"/>
        <v>-10750.17852689384</v>
      </c>
      <c r="AB467" s="52">
        <f t="shared" si="170"/>
        <v>2354.8263449341403</v>
      </c>
      <c r="AC467" s="52">
        <f t="shared" si="171"/>
        <v>1126.5705323694201</v>
      </c>
      <c r="AD467" s="52">
        <f t="shared" si="155"/>
        <v>-110.39268014740389</v>
      </c>
      <c r="AE467" s="52">
        <f t="shared" si="156"/>
        <v>12.559407051047398</v>
      </c>
      <c r="AF467" s="52">
        <f t="shared" si="157"/>
        <v>-60.594260361098236</v>
      </c>
      <c r="AG467" s="52">
        <f t="shared" si="158"/>
        <v>12.37721635849292</v>
      </c>
      <c r="AH467" s="52">
        <f t="shared" si="159"/>
        <v>-10.289052177990841</v>
      </c>
      <c r="AI467" s="52">
        <f t="shared" si="160"/>
        <v>1.6506076466421595</v>
      </c>
      <c r="AJ467" s="52">
        <f t="shared" si="161"/>
        <v>-39.509367608314825</v>
      </c>
      <c r="AK467" s="52">
        <f t="shared" si="162"/>
        <v>-1.468416954087681</v>
      </c>
      <c r="AM467" s="52">
        <f t="shared" si="163"/>
        <v>91190.983383718863</v>
      </c>
      <c r="AN467" s="57">
        <f t="shared" si="164"/>
        <v>130999.94169169058</v>
      </c>
      <c r="AO467" s="57">
        <f t="shared" si="165"/>
        <v>114425.05256430221</v>
      </c>
    </row>
    <row r="468" spans="12:41" x14ac:dyDescent="0.25">
      <c r="L468" s="6">
        <v>465</v>
      </c>
      <c r="M468" s="52">
        <f t="shared" si="151"/>
        <v>18705.904774487401</v>
      </c>
      <c r="N468" s="52">
        <f t="shared" si="152"/>
        <v>12329.629131445341</v>
      </c>
      <c r="P468" s="6">
        <v>465</v>
      </c>
      <c r="Q468" s="52">
        <f t="shared" si="166"/>
        <v>-20905.86665785882</v>
      </c>
      <c r="R468" s="52">
        <f t="shared" si="167"/>
        <v>13380.740392011739</v>
      </c>
      <c r="T468" s="6">
        <v>465</v>
      </c>
      <c r="U468" s="52">
        <f t="shared" si="153"/>
        <v>-6294.0952255126012</v>
      </c>
      <c r="V468" s="52">
        <f t="shared" si="154"/>
        <v>-10170.370868554659</v>
      </c>
      <c r="X468" s="6">
        <v>464</v>
      </c>
      <c r="Y468" s="55">
        <v>232</v>
      </c>
      <c r="Z468" s="52">
        <f t="shared" si="168"/>
        <v>110509.71883872581</v>
      </c>
      <c r="AA468" s="52">
        <f t="shared" si="169"/>
        <v>-10185.32333482775</v>
      </c>
      <c r="AB468" s="52">
        <f t="shared" si="170"/>
        <v>2299.6300048604385</v>
      </c>
      <c r="AC468" s="52">
        <f t="shared" si="171"/>
        <v>1132.8502358949438</v>
      </c>
      <c r="AD468" s="52">
        <f t="shared" si="155"/>
        <v>-108.21200613443548</v>
      </c>
      <c r="AE468" s="52">
        <f t="shared" si="156"/>
        <v>11.555216663873281</v>
      </c>
      <c r="AF468" s="52">
        <f t="shared" si="157"/>
        <v>-59.372343525727707</v>
      </c>
      <c r="AG468" s="52">
        <f t="shared" si="158"/>
        <v>11.601175054691437</v>
      </c>
      <c r="AH468" s="52">
        <f t="shared" si="159"/>
        <v>-10.133965327274732</v>
      </c>
      <c r="AI468" s="52">
        <f t="shared" si="160"/>
        <v>1.5673726724348456</v>
      </c>
      <c r="AJ468" s="52">
        <f t="shared" si="161"/>
        <v>-38.705697281433046</v>
      </c>
      <c r="AK468" s="52">
        <f t="shared" si="162"/>
        <v>-1.6133310632530007</v>
      </c>
      <c r="AM468" s="52">
        <f t="shared" si="163"/>
        <v>92221.363391150313</v>
      </c>
      <c r="AN468" s="57">
        <f t="shared" si="164"/>
        <v>132061.47806796199</v>
      </c>
      <c r="AO468" s="57">
        <f t="shared" si="165"/>
        <v>115610.01798110595</v>
      </c>
    </row>
    <row r="469" spans="12:41" x14ac:dyDescent="0.25">
      <c r="L469" s="6">
        <v>466</v>
      </c>
      <c r="M469" s="52">
        <f t="shared" si="151"/>
        <v>18621.813220915003</v>
      </c>
      <c r="N469" s="52">
        <f t="shared" si="152"/>
        <v>12306.308479691594</v>
      </c>
      <c r="P469" s="6">
        <v>466</v>
      </c>
      <c r="Q469" s="52">
        <f t="shared" si="166"/>
        <v>-20964.730745359499</v>
      </c>
      <c r="R469" s="52">
        <f t="shared" si="167"/>
        <v>13364.415935784116</v>
      </c>
      <c r="T469" s="6">
        <v>466</v>
      </c>
      <c r="U469" s="52">
        <f t="shared" si="153"/>
        <v>-6378.1867790849965</v>
      </c>
      <c r="V469" s="52">
        <f t="shared" si="154"/>
        <v>-10193.691520308406</v>
      </c>
      <c r="X469" s="6">
        <v>465</v>
      </c>
      <c r="Y469" s="55">
        <v>232.5</v>
      </c>
      <c r="Z469" s="52">
        <f t="shared" si="168"/>
        <v>111646.00734038922</v>
      </c>
      <c r="AA469" s="52">
        <f t="shared" si="169"/>
        <v>-9617.4538147972944</v>
      </c>
      <c r="AB469" s="52">
        <f t="shared" si="170"/>
        <v>2245.5240017932206</v>
      </c>
      <c r="AC469" s="52">
        <f t="shared" si="171"/>
        <v>1138.6278442268804</v>
      </c>
      <c r="AD469" s="52">
        <f t="shared" si="155"/>
        <v>-106.13463507398342</v>
      </c>
      <c r="AE469" s="52">
        <f t="shared" si="156"/>
        <v>10.609155232423834</v>
      </c>
      <c r="AF469" s="52">
        <f t="shared" si="157"/>
        <v>-58.207749579907613</v>
      </c>
      <c r="AG469" s="52">
        <f t="shared" si="158"/>
        <v>10.871924418885696</v>
      </c>
      <c r="AH469" s="52">
        <f t="shared" si="159"/>
        <v>-9.9855128428603805</v>
      </c>
      <c r="AI469" s="52">
        <f t="shared" si="160"/>
        <v>1.4880081893055579</v>
      </c>
      <c r="AJ469" s="52">
        <f t="shared" si="161"/>
        <v>-37.941372651215424</v>
      </c>
      <c r="AK469" s="52">
        <f t="shared" si="162"/>
        <v>-1.7507773757674201</v>
      </c>
      <c r="AM469" s="52">
        <f t="shared" si="163"/>
        <v>93230.884831886011</v>
      </c>
      <c r="AN469" s="57">
        <f t="shared" si="164"/>
        <v>133099.64591553772</v>
      </c>
      <c r="AO469" s="57">
        <f t="shared" si="165"/>
        <v>116770.12816593966</v>
      </c>
    </row>
    <row r="470" spans="12:41" x14ac:dyDescent="0.25">
      <c r="L470" s="6">
        <v>467</v>
      </c>
      <c r="M470" s="52">
        <f t="shared" si="151"/>
        <v>18538.141476386321</v>
      </c>
      <c r="N470" s="52">
        <f t="shared" si="152"/>
        <v>12281.523779815179</v>
      </c>
      <c r="P470" s="6">
        <v>467</v>
      </c>
      <c r="Q470" s="52">
        <f t="shared" si="166"/>
        <v>-21023.300966529576</v>
      </c>
      <c r="R470" s="52">
        <f t="shared" si="167"/>
        <v>13347.066645870626</v>
      </c>
      <c r="T470" s="6">
        <v>467</v>
      </c>
      <c r="U470" s="52">
        <f t="shared" si="153"/>
        <v>-6461.8585236136787</v>
      </c>
      <c r="V470" s="52">
        <f t="shared" si="154"/>
        <v>-10218.476220184821</v>
      </c>
      <c r="X470" s="6">
        <v>466</v>
      </c>
      <c r="Y470" s="55">
        <v>233</v>
      </c>
      <c r="Z470" s="52">
        <f t="shared" si="168"/>
        <v>112755.50251190158</v>
      </c>
      <c r="AA470" s="52">
        <f t="shared" si="169"/>
        <v>-9046.8137482798011</v>
      </c>
      <c r="AB470" s="52">
        <f t="shared" si="170"/>
        <v>2192.456684256229</v>
      </c>
      <c r="AC470" s="52">
        <f t="shared" si="171"/>
        <v>1143.9324218430922</v>
      </c>
      <c r="AD470" s="52">
        <f t="shared" si="155"/>
        <v>-104.15421064754884</v>
      </c>
      <c r="AE470" s="52">
        <f t="shared" si="156"/>
        <v>9.7165345262399878</v>
      </c>
      <c r="AF470" s="52">
        <f t="shared" si="157"/>
        <v>-57.097076345634918</v>
      </c>
      <c r="AG470" s="52">
        <f t="shared" si="158"/>
        <v>10.185645727500727</v>
      </c>
      <c r="AH470" s="52">
        <f t="shared" si="159"/>
        <v>-9.8433288050851413</v>
      </c>
      <c r="AI470" s="52">
        <f t="shared" si="160"/>
        <v>1.412250692936259</v>
      </c>
      <c r="AJ470" s="52">
        <f t="shared" si="161"/>
        <v>-37.21380549682879</v>
      </c>
      <c r="AK470" s="52">
        <f t="shared" si="162"/>
        <v>-1.8813618941969998</v>
      </c>
      <c r="AM470" s="52">
        <f t="shared" si="163"/>
        <v>94219.850835456324</v>
      </c>
      <c r="AN470" s="57">
        <f t="shared" si="164"/>
        <v>134114.89313700091</v>
      </c>
      <c r="AO470" s="57">
        <f t="shared" si="165"/>
        <v>117905.88958308287</v>
      </c>
    </row>
    <row r="471" spans="12:41" x14ac:dyDescent="0.25">
      <c r="L471" s="6">
        <v>468</v>
      </c>
      <c r="M471" s="52">
        <f t="shared" si="151"/>
        <v>18454.915028125266</v>
      </c>
      <c r="N471" s="52">
        <f t="shared" si="152"/>
        <v>12255.282581475767</v>
      </c>
      <c r="P471" s="6">
        <v>468</v>
      </c>
      <c r="Q471" s="52">
        <f t="shared" si="166"/>
        <v>-21081.559480312317</v>
      </c>
      <c r="R471" s="52">
        <f t="shared" si="167"/>
        <v>13328.697807033037</v>
      </c>
      <c r="T471" s="6">
        <v>468</v>
      </c>
      <c r="U471" s="52">
        <f t="shared" si="153"/>
        <v>-6545.0849718747359</v>
      </c>
      <c r="V471" s="52">
        <f t="shared" si="154"/>
        <v>-10244.717418524233</v>
      </c>
      <c r="X471" s="6">
        <v>467</v>
      </c>
      <c r="Y471" s="55">
        <v>233.5</v>
      </c>
      <c r="Z471" s="52">
        <f t="shared" si="168"/>
        <v>113838.71157769875</v>
      </c>
      <c r="AA471" s="52">
        <f t="shared" si="169"/>
        <v>-8473.632970542476</v>
      </c>
      <c r="AB471" s="52">
        <f t="shared" si="170"/>
        <v>2140.3795789324545</v>
      </c>
      <c r="AC471" s="52">
        <f t="shared" si="171"/>
        <v>1148.7906891062123</v>
      </c>
      <c r="AD471" s="52">
        <f t="shared" si="155"/>
        <v>-102.26488008642731</v>
      </c>
      <c r="AE471" s="52">
        <f t="shared" si="156"/>
        <v>8.8731152107344933</v>
      </c>
      <c r="AF471" s="52">
        <f t="shared" si="157"/>
        <v>-56.037175458266631</v>
      </c>
      <c r="AG471" s="52">
        <f t="shared" si="158"/>
        <v>9.5388913426745177</v>
      </c>
      <c r="AH471" s="52">
        <f t="shared" si="159"/>
        <v>-9.707074682614298</v>
      </c>
      <c r="AI471" s="52">
        <f t="shared" si="160"/>
        <v>1.3398584967709906</v>
      </c>
      <c r="AJ471" s="52">
        <f t="shared" si="161"/>
        <v>-36.520629945546389</v>
      </c>
      <c r="AK471" s="52">
        <f t="shared" si="162"/>
        <v>-2.0056346287110136</v>
      </c>
      <c r="AM471" s="52">
        <f t="shared" si="163"/>
        <v>95188.55362300729</v>
      </c>
      <c r="AN471" s="57">
        <f t="shared" si="164"/>
        <v>135107.64534958321</v>
      </c>
      <c r="AO471" s="57">
        <f t="shared" si="165"/>
        <v>119017.78369659997</v>
      </c>
    </row>
    <row r="472" spans="12:41" x14ac:dyDescent="0.25">
      <c r="L472" s="6">
        <v>469</v>
      </c>
      <c r="M472" s="52">
        <f t="shared" si="151"/>
        <v>18372.159227714223</v>
      </c>
      <c r="N472" s="52">
        <f t="shared" si="152"/>
        <v>12227.592877996587</v>
      </c>
      <c r="P472" s="6">
        <v>469</v>
      </c>
      <c r="Q472" s="52">
        <f t="shared" si="166"/>
        <v>-21139.488540600043</v>
      </c>
      <c r="R472" s="52">
        <f t="shared" si="167"/>
        <v>13309.315014597611</v>
      </c>
      <c r="T472" s="6">
        <v>469</v>
      </c>
      <c r="U472" s="52">
        <f t="shared" si="153"/>
        <v>-6627.8407722857773</v>
      </c>
      <c r="V472" s="52">
        <f t="shared" si="154"/>
        <v>-10272.407122003413</v>
      </c>
      <c r="X472" s="6">
        <v>468</v>
      </c>
      <c r="Y472" s="55">
        <v>234</v>
      </c>
      <c r="Z472" s="52">
        <f t="shared" si="168"/>
        <v>114896.11825715417</v>
      </c>
      <c r="AA472" s="52">
        <f t="shared" si="169"/>
        <v>-7898.128486588028</v>
      </c>
      <c r="AB472" s="52">
        <f t="shared" si="170"/>
        <v>2089.2471388892409</v>
      </c>
      <c r="AC472" s="52">
        <f t="shared" si="171"/>
        <v>1153.2272467115795</v>
      </c>
      <c r="AD472" s="52">
        <f t="shared" si="155"/>
        <v>-100.46124700064433</v>
      </c>
      <c r="AE472" s="52">
        <f t="shared" si="156"/>
        <v>8.0750563931852337</v>
      </c>
      <c r="AF472" s="52">
        <f t="shared" si="157"/>
        <v>-55.025130760513811</v>
      </c>
      <c r="AG472" s="52">
        <f t="shared" si="158"/>
        <v>8.9285425895470958</v>
      </c>
      <c r="AH472" s="52">
        <f t="shared" si="159"/>
        <v>-9.5764368410879452</v>
      </c>
      <c r="AI472" s="52">
        <f t="shared" si="160"/>
        <v>1.2706095567460634</v>
      </c>
      <c r="AJ472" s="52">
        <f t="shared" si="161"/>
        <v>-35.859679399042584</v>
      </c>
      <c r="AK472" s="52">
        <f t="shared" si="162"/>
        <v>-2.1240957531079245</v>
      </c>
      <c r="AM472" s="52">
        <f t="shared" si="163"/>
        <v>96137.274879025266</v>
      </c>
      <c r="AN472" s="57">
        <f t="shared" si="164"/>
        <v>136078.3073240204</v>
      </c>
      <c r="AO472" s="57">
        <f t="shared" si="165"/>
        <v>120106.26857964788</v>
      </c>
    </row>
    <row r="473" spans="12:41" x14ac:dyDescent="0.25">
      <c r="L473" s="6">
        <v>470</v>
      </c>
      <c r="M473" s="52">
        <f t="shared" si="151"/>
        <v>18289.899283371658</v>
      </c>
      <c r="N473" s="52">
        <f t="shared" si="152"/>
        <v>12198.463103929544</v>
      </c>
      <c r="P473" s="6">
        <v>470</v>
      </c>
      <c r="Q473" s="52">
        <f t="shared" si="166"/>
        <v>-21197.070501639839</v>
      </c>
      <c r="R473" s="52">
        <f t="shared" si="167"/>
        <v>13288.92417275068</v>
      </c>
      <c r="T473" s="6">
        <v>470</v>
      </c>
      <c r="U473" s="52">
        <f t="shared" si="153"/>
        <v>-6710.1007166283398</v>
      </c>
      <c r="V473" s="52">
        <f t="shared" si="154"/>
        <v>-10301.536896070456</v>
      </c>
      <c r="X473" s="6">
        <v>469</v>
      </c>
      <c r="Y473" s="55">
        <v>234.5</v>
      </c>
      <c r="Z473" s="52">
        <f t="shared" si="168"/>
        <v>115928.18417072372</v>
      </c>
      <c r="AA473" s="52">
        <f t="shared" si="169"/>
        <v>-7320.5054811830896</v>
      </c>
      <c r="AB473" s="52">
        <f t="shared" si="170"/>
        <v>2039.0165153889188</v>
      </c>
      <c r="AC473" s="52">
        <f t="shared" si="171"/>
        <v>1157.2647749081721</v>
      </c>
      <c r="AD473" s="52">
        <f t="shared" si="155"/>
        <v>-98.738329272178689</v>
      </c>
      <c r="AE473" s="52">
        <f t="shared" si="156"/>
        <v>7.3188716028268201</v>
      </c>
      <c r="AF473" s="52">
        <f t="shared" si="157"/>
        <v>-54.058238693536637</v>
      </c>
      <c r="AG473" s="52">
        <f t="shared" si="158"/>
        <v>8.3517730454984704</v>
      </c>
      <c r="AH473" s="52">
        <f t="shared" si="159"/>
        <v>-9.4511243204604778</v>
      </c>
      <c r="AI473" s="52">
        <f t="shared" si="160"/>
        <v>1.2042995468127198</v>
      </c>
      <c r="AJ473" s="52">
        <f t="shared" si="161"/>
        <v>-35.228966258181572</v>
      </c>
      <c r="AK473" s="52">
        <f t="shared" si="162"/>
        <v>-2.2372009894843705</v>
      </c>
      <c r="AM473" s="52">
        <f t="shared" si="163"/>
        <v>97066.286119383716</v>
      </c>
      <c r="AN473" s="57">
        <f t="shared" si="164"/>
        <v>137027.26430194057</v>
      </c>
      <c r="AO473" s="57">
        <f t="shared" si="165"/>
        <v>121171.78039004384</v>
      </c>
    </row>
    <row r="474" spans="12:41" x14ac:dyDescent="0.25">
      <c r="L474" s="6">
        <v>471</v>
      </c>
      <c r="M474" s="52">
        <f t="shared" si="151"/>
        <v>18208.160252273497</v>
      </c>
      <c r="N474" s="52">
        <f t="shared" si="152"/>
        <v>12167.902132486008</v>
      </c>
      <c r="P474" s="6">
        <v>471</v>
      </c>
      <c r="Q474" s="52">
        <f t="shared" si="166"/>
        <v>-21254.287823408551</v>
      </c>
      <c r="R474" s="52">
        <f t="shared" si="167"/>
        <v>13267.531492740207</v>
      </c>
      <c r="T474" s="6">
        <v>471</v>
      </c>
      <c r="U474" s="52">
        <f t="shared" si="153"/>
        <v>-6791.8397477265016</v>
      </c>
      <c r="V474" s="52">
        <f t="shared" si="154"/>
        <v>-10332.097867513992</v>
      </c>
      <c r="X474" s="6">
        <v>470</v>
      </c>
      <c r="Y474" s="55">
        <v>235</v>
      </c>
      <c r="Z474" s="52">
        <f t="shared" si="168"/>
        <v>116935.35013725916</v>
      </c>
      <c r="AA474" s="52">
        <f t="shared" si="169"/>
        <v>-6740.9582347786509</v>
      </c>
      <c r="AB474" s="52">
        <f t="shared" si="170"/>
        <v>1989.6473507528294</v>
      </c>
      <c r="AC474" s="52">
        <f t="shared" si="171"/>
        <v>1160.9242107095854</v>
      </c>
      <c r="AD474" s="52">
        <f t="shared" si="155"/>
        <v>-97.09152140842815</v>
      </c>
      <c r="AE474" s="52">
        <f t="shared" si="156"/>
        <v>6.6013902909446625</v>
      </c>
      <c r="AF474" s="52">
        <f t="shared" si="157"/>
        <v>-53.133990500324607</v>
      </c>
      <c r="AG474" s="52">
        <f t="shared" si="158"/>
        <v>7.8060164686133708</v>
      </c>
      <c r="AH474" s="52">
        <f t="shared" si="159"/>
        <v>-9.3308668477764609</v>
      </c>
      <c r="AI474" s="52">
        <f t="shared" si="160"/>
        <v>1.1407401524612117</v>
      </c>
      <c r="AJ474" s="52">
        <f t="shared" si="161"/>
        <v>-34.626664060327073</v>
      </c>
      <c r="AK474" s="52">
        <f t="shared" si="162"/>
        <v>-2.3453663301299201</v>
      </c>
      <c r="AM474" s="52">
        <f t="shared" si="163"/>
        <v>97975.849053109705</v>
      </c>
      <c r="AN474" s="57">
        <f t="shared" si="164"/>
        <v>137954.88320401119</v>
      </c>
      <c r="AO474" s="57">
        <f t="shared" si="165"/>
        <v>122214.73472530085</v>
      </c>
    </row>
    <row r="475" spans="12:41" x14ac:dyDescent="0.25">
      <c r="L475" s="6">
        <v>472</v>
      </c>
      <c r="M475" s="52">
        <f t="shared" si="151"/>
        <v>18126.967032920445</v>
      </c>
      <c r="N475" s="52">
        <f t="shared" si="152"/>
        <v>12135.91927283394</v>
      </c>
      <c r="P475" s="6">
        <v>472</v>
      </c>
      <c r="Q475" s="52">
        <f t="shared" si="166"/>
        <v>-21311.12307695569</v>
      </c>
      <c r="R475" s="52">
        <f t="shared" si="167"/>
        <v>13245.143490983757</v>
      </c>
      <c r="T475" s="6">
        <v>472</v>
      </c>
      <c r="U475" s="52">
        <f t="shared" si="153"/>
        <v>-6873.0329670795545</v>
      </c>
      <c r="V475" s="52">
        <f t="shared" si="154"/>
        <v>-10364.08072716606</v>
      </c>
      <c r="X475" s="6">
        <v>471</v>
      </c>
      <c r="Y475" s="55">
        <v>235.5</v>
      </c>
      <c r="Z475" s="52">
        <f t="shared" si="168"/>
        <v>117918.03737245953</v>
      </c>
      <c r="AA475" s="52">
        <f t="shared" si="169"/>
        <v>-6159.6709556374899</v>
      </c>
      <c r="AB475" s="52">
        <f t="shared" si="170"/>
        <v>1941.1015900486154</v>
      </c>
      <c r="AC475" s="52">
        <f t="shared" si="171"/>
        <v>1164.2249058550576</v>
      </c>
      <c r="AD475" s="52">
        <f t="shared" si="155"/>
        <v>-95.516560830107281</v>
      </c>
      <c r="AE475" s="52">
        <f t="shared" si="156"/>
        <v>5.9197240792408277</v>
      </c>
      <c r="AF475" s="52">
        <f t="shared" si="157"/>
        <v>-52.250056070724696</v>
      </c>
      <c r="AG475" s="52">
        <f t="shared" si="158"/>
        <v>7.2889387133534322</v>
      </c>
      <c r="AH475" s="52">
        <f t="shared" si="159"/>
        <v>-9.2154130567643548</v>
      </c>
      <c r="AI475" s="52">
        <f t="shared" si="160"/>
        <v>1.0797575542307889</v>
      </c>
      <c r="AJ475" s="52">
        <f t="shared" si="161"/>
        <v>-34.05109170261823</v>
      </c>
      <c r="AK475" s="52">
        <f t="shared" si="162"/>
        <v>-2.4489721883433933</v>
      </c>
      <c r="AM475" s="52">
        <f t="shared" si="163"/>
        <v>98866.21593593368</v>
      </c>
      <c r="AN475" s="57">
        <f t="shared" si="164"/>
        <v>138861.51373964502</v>
      </c>
      <c r="AO475" s="57">
        <f t="shared" si="165"/>
        <v>123235.52786883316</v>
      </c>
    </row>
    <row r="476" spans="12:41" x14ac:dyDescent="0.25">
      <c r="L476" s="6">
        <v>473</v>
      </c>
      <c r="M476" s="52">
        <f t="shared" si="151"/>
        <v>18046.344357553633</v>
      </c>
      <c r="N476" s="52">
        <f t="shared" si="152"/>
        <v>12102.524267262203</v>
      </c>
      <c r="P476" s="6">
        <v>473</v>
      </c>
      <c r="Q476" s="52">
        <f t="shared" si="166"/>
        <v>-21367.558949712457</v>
      </c>
      <c r="R476" s="52">
        <f t="shared" si="167"/>
        <v>13221.766987083542</v>
      </c>
      <c r="T476" s="6">
        <v>473</v>
      </c>
      <c r="U476" s="52">
        <f t="shared" si="153"/>
        <v>-6953.655642446367</v>
      </c>
      <c r="V476" s="52">
        <f t="shared" si="154"/>
        <v>-10397.475732737797</v>
      </c>
      <c r="X476" s="6">
        <v>472</v>
      </c>
      <c r="Y476" s="55">
        <v>236</v>
      </c>
      <c r="Z476" s="52">
        <f t="shared" si="168"/>
        <v>118876.64859738007</v>
      </c>
      <c r="AA476" s="52">
        <f t="shared" si="169"/>
        <v>-5576.8185372000562</v>
      </c>
      <c r="AB476" s="52">
        <f t="shared" si="170"/>
        <v>1893.3433096335618</v>
      </c>
      <c r="AC476" s="52">
        <f t="shared" si="171"/>
        <v>1167.1847678946781</v>
      </c>
      <c r="AD476" s="52">
        <f t="shared" si="155"/>
        <v>-94.009497635216576</v>
      </c>
      <c r="AE476" s="52">
        <f t="shared" si="156"/>
        <v>5.271237103096329</v>
      </c>
      <c r="AF476" s="52">
        <f t="shared" si="157"/>
        <v>-51.404269271684761</v>
      </c>
      <c r="AG476" s="52">
        <f t="shared" si="158"/>
        <v>6.7984130817415451</v>
      </c>
      <c r="AH476" s="52">
        <f t="shared" si="159"/>
        <v>-9.1045288895440919</v>
      </c>
      <c r="AI476" s="52">
        <f t="shared" si="160"/>
        <v>1.0211910772002837</v>
      </c>
      <c r="AJ476" s="52">
        <f t="shared" si="161"/>
        <v>-33.500699473987716</v>
      </c>
      <c r="AK476" s="52">
        <f t="shared" si="162"/>
        <v>-2.5483670558454992</v>
      </c>
      <c r="AM476" s="52">
        <f t="shared" si="163"/>
        <v>99737.629914213627</v>
      </c>
      <c r="AN476" s="57">
        <f t="shared" si="164"/>
        <v>139747.48942782855</v>
      </c>
      <c r="AO476" s="57">
        <f t="shared" si="165"/>
        <v>124234.53793772343</v>
      </c>
    </row>
    <row r="477" spans="12:41" x14ac:dyDescent="0.25">
      <c r="L477" s="6">
        <v>474</v>
      </c>
      <c r="M477" s="52">
        <f t="shared" si="151"/>
        <v>17966.316784620998</v>
      </c>
      <c r="N477" s="52">
        <f t="shared" si="152"/>
        <v>12067.727288213004</v>
      </c>
      <c r="P477" s="6">
        <v>474</v>
      </c>
      <c r="Q477" s="52">
        <f t="shared" si="166"/>
        <v>-21423.578250765302</v>
      </c>
      <c r="R477" s="52">
        <f t="shared" si="167"/>
        <v>13197.409101749103</v>
      </c>
      <c r="T477" s="6">
        <v>474</v>
      </c>
      <c r="U477" s="52">
        <f t="shared" si="153"/>
        <v>-7033.6832153790019</v>
      </c>
      <c r="V477" s="52">
        <f t="shared" si="154"/>
        <v>-10432.272711786996</v>
      </c>
      <c r="X477" s="6">
        <v>473</v>
      </c>
      <c r="Y477" s="55">
        <v>236.5</v>
      </c>
      <c r="Z477" s="52">
        <f t="shared" si="168"/>
        <v>119811.56906499245</v>
      </c>
      <c r="AA477" s="52">
        <f t="shared" si="169"/>
        <v>-4992.5672486148305</v>
      </c>
      <c r="AB477" s="52">
        <f t="shared" si="170"/>
        <v>1846.3385608159535</v>
      </c>
      <c r="AC477" s="52">
        <f t="shared" si="171"/>
        <v>1169.8203864462262</v>
      </c>
      <c r="AD477" s="52">
        <f t="shared" si="155"/>
        <v>-92.566667438995125</v>
      </c>
      <c r="AE477" s="52">
        <f t="shared" si="156"/>
        <v>4.6535198950370091</v>
      </c>
      <c r="AF477" s="52">
        <f t="shared" si="157"/>
        <v>-50.594614620056667</v>
      </c>
      <c r="AG477" s="52">
        <f t="shared" si="158"/>
        <v>6.3324986419885292</v>
      </c>
      <c r="AH477" s="52">
        <f t="shared" si="159"/>
        <v>-8.9979961590731268</v>
      </c>
      <c r="AI477" s="52">
        <f t="shared" si="160"/>
        <v>0.96489198583395552</v>
      </c>
      <c r="AJ477" s="52">
        <f t="shared" si="161"/>
        <v>-32.974056659865333</v>
      </c>
      <c r="AK477" s="52">
        <f t="shared" si="162"/>
        <v>-2.6438707327854751</v>
      </c>
      <c r="AM477" s="52">
        <f t="shared" si="163"/>
        <v>100590.32535824169</v>
      </c>
      <c r="AN477" s="57">
        <f t="shared" si="164"/>
        <v>140613.12853755653</v>
      </c>
      <c r="AO477" s="57">
        <f t="shared" si="165"/>
        <v>125212.12594129563</v>
      </c>
    </row>
    <row r="478" spans="12:41" x14ac:dyDescent="0.25">
      <c r="L478" s="6">
        <v>475</v>
      </c>
      <c r="M478" s="52">
        <f t="shared" si="151"/>
        <v>17886.908691296507</v>
      </c>
      <c r="N478" s="52">
        <f t="shared" si="152"/>
        <v>12031.538935183251</v>
      </c>
      <c r="P478" s="6">
        <v>475</v>
      </c>
      <c r="Q478" s="52">
        <f t="shared" si="166"/>
        <v>-21479.163916092446</v>
      </c>
      <c r="R478" s="52">
        <f t="shared" si="167"/>
        <v>13172.077254628275</v>
      </c>
      <c r="T478" s="6">
        <v>475</v>
      </c>
      <c r="U478" s="52">
        <f t="shared" si="153"/>
        <v>-7113.0913087034933</v>
      </c>
      <c r="V478" s="52">
        <f t="shared" si="154"/>
        <v>-10468.461064816749</v>
      </c>
      <c r="X478" s="6">
        <v>474</v>
      </c>
      <c r="Y478" s="55">
        <v>237</v>
      </c>
      <c r="Z478" s="52">
        <f t="shared" si="168"/>
        <v>120723.16751197056</v>
      </c>
      <c r="AA478" s="52">
        <f t="shared" si="169"/>
        <v>-4407.0753654048376</v>
      </c>
      <c r="AB478" s="52">
        <f t="shared" si="170"/>
        <v>1800.0552270964561</v>
      </c>
      <c r="AC478" s="52">
        <f t="shared" si="171"/>
        <v>1172.1471463937446</v>
      </c>
      <c r="AD478" s="52">
        <f t="shared" si="155"/>
        <v>-91.184666940078614</v>
      </c>
      <c r="AE478" s="52">
        <f t="shared" si="156"/>
        <v>4.0643663362305613</v>
      </c>
      <c r="AF478" s="52">
        <f t="shared" si="157"/>
        <v>-49.819215168384304</v>
      </c>
      <c r="AG478" s="52">
        <f t="shared" si="158"/>
        <v>5.8894211163958099</v>
      </c>
      <c r="AH478" s="52">
        <f t="shared" si="159"/>
        <v>-8.895611253779764</v>
      </c>
      <c r="AI478" s="52">
        <f t="shared" si="160"/>
        <v>0.91072240641290725</v>
      </c>
      <c r="AJ478" s="52">
        <f t="shared" si="161"/>
        <v>-32.469840517914548</v>
      </c>
      <c r="AK478" s="52">
        <f t="shared" si="162"/>
        <v>-2.7357771865781566</v>
      </c>
      <c r="AM478" s="52">
        <f t="shared" si="163"/>
        <v>101424.52818427066</v>
      </c>
      <c r="AN478" s="57">
        <f t="shared" si="164"/>
        <v>141458.73495541583</v>
      </c>
      <c r="AO478" s="57">
        <f t="shared" si="165"/>
        <v>126168.63675873344</v>
      </c>
    </row>
    <row r="479" spans="12:41" x14ac:dyDescent="0.25">
      <c r="L479" s="6">
        <v>476</v>
      </c>
      <c r="M479" s="52">
        <f t="shared" si="151"/>
        <v>17808.144266054613</v>
      </c>
      <c r="N479" s="52">
        <f t="shared" si="152"/>
        <v>11993.970231495834</v>
      </c>
      <c r="P479" s="6">
        <v>476</v>
      </c>
      <c r="Q479" s="52">
        <f t="shared" si="166"/>
        <v>-21534.299013761771</v>
      </c>
      <c r="R479" s="52">
        <f t="shared" si="167"/>
        <v>13145.779162047085</v>
      </c>
      <c r="T479" s="6">
        <v>476</v>
      </c>
      <c r="U479" s="52">
        <f t="shared" si="153"/>
        <v>-7191.8557339453864</v>
      </c>
      <c r="V479" s="52">
        <f t="shared" si="154"/>
        <v>-10506.029768504166</v>
      </c>
      <c r="X479" s="6">
        <v>475</v>
      </c>
      <c r="Y479" s="55">
        <v>237.5</v>
      </c>
      <c r="Z479" s="52">
        <f t="shared" si="168"/>
        <v>121611.79704215127</v>
      </c>
      <c r="AA479" s="52">
        <f t="shared" si="169"/>
        <v>-3820.4937464159361</v>
      </c>
      <c r="AB479" s="52">
        <f t="shared" si="170"/>
        <v>1754.4628936264166</v>
      </c>
      <c r="AC479" s="52">
        <f t="shared" si="171"/>
        <v>1174.17932956186</v>
      </c>
      <c r="AD479" s="52">
        <f t="shared" si="155"/>
        <v>-89.860331906671718</v>
      </c>
      <c r="AE479" s="52">
        <f t="shared" si="156"/>
        <v>3.5017532730411292</v>
      </c>
      <c r="AF479" s="52">
        <f t="shared" si="157"/>
        <v>-49.076321486353898</v>
      </c>
      <c r="AG479" s="52">
        <f t="shared" si="158"/>
        <v>5.4675559989644</v>
      </c>
      <c r="AH479" s="52">
        <f t="shared" si="159"/>
        <v>-8.7971839682493425</v>
      </c>
      <c r="AI479" s="52">
        <f t="shared" si="160"/>
        <v>0.85855436170385857</v>
      </c>
      <c r="AJ479" s="52">
        <f t="shared" si="161"/>
        <v>-31.986826452068474</v>
      </c>
      <c r="AK479" s="52">
        <f t="shared" si="162"/>
        <v>-2.8243570876271296</v>
      </c>
      <c r="AM479" s="52">
        <f t="shared" si="163"/>
        <v>102240.45616485669</v>
      </c>
      <c r="AN479" s="57">
        <f t="shared" si="164"/>
        <v>142284.59898703781</v>
      </c>
      <c r="AO479" s="57">
        <f t="shared" si="165"/>
        <v>127104.4000431017</v>
      </c>
    </row>
    <row r="480" spans="12:41" x14ac:dyDescent="0.25">
      <c r="L480" s="6">
        <v>477</v>
      </c>
      <c r="M480" s="52">
        <f t="shared" si="151"/>
        <v>17730.047501302262</v>
      </c>
      <c r="N480" s="52">
        <f t="shared" si="152"/>
        <v>11955.032620941838</v>
      </c>
      <c r="P480" s="6">
        <v>477</v>
      </c>
      <c r="Q480" s="52">
        <f t="shared" si="166"/>
        <v>-21588.966749088417</v>
      </c>
      <c r="R480" s="52">
        <f t="shared" si="167"/>
        <v>13118.522834659287</v>
      </c>
      <c r="T480" s="6">
        <v>477</v>
      </c>
      <c r="U480" s="52">
        <f t="shared" si="153"/>
        <v>-7269.9524986977367</v>
      </c>
      <c r="V480" s="52">
        <f t="shared" si="154"/>
        <v>-10544.967379058162</v>
      </c>
      <c r="X480" s="6">
        <v>476</v>
      </c>
      <c r="Y480" s="55">
        <v>238</v>
      </c>
      <c r="Z480" s="52">
        <f t="shared" si="168"/>
        <v>122477.79594747614</v>
      </c>
      <c r="AA480" s="52">
        <f t="shared" si="169"/>
        <v>-3232.9663624758759</v>
      </c>
      <c r="AB480" s="52">
        <f t="shared" si="170"/>
        <v>1709.5327276730809</v>
      </c>
      <c r="AC480" s="52">
        <f t="shared" si="171"/>
        <v>1175.9302061983806</v>
      </c>
      <c r="AD480" s="52">
        <f t="shared" si="155"/>
        <v>-88.590717314241331</v>
      </c>
      <c r="AE480" s="52">
        <f t="shared" si="156"/>
        <v>2.9638224538543061</v>
      </c>
      <c r="AF480" s="52">
        <f t="shared" si="157"/>
        <v>-48.364301631897433</v>
      </c>
      <c r="AG480" s="52">
        <f t="shared" si="158"/>
        <v>5.0654136123872853</v>
      </c>
      <c r="AH480" s="52">
        <f t="shared" si="159"/>
        <v>-8.7025364458921945</v>
      </c>
      <c r="AI480" s="52">
        <f t="shared" si="160"/>
        <v>0.80826890457489375</v>
      </c>
      <c r="AJ480" s="52">
        <f t="shared" si="161"/>
        <v>-31.523879236451709</v>
      </c>
      <c r="AK480" s="52">
        <f t="shared" si="162"/>
        <v>-2.9098600631078733</v>
      </c>
      <c r="AM480" s="52">
        <f t="shared" si="163"/>
        <v>103038.31922731754</v>
      </c>
      <c r="AN480" s="57">
        <f t="shared" si="164"/>
        <v>143090.99809841663</v>
      </c>
      <c r="AO480" s="57">
        <f t="shared" si="165"/>
        <v>128019.73105835285</v>
      </c>
    </row>
    <row r="481" spans="12:41" x14ac:dyDescent="0.25">
      <c r="L481" s="6">
        <v>478</v>
      </c>
      <c r="M481" s="52">
        <f t="shared" si="151"/>
        <v>17652.642186070549</v>
      </c>
      <c r="N481" s="52">
        <f t="shared" si="152"/>
        <v>11914.737964294636</v>
      </c>
      <c r="P481" s="6">
        <v>478</v>
      </c>
      <c r="Q481" s="52">
        <f t="shared" si="166"/>
        <v>-21643.150469750617</v>
      </c>
      <c r="R481" s="52">
        <f t="shared" si="167"/>
        <v>13090.316575006245</v>
      </c>
      <c r="T481" s="6">
        <v>478</v>
      </c>
      <c r="U481" s="52">
        <f t="shared" si="153"/>
        <v>-7347.3578139294514</v>
      </c>
      <c r="V481" s="52">
        <f t="shared" si="154"/>
        <v>-10585.262035705364</v>
      </c>
      <c r="X481" s="6">
        <v>477</v>
      </c>
      <c r="Y481" s="55">
        <v>238.5</v>
      </c>
      <c r="Z481" s="52">
        <f t="shared" si="168"/>
        <v>123321.48847164839</v>
      </c>
      <c r="AA481" s="52">
        <f t="shared" si="169"/>
        <v>-2644.6307815699538</v>
      </c>
      <c r="AB481" s="52">
        <f t="shared" si="170"/>
        <v>1665.2373690159602</v>
      </c>
      <c r="AC481" s="52">
        <f t="shared" si="171"/>
        <v>1177.4121174253078</v>
      </c>
      <c r="AD481" s="52">
        <f t="shared" si="155"/>
        <v>-87.37307939898993</v>
      </c>
      <c r="AE481" s="52">
        <f t="shared" si="156"/>
        <v>2.4488644904443224</v>
      </c>
      <c r="AF481" s="52">
        <f t="shared" si="157"/>
        <v>-47.68163201634195</v>
      </c>
      <c r="AG481" s="52">
        <f t="shared" si="158"/>
        <v>4.6816258556051062</v>
      </c>
      <c r="AH481" s="52">
        <f t="shared" si="159"/>
        <v>-8.6115022212967425</v>
      </c>
      <c r="AI481" s="52">
        <f t="shared" si="160"/>
        <v>0.75975533902236236</v>
      </c>
      <c r="AJ481" s="52">
        <f t="shared" si="161"/>
        <v>-31.079945161351233</v>
      </c>
      <c r="AK481" s="52">
        <f t="shared" si="162"/>
        <v>-2.9925167041831462</v>
      </c>
      <c r="AM481" s="52">
        <f t="shared" si="163"/>
        <v>103818.31974026235</v>
      </c>
      <c r="AN481" s="57">
        <f t="shared" si="164"/>
        <v>143878.19760245495</v>
      </c>
      <c r="AO481" s="57">
        <f t="shared" si="165"/>
        <v>128914.93145521631</v>
      </c>
    </row>
    <row r="482" spans="12:41" x14ac:dyDescent="0.25">
      <c r="L482" s="6">
        <v>479</v>
      </c>
      <c r="M482" s="52">
        <f t="shared" si="151"/>
        <v>17575.951898768315</v>
      </c>
      <c r="N482" s="52">
        <f t="shared" si="152"/>
        <v>11873.09853569698</v>
      </c>
      <c r="P482" s="6">
        <v>479</v>
      </c>
      <c r="Q482" s="52">
        <f t="shared" si="166"/>
        <v>-21696.833670862179</v>
      </c>
      <c r="R482" s="52">
        <f t="shared" si="167"/>
        <v>13061.168974987886</v>
      </c>
      <c r="T482" s="6">
        <v>479</v>
      </c>
      <c r="U482" s="52">
        <f t="shared" si="153"/>
        <v>-7424.0481012316859</v>
      </c>
      <c r="V482" s="52">
        <f t="shared" si="154"/>
        <v>-10626.90146430302</v>
      </c>
      <c r="X482" s="6">
        <v>478</v>
      </c>
      <c r="Y482" s="55">
        <v>239</v>
      </c>
      <c r="Z482" s="52">
        <f t="shared" si="168"/>
        <v>124143.1855212315</v>
      </c>
      <c r="AA482" s="52">
        <f t="shared" si="169"/>
        <v>-2055.6186147959943</v>
      </c>
      <c r="AB482" s="52">
        <f t="shared" si="170"/>
        <v>1621.5508293164653</v>
      </c>
      <c r="AC482" s="52">
        <f t="shared" si="171"/>
        <v>1178.63654967053</v>
      </c>
      <c r="AD482" s="52">
        <f t="shared" si="155"/>
        <v>-86.204859419769519</v>
      </c>
      <c r="AE482" s="52">
        <f t="shared" si="156"/>
        <v>1.9553045896262109</v>
      </c>
      <c r="AF482" s="52">
        <f t="shared" si="157"/>
        <v>-47.026889077470017</v>
      </c>
      <c r="AG482" s="52">
        <f t="shared" si="158"/>
        <v>4.3149344281677111</v>
      </c>
      <c r="AH482" s="52">
        <f t="shared" si="159"/>
        <v>-8.5239253514928208</v>
      </c>
      <c r="AI482" s="52">
        <f t="shared" si="160"/>
        <v>0.71291051857218857</v>
      </c>
      <c r="AJ482" s="52">
        <f t="shared" si="161"/>
        <v>-30.654044990806675</v>
      </c>
      <c r="AK482" s="52">
        <f t="shared" si="162"/>
        <v>-3.0725403571136889</v>
      </c>
      <c r="AM482" s="52">
        <f t="shared" si="163"/>
        <v>104580.65278827187</v>
      </c>
      <c r="AN482" s="57">
        <f t="shared" si="164"/>
        <v>144646.45129554192</v>
      </c>
      <c r="AO482" s="57">
        <f t="shared" si="165"/>
        <v>129790.28999126564</v>
      </c>
    </row>
    <row r="483" spans="12:41" x14ac:dyDescent="0.25">
      <c r="L483" s="6">
        <v>480</v>
      </c>
      <c r="M483" s="52">
        <f t="shared" si="151"/>
        <v>17500.000000000004</v>
      </c>
      <c r="N483" s="52">
        <f t="shared" si="152"/>
        <v>11830.127018922196</v>
      </c>
      <c r="P483" s="6">
        <v>480</v>
      </c>
      <c r="Q483" s="52">
        <f t="shared" si="166"/>
        <v>-21749.999999999996</v>
      </c>
      <c r="R483" s="52">
        <f t="shared" si="167"/>
        <v>13031.088913245538</v>
      </c>
      <c r="T483" s="6">
        <v>480</v>
      </c>
      <c r="U483" s="52">
        <f t="shared" si="153"/>
        <v>-7499.9999999999964</v>
      </c>
      <c r="V483" s="52">
        <f t="shared" si="154"/>
        <v>-10669.872981077804</v>
      </c>
      <c r="X483" s="6">
        <v>479</v>
      </c>
      <c r="Y483" s="55">
        <v>239.5</v>
      </c>
      <c r="Z483" s="52">
        <f t="shared" si="168"/>
        <v>124943.18532846226</v>
      </c>
      <c r="AA483" s="52">
        <f t="shared" si="169"/>
        <v>-1466.0559268870259</v>
      </c>
      <c r="AB483" s="52">
        <f t="shared" si="170"/>
        <v>1578.4483996065806</v>
      </c>
      <c r="AC483" s="52">
        <f t="shared" si="171"/>
        <v>1179.6142019653432</v>
      </c>
      <c r="AD483" s="52">
        <f t="shared" si="155"/>
        <v>-85.083668945840174</v>
      </c>
      <c r="AE483" s="52">
        <f t="shared" si="156"/>
        <v>1.4816898360810535</v>
      </c>
      <c r="AF483" s="52">
        <f t="shared" si="157"/>
        <v>-46.39874168296506</v>
      </c>
      <c r="AG483" s="52">
        <f t="shared" si="158"/>
        <v>3.964180347342853</v>
      </c>
      <c r="AH483" s="52">
        <f t="shared" si="159"/>
        <v>-8.4396596266685062</v>
      </c>
      <c r="AI483" s="52">
        <f t="shared" si="160"/>
        <v>0.6676382133039066</v>
      </c>
      <c r="AJ483" s="52">
        <f t="shared" si="161"/>
        <v>-30.245267636206599</v>
      </c>
      <c r="AK483" s="52">
        <f t="shared" si="162"/>
        <v>-3.1501287245657057</v>
      </c>
      <c r="AM483" s="52">
        <f t="shared" si="163"/>
        <v>105325.50643489943</v>
      </c>
      <c r="AN483" s="57">
        <f t="shared" si="164"/>
        <v>145396.00204847264</v>
      </c>
      <c r="AO483" s="57">
        <f t="shared" si="165"/>
        <v>130646.08319992315</v>
      </c>
    </row>
    <row r="484" spans="12:41" x14ac:dyDescent="0.25">
      <c r="L484" s="6">
        <v>481</v>
      </c>
      <c r="M484" s="52">
        <f t="shared" si="151"/>
        <v>17424.809625449729</v>
      </c>
      <c r="N484" s="52">
        <f t="shared" si="152"/>
        <v>11785.836503510563</v>
      </c>
      <c r="P484" s="6">
        <v>481</v>
      </c>
      <c r="Q484" s="52">
        <f t="shared" si="166"/>
        <v>-21802.633262185191</v>
      </c>
      <c r="R484" s="52">
        <f t="shared" si="167"/>
        <v>13000.085552457393</v>
      </c>
      <c r="T484" s="6">
        <v>481</v>
      </c>
      <c r="U484" s="52">
        <f t="shared" si="153"/>
        <v>-7575.1903745502696</v>
      </c>
      <c r="V484" s="52">
        <f t="shared" si="154"/>
        <v>-10714.163496489437</v>
      </c>
      <c r="X484" s="6">
        <v>480</v>
      </c>
      <c r="Y484" s="55">
        <v>240</v>
      </c>
      <c r="Z484" s="52">
        <f t="shared" si="168"/>
        <v>125721.77406964732</v>
      </c>
      <c r="AA484" s="52">
        <f t="shared" si="169"/>
        <v>-876.06361467484408</v>
      </c>
      <c r="AB484" s="52">
        <f t="shared" si="170"/>
        <v>1535.9065651336605</v>
      </c>
      <c r="AC484" s="52">
        <f t="shared" si="171"/>
        <v>1180.3550468833837</v>
      </c>
      <c r="AD484" s="52">
        <f t="shared" si="155"/>
        <v>-84.007276509388419</v>
      </c>
      <c r="AE484" s="52">
        <f t="shared" si="156"/>
        <v>1.0266778371010963</v>
      </c>
      <c r="AF484" s="52">
        <f t="shared" si="157"/>
        <v>-45.795944194487063</v>
      </c>
      <c r="AG484" s="52">
        <f t="shared" si="158"/>
        <v>3.6282945991279125</v>
      </c>
      <c r="AH484" s="52">
        <f t="shared" si="159"/>
        <v>-8.3585678520178153</v>
      </c>
      <c r="AI484" s="52">
        <f t="shared" si="160"/>
        <v>0.6238485378490688</v>
      </c>
      <c r="AJ484" s="52">
        <f t="shared" si="161"/>
        <v>-29.852764462883542</v>
      </c>
      <c r="AK484" s="52">
        <f t="shared" si="162"/>
        <v>-3.2254652998758848</v>
      </c>
      <c r="AM484" s="52">
        <f t="shared" si="163"/>
        <v>106053.0619742336</v>
      </c>
      <c r="AN484" s="57">
        <f t="shared" si="164"/>
        <v>146127.08235558454</v>
      </c>
      <c r="AO484" s="57">
        <f t="shared" si="165"/>
        <v>131482.57601268933</v>
      </c>
    </row>
    <row r="485" spans="12:41" x14ac:dyDescent="0.25">
      <c r="L485" s="6">
        <v>482</v>
      </c>
      <c r="M485" s="52">
        <f t="shared" si="151"/>
        <v>17350.403678833973</v>
      </c>
      <c r="N485" s="52">
        <f t="shared" si="152"/>
        <v>11740.240480782129</v>
      </c>
      <c r="P485" s="6">
        <v>482</v>
      </c>
      <c r="Q485" s="52">
        <f t="shared" si="166"/>
        <v>-21854.717424816219</v>
      </c>
      <c r="R485" s="52">
        <f t="shared" si="167"/>
        <v>12968.168336547489</v>
      </c>
      <c r="T485" s="6">
        <v>482</v>
      </c>
      <c r="U485" s="52">
        <f t="shared" si="153"/>
        <v>-7649.5963211660273</v>
      </c>
      <c r="V485" s="52">
        <f t="shared" si="154"/>
        <v>-10759.759519217871</v>
      </c>
      <c r="X485" s="6">
        <v>481</v>
      </c>
      <c r="Y485" s="55">
        <v>240.5</v>
      </c>
      <c r="Z485" s="52">
        <f t="shared" si="168"/>
        <v>126479.22644265047</v>
      </c>
      <c r="AA485" s="52">
        <f t="shared" si="169"/>
        <v>-285.7577565035146</v>
      </c>
      <c r="AB485" s="52">
        <f t="shared" si="170"/>
        <v>1493.9029268789664</v>
      </c>
      <c r="AC485" s="52">
        <f t="shared" si="171"/>
        <v>1180.8683858019342</v>
      </c>
      <c r="AD485" s="52">
        <f t="shared" si="155"/>
        <v>-82.973595480526413</v>
      </c>
      <c r="AE485" s="52">
        <f t="shared" si="156"/>
        <v>0.58902656543009968</v>
      </c>
      <c r="AF485" s="52">
        <f t="shared" si="157"/>
        <v>-45.21733012964949</v>
      </c>
      <c r="AG485" s="52">
        <f t="shared" si="158"/>
        <v>3.3062897857819502</v>
      </c>
      <c r="AH485" s="52">
        <f t="shared" si="159"/>
        <v>-8.2805211933840432</v>
      </c>
      <c r="AI485" s="52">
        <f t="shared" si="160"/>
        <v>0.58145743366611757</v>
      </c>
      <c r="AJ485" s="52">
        <f t="shared" si="161"/>
        <v>-29.475744157492883</v>
      </c>
      <c r="AK485" s="52">
        <f t="shared" si="162"/>
        <v>-3.2987206540179681</v>
      </c>
      <c r="AM485" s="52">
        <f t="shared" si="163"/>
        <v>106763.49417131396</v>
      </c>
      <c r="AN485" s="57">
        <f t="shared" si="164"/>
        <v>146839.91484559895</v>
      </c>
      <c r="AO485" s="57">
        <f t="shared" si="165"/>
        <v>132300.02233846395</v>
      </c>
    </row>
    <row r="486" spans="12:41" x14ac:dyDescent="0.25">
      <c r="L486" s="6">
        <v>483</v>
      </c>
      <c r="M486" s="52">
        <f t="shared" si="151"/>
        <v>17276.804824924868</v>
      </c>
      <c r="N486" s="52">
        <f t="shared" si="152"/>
        <v>11693.352839727122</v>
      </c>
      <c r="P486" s="6">
        <v>483</v>
      </c>
      <c r="Q486" s="52">
        <f t="shared" si="166"/>
        <v>-21906.236622552591</v>
      </c>
      <c r="R486" s="52">
        <f t="shared" si="167"/>
        <v>12935.346987808985</v>
      </c>
      <c r="T486" s="6">
        <v>483</v>
      </c>
      <c r="U486" s="52">
        <f t="shared" si="153"/>
        <v>-7723.1951750751323</v>
      </c>
      <c r="V486" s="52">
        <f t="shared" si="154"/>
        <v>-10806.647160272878</v>
      </c>
      <c r="X486" s="6">
        <v>482</v>
      </c>
      <c r="Y486" s="55">
        <v>241</v>
      </c>
      <c r="Z486" s="52">
        <f t="shared" si="168"/>
        <v>127215.80620665489</v>
      </c>
      <c r="AA486" s="52">
        <f t="shared" si="169"/>
        <v>304.75006471813128</v>
      </c>
      <c r="AB486" s="52">
        <f t="shared" si="170"/>
        <v>1452.4161291387031</v>
      </c>
      <c r="AC486" s="52">
        <f t="shared" si="171"/>
        <v>1181.1628990846493</v>
      </c>
      <c r="AD486" s="52">
        <f t="shared" si="155"/>
        <v>-81.9806730388771</v>
      </c>
      <c r="AE486" s="52">
        <f t="shared" si="156"/>
        <v>0.16758525808222302</v>
      </c>
      <c r="AF486" s="52">
        <f t="shared" si="157"/>
        <v>-44.661806365478981</v>
      </c>
      <c r="AG486" s="52">
        <f t="shared" si="158"/>
        <v>2.9972526508021309</v>
      </c>
      <c r="AH486" s="52">
        <f t="shared" si="159"/>
        <v>-8.2053985802183664</v>
      </c>
      <c r="AI486" s="52">
        <f t="shared" si="160"/>
        <v>0.54038619971384472</v>
      </c>
      <c r="AJ486" s="52">
        <f t="shared" si="161"/>
        <v>-29.113468093179755</v>
      </c>
      <c r="AK486" s="52">
        <f t="shared" si="162"/>
        <v>-3.3700535924337527</v>
      </c>
      <c r="AM486" s="52">
        <f t="shared" si="163"/>
        <v>107456.9714917285</v>
      </c>
      <c r="AN486" s="57">
        <f t="shared" si="164"/>
        <v>147534.7127573133</v>
      </c>
      <c r="AO486" s="57">
        <f t="shared" si="165"/>
        <v>133098.66560345076</v>
      </c>
    </row>
    <row r="487" spans="12:41" x14ac:dyDescent="0.25">
      <c r="L487" s="6">
        <v>484</v>
      </c>
      <c r="M487" s="52">
        <f t="shared" si="151"/>
        <v>17204.035482646264</v>
      </c>
      <c r="N487" s="52">
        <f t="shared" si="152"/>
        <v>11645.187862775208</v>
      </c>
      <c r="P487" s="6">
        <v>484</v>
      </c>
      <c r="Q487" s="52">
        <f t="shared" si="166"/>
        <v>-21957.175162147614</v>
      </c>
      <c r="R487" s="52">
        <f t="shared" si="167"/>
        <v>12901.631503942646</v>
      </c>
      <c r="T487" s="6">
        <v>484</v>
      </c>
      <c r="U487" s="52">
        <f t="shared" si="153"/>
        <v>-7795.9645173537347</v>
      </c>
      <c r="V487" s="52">
        <f t="shared" si="154"/>
        <v>-10854.812137224792</v>
      </c>
      <c r="X487" s="6">
        <v>483</v>
      </c>
      <c r="Y487" s="55">
        <v>241.5</v>
      </c>
      <c r="Z487" s="52">
        <f t="shared" si="168"/>
        <v>127931.76668709438</v>
      </c>
      <c r="AA487" s="52">
        <f t="shared" si="169"/>
        <v>895.3524624177162</v>
      </c>
      <c r="AB487" s="52">
        <f t="shared" si="170"/>
        <v>1411.4257926192645</v>
      </c>
      <c r="AC487" s="52">
        <f t="shared" si="171"/>
        <v>1181.2466917136903</v>
      </c>
      <c r="AD487" s="52">
        <f t="shared" si="155"/>
        <v>-81.026680130221706</v>
      </c>
      <c r="AE487" s="52">
        <f t="shared" si="156"/>
        <v>-0.2387137524067775</v>
      </c>
      <c r="AF487" s="52">
        <f t="shared" si="157"/>
        <v>-44.128347832614992</v>
      </c>
      <c r="AG487" s="52">
        <f t="shared" si="158"/>
        <v>2.7003373779214224</v>
      </c>
      <c r="AH487" s="52">
        <f t="shared" si="159"/>
        <v>-8.1330861601186157</v>
      </c>
      <c r="AI487" s="52">
        <f t="shared" si="160"/>
        <v>0.50056106635498299</v>
      </c>
      <c r="AJ487" s="52">
        <f t="shared" si="161"/>
        <v>-28.765246137488095</v>
      </c>
      <c r="AK487" s="52">
        <f t="shared" si="162"/>
        <v>-3.439612196683183</v>
      </c>
      <c r="AM487" s="52">
        <f t="shared" si="163"/>
        <v>108133.65632074534</v>
      </c>
      <c r="AN487" s="57">
        <f t="shared" si="164"/>
        <v>148211.68038298644</v>
      </c>
      <c r="AO487" s="57">
        <f t="shared" si="165"/>
        <v>133878.73925480692</v>
      </c>
    </row>
    <row r="488" spans="12:41" x14ac:dyDescent="0.25">
      <c r="L488" s="6">
        <v>485</v>
      </c>
      <c r="M488" s="52">
        <f t="shared" si="151"/>
        <v>17132.117818244773</v>
      </c>
      <c r="N488" s="52">
        <f t="shared" si="152"/>
        <v>11595.760221444962</v>
      </c>
      <c r="P488" s="6">
        <v>485</v>
      </c>
      <c r="Q488" s="52">
        <f t="shared" si="166"/>
        <v>-22007.517527228658</v>
      </c>
      <c r="R488" s="52">
        <f t="shared" si="167"/>
        <v>12867.032155011473</v>
      </c>
      <c r="T488" s="6">
        <v>485</v>
      </c>
      <c r="U488" s="52">
        <f t="shared" si="153"/>
        <v>-7867.8821817552262</v>
      </c>
      <c r="V488" s="52">
        <f t="shared" si="154"/>
        <v>-10904.239778555038</v>
      </c>
      <c r="X488" s="6">
        <v>484</v>
      </c>
      <c r="Y488" s="55">
        <v>242</v>
      </c>
      <c r="Z488" s="52">
        <f t="shared" si="168"/>
        <v>128627.35124838773</v>
      </c>
      <c r="AA488" s="52">
        <f t="shared" si="169"/>
        <v>1485.9459690555104</v>
      </c>
      <c r="AB488" s="52">
        <f t="shared" si="170"/>
        <v>1370.9124525541536</v>
      </c>
      <c r="AC488" s="52">
        <f t="shared" si="171"/>
        <v>1181.1273348374868</v>
      </c>
      <c r="AD488" s="52">
        <f t="shared" si="155"/>
        <v>-80.109902309244148</v>
      </c>
      <c r="AE488" s="52">
        <f t="shared" si="156"/>
        <v>-0.63086238191515953</v>
      </c>
      <c r="AF488" s="52">
        <f t="shared" si="157"/>
        <v>-43.615992654599495</v>
      </c>
      <c r="AG488" s="52">
        <f t="shared" si="158"/>
        <v>2.414759574117229</v>
      </c>
      <c r="AH488" s="52">
        <f t="shared" si="159"/>
        <v>-8.0634767998627979</v>
      </c>
      <c r="AI488" s="52">
        <f t="shared" si="160"/>
        <v>0.46191280793644607</v>
      </c>
      <c r="AJ488" s="52">
        <f t="shared" si="161"/>
        <v>-28.430432854781849</v>
      </c>
      <c r="AK488" s="52">
        <f t="shared" si="162"/>
        <v>-3.5075347639688346</v>
      </c>
      <c r="AM488" s="52">
        <f t="shared" si="163"/>
        <v>108793.70517234773</v>
      </c>
      <c r="AN488" s="57">
        <f t="shared" si="164"/>
        <v>148871.01348198534</v>
      </c>
      <c r="AO488" s="57">
        <f t="shared" si="165"/>
        <v>134640.4672308983</v>
      </c>
    </row>
    <row r="489" spans="12:41" x14ac:dyDescent="0.25">
      <c r="L489" s="6">
        <v>486</v>
      </c>
      <c r="M489" s="52">
        <f t="shared" si="151"/>
        <v>17061.073738537634</v>
      </c>
      <c r="N489" s="52">
        <f t="shared" si="152"/>
        <v>11545.084971874738</v>
      </c>
      <c r="P489" s="6">
        <v>486</v>
      </c>
      <c r="Q489" s="52">
        <f t="shared" si="166"/>
        <v>-22057.248383023656</v>
      </c>
      <c r="R489" s="52">
        <f t="shared" si="167"/>
        <v>12831.559480312317</v>
      </c>
      <c r="T489" s="6">
        <v>486</v>
      </c>
      <c r="U489" s="52">
        <f t="shared" si="153"/>
        <v>-7938.926261462364</v>
      </c>
      <c r="V489" s="52">
        <f t="shared" si="154"/>
        <v>-10954.915028125262</v>
      </c>
      <c r="X489" s="6">
        <v>485</v>
      </c>
      <c r="Y489" s="55">
        <v>242.5</v>
      </c>
      <c r="Z489" s="52">
        <f t="shared" si="168"/>
        <v>129302.79373687615</v>
      </c>
      <c r="AA489" s="52">
        <f t="shared" si="169"/>
        <v>2076.4307786765144</v>
      </c>
      <c r="AB489" s="52">
        <f t="shared" si="170"/>
        <v>1330.8575013995314</v>
      </c>
      <c r="AC489" s="52">
        <f t="shared" si="171"/>
        <v>1180.8119036465293</v>
      </c>
      <c r="AD489" s="52">
        <f t="shared" si="155"/>
        <v>-79.228731380451933</v>
      </c>
      <c r="AE489" s="52">
        <f t="shared" si="156"/>
        <v>-1.0097834077909069</v>
      </c>
      <c r="AF489" s="52">
        <f t="shared" si="157"/>
        <v>-43.123837691181222</v>
      </c>
      <c r="AG489" s="52">
        <f t="shared" si="158"/>
        <v>2.1397908581391807</v>
      </c>
      <c r="AH489" s="52">
        <f t="shared" si="159"/>
        <v>-7.99646962842119</v>
      </c>
      <c r="AI489" s="52">
        <f t="shared" si="160"/>
        <v>0.42437639002703276</v>
      </c>
      <c r="AJ489" s="52">
        <f t="shared" si="161"/>
        <v>-28.108424060849529</v>
      </c>
      <c r="AK489" s="52">
        <f t="shared" si="162"/>
        <v>-3.5739506559571201</v>
      </c>
      <c r="AM489" s="52">
        <f t="shared" si="163"/>
        <v>109437.26888854902</v>
      </c>
      <c r="AN489" s="57">
        <f t="shared" si="164"/>
        <v>149512.89966702301</v>
      </c>
      <c r="AO489" s="57">
        <f t="shared" si="165"/>
        <v>135384.06440075891</v>
      </c>
    </row>
    <row r="490" spans="12:41" x14ac:dyDescent="0.25">
      <c r="L490" s="6">
        <v>487</v>
      </c>
      <c r="M490" s="52">
        <f t="shared" si="151"/>
        <v>16990.924884239765</v>
      </c>
      <c r="N490" s="52">
        <f t="shared" si="152"/>
        <v>11493.177550236469</v>
      </c>
      <c r="P490" s="6">
        <v>487</v>
      </c>
      <c r="Q490" s="52">
        <f t="shared" si="166"/>
        <v>-22106.352581032166</v>
      </c>
      <c r="R490" s="52">
        <f t="shared" si="167"/>
        <v>12795.224285165528</v>
      </c>
      <c r="T490" s="6">
        <v>487</v>
      </c>
      <c r="U490" s="52">
        <f t="shared" si="153"/>
        <v>-8009.0751157602353</v>
      </c>
      <c r="V490" s="52">
        <f t="shared" si="154"/>
        <v>-11006.822449763531</v>
      </c>
      <c r="X490" s="6">
        <v>486</v>
      </c>
      <c r="Y490" s="55">
        <v>243</v>
      </c>
      <c r="Z490" s="52">
        <f t="shared" si="168"/>
        <v>129958.31889615336</v>
      </c>
      <c r="AA490" s="52">
        <f t="shared" si="169"/>
        <v>2666.7105075738054</v>
      </c>
      <c r="AB490" s="52">
        <f t="shared" si="170"/>
        <v>1291.2431357093055</v>
      </c>
      <c r="AC490" s="52">
        <f t="shared" si="171"/>
        <v>1180.3070119426338</v>
      </c>
      <c r="AD490" s="52">
        <f t="shared" si="155"/>
        <v>-78.381657759036315</v>
      </c>
      <c r="AE490" s="52">
        <f t="shared" si="156"/>
        <v>-1.3763364331756596</v>
      </c>
      <c r="AF490" s="52">
        <f t="shared" si="157"/>
        <v>-42.651034448644396</v>
      </c>
      <c r="AG490" s="52">
        <f t="shared" si="158"/>
        <v>1.8747539859756088</v>
      </c>
      <c r="AH490" s="52">
        <f t="shared" si="159"/>
        <v>-7.9319696179277281</v>
      </c>
      <c r="AI490" s="52">
        <f t="shared" si="160"/>
        <v>0.38789064775842391</v>
      </c>
      <c r="AJ490" s="52">
        <f t="shared" si="161"/>
        <v>-27.798653692464196</v>
      </c>
      <c r="AK490" s="52">
        <f t="shared" si="162"/>
        <v>-3.6389810669096923</v>
      </c>
      <c r="AM490" s="52">
        <f t="shared" si="163"/>
        <v>110064.49282936689</v>
      </c>
      <c r="AN490" s="57">
        <f t="shared" si="164"/>
        <v>150137.51876509801</v>
      </c>
      <c r="AO490" s="57">
        <f t="shared" si="165"/>
        <v>136109.73697511229</v>
      </c>
    </row>
    <row r="491" spans="12:41" x14ac:dyDescent="0.25">
      <c r="L491" s="6">
        <v>488</v>
      </c>
      <c r="M491" s="52">
        <f t="shared" si="151"/>
        <v>16921.692623371709</v>
      </c>
      <c r="N491" s="52">
        <f t="shared" si="152"/>
        <v>11440.053768033613</v>
      </c>
      <c r="P491" s="6">
        <v>488</v>
      </c>
      <c r="Q491" s="52">
        <f t="shared" si="166"/>
        <v>-22154.815163639803</v>
      </c>
      <c r="R491" s="52">
        <f t="shared" si="167"/>
        <v>12758.037637623529</v>
      </c>
      <c r="T491" s="6">
        <v>488</v>
      </c>
      <c r="U491" s="52">
        <f t="shared" si="153"/>
        <v>-8078.3073766282887</v>
      </c>
      <c r="V491" s="52">
        <f t="shared" si="154"/>
        <v>-11059.946231966387</v>
      </c>
      <c r="X491" s="6">
        <v>487</v>
      </c>
      <c r="Y491" s="55">
        <v>243.5</v>
      </c>
      <c r="Z491" s="52">
        <f t="shared" si="168"/>
        <v>130594.14275678813</v>
      </c>
      <c r="AA491" s="52">
        <f t="shared" si="169"/>
        <v>3256.6919714909754</v>
      </c>
      <c r="AB491" s="52">
        <f t="shared" si="170"/>
        <v>1252.0523068297873</v>
      </c>
      <c r="AC491" s="52">
        <f t="shared" si="171"/>
        <v>1179.618843726046</v>
      </c>
      <c r="AD491" s="52">
        <f t="shared" si="155"/>
        <v>-77.567263481962328</v>
      </c>
      <c r="AE491" s="52">
        <f t="shared" si="156"/>
        <v>-1.7313232745715026</v>
      </c>
      <c r="AF491" s="52">
        <f t="shared" si="157"/>
        <v>-42.196785323853319</v>
      </c>
      <c r="AG491" s="52">
        <f t="shared" si="158"/>
        <v>1.619018453226253</v>
      </c>
      <c r="AH491" s="52">
        <f t="shared" si="159"/>
        <v>-7.8698871990290939</v>
      </c>
      <c r="AI491" s="52">
        <f t="shared" si="160"/>
        <v>0.35239799212098616</v>
      </c>
      <c r="AJ491" s="52">
        <f t="shared" si="161"/>
        <v>-27.500590959079915</v>
      </c>
      <c r="AK491" s="52">
        <f t="shared" si="162"/>
        <v>-3.7027397199187417</v>
      </c>
      <c r="AM491" s="52">
        <f t="shared" si="163"/>
        <v>110675.51705383464</v>
      </c>
      <c r="AN491" s="57">
        <f t="shared" si="164"/>
        <v>150745.04315505447</v>
      </c>
      <c r="AO491" s="57">
        <f t="shared" si="165"/>
        <v>136817.68289110195</v>
      </c>
    </row>
    <row r="492" spans="12:41" x14ac:dyDescent="0.25">
      <c r="L492" s="6">
        <v>489</v>
      </c>
      <c r="M492" s="52">
        <f t="shared" si="151"/>
        <v>16853.398044750815</v>
      </c>
      <c r="N492" s="52">
        <f t="shared" si="152"/>
        <v>11385.729807284853</v>
      </c>
      <c r="P492" s="6">
        <v>489</v>
      </c>
      <c r="Q492" s="52">
        <f t="shared" si="166"/>
        <v>-22202.62136867443</v>
      </c>
      <c r="R492" s="52">
        <f t="shared" si="167"/>
        <v>12720.010865099397</v>
      </c>
      <c r="T492" s="6">
        <v>489</v>
      </c>
      <c r="U492" s="52">
        <f t="shared" si="153"/>
        <v>-8146.6019552491871</v>
      </c>
      <c r="V492" s="52">
        <f t="shared" si="154"/>
        <v>-11114.270192715147</v>
      </c>
      <c r="X492" s="6">
        <v>488</v>
      </c>
      <c r="Y492" s="55">
        <v>244</v>
      </c>
      <c r="Z492" s="52">
        <f t="shared" si="168"/>
        <v>131210.4730022678</v>
      </c>
      <c r="AA492" s="52">
        <f t="shared" si="169"/>
        <v>3846.2849779446769</v>
      </c>
      <c r="AB492" s="52">
        <f t="shared" si="170"/>
        <v>1213.268675088806</v>
      </c>
      <c r="AC492" s="52">
        <f t="shared" si="171"/>
        <v>1178.7531820887602</v>
      </c>
      <c r="AD492" s="52">
        <f t="shared" si="155"/>
        <v>-76.784215807106278</v>
      </c>
      <c r="AE492" s="52">
        <f t="shared" si="156"/>
        <v>-2.0754928358328071</v>
      </c>
      <c r="AF492" s="52">
        <f t="shared" si="157"/>
        <v>-41.76034015198919</v>
      </c>
      <c r="AG492" s="52">
        <f t="shared" si="158"/>
        <v>1.3719965217336281</v>
      </c>
      <c r="AH492" s="52">
        <f t="shared" si="159"/>
        <v>-7.8101379074132913</v>
      </c>
      <c r="AI492" s="52">
        <f t="shared" si="160"/>
        <v>0.31784414142036371</v>
      </c>
      <c r="AJ492" s="52">
        <f t="shared" si="161"/>
        <v>-27.213737747703792</v>
      </c>
      <c r="AK492" s="52">
        <f t="shared" si="162"/>
        <v>-3.765333498986799</v>
      </c>
      <c r="AM492" s="52">
        <f t="shared" si="163"/>
        <v>111270.47649242151</v>
      </c>
      <c r="AN492" s="57">
        <f t="shared" si="164"/>
        <v>151335.63808350704</v>
      </c>
      <c r="AO492" s="57">
        <f t="shared" si="165"/>
        <v>137508.09217268426</v>
      </c>
    </row>
    <row r="493" spans="12:41" x14ac:dyDescent="0.25">
      <c r="L493" s="6">
        <v>490</v>
      </c>
      <c r="M493" s="52">
        <f t="shared" si="151"/>
        <v>16786.061951567306</v>
      </c>
      <c r="N493" s="52">
        <f t="shared" si="152"/>
        <v>11330.222215594895</v>
      </c>
      <c r="P493" s="6">
        <v>490</v>
      </c>
      <c r="Q493" s="52">
        <f t="shared" si="166"/>
        <v>-22249.756633902885</v>
      </c>
      <c r="R493" s="52">
        <f t="shared" si="167"/>
        <v>12681.155550916426</v>
      </c>
      <c r="T493" s="6">
        <v>490</v>
      </c>
      <c r="U493" s="52">
        <f t="shared" si="153"/>
        <v>-8213.9380484326921</v>
      </c>
      <c r="V493" s="52">
        <f t="shared" si="154"/>
        <v>-11169.777784405105</v>
      </c>
      <c r="X493" s="6">
        <v>489</v>
      </c>
      <c r="Y493" s="55">
        <v>244.5</v>
      </c>
      <c r="Z493" s="52">
        <f t="shared" si="168"/>
        <v>131807.50931283631</v>
      </c>
      <c r="AA493" s="52">
        <f t="shared" si="169"/>
        <v>4435.4021323845782</v>
      </c>
      <c r="AB493" s="52">
        <f t="shared" si="170"/>
        <v>1174.876567185253</v>
      </c>
      <c r="AC493" s="52">
        <f t="shared" si="171"/>
        <v>1177.7154356708438</v>
      </c>
      <c r="AD493" s="52">
        <f t="shared" si="155"/>
        <v>-76.031261344869677</v>
      </c>
      <c r="AE493" s="52">
        <f t="shared" si="156"/>
        <v>-2.4095455241434935</v>
      </c>
      <c r="AF493" s="52">
        <f t="shared" si="157"/>
        <v>-41.340993030898211</v>
      </c>
      <c r="AG493" s="52">
        <f t="shared" si="158"/>
        <v>1.133139624218866</v>
      </c>
      <c r="AH493" s="52">
        <f t="shared" si="159"/>
        <v>-7.7526420586597409</v>
      </c>
      <c r="AI493" s="52">
        <f t="shared" si="160"/>
        <v>0.2841778754113044</v>
      </c>
      <c r="AJ493" s="52">
        <f t="shared" si="161"/>
        <v>-26.937626255311731</v>
      </c>
      <c r="AK493" s="52">
        <f t="shared" si="162"/>
        <v>-3.8268630237736638</v>
      </c>
      <c r="AM493" s="52">
        <f t="shared" si="163"/>
        <v>111849.5011112261</v>
      </c>
      <c r="AN493" s="57">
        <f t="shared" si="164"/>
        <v>151909.46196071905</v>
      </c>
      <c r="AO493" s="57">
        <f t="shared" si="165"/>
        <v>138181.14726846528</v>
      </c>
    </row>
    <row r="494" spans="12:41" x14ac:dyDescent="0.25">
      <c r="L494" s="6">
        <v>491</v>
      </c>
      <c r="M494" s="52">
        <f t="shared" si="151"/>
        <v>16719.704855047465</v>
      </c>
      <c r="N494" s="52">
        <f t="shared" si="152"/>
        <v>11273.547901113861</v>
      </c>
      <c r="P494" s="6">
        <v>491</v>
      </c>
      <c r="Q494" s="52">
        <f t="shared" si="166"/>
        <v>-22296.206601466773</v>
      </c>
      <c r="R494" s="52">
        <f t="shared" si="167"/>
        <v>12641.483530779704</v>
      </c>
      <c r="T494" s="6">
        <v>491</v>
      </c>
      <c r="U494" s="52">
        <f t="shared" si="153"/>
        <v>-8280.2951449525353</v>
      </c>
      <c r="V494" s="52">
        <f t="shared" si="154"/>
        <v>-11226.452098886139</v>
      </c>
      <c r="X494" s="6">
        <v>490</v>
      </c>
      <c r="Y494" s="55">
        <v>245</v>
      </c>
      <c r="Z494" s="52">
        <f t="shared" si="168"/>
        <v>132385.44368876083</v>
      </c>
      <c r="AA494" s="52">
        <f t="shared" si="169"/>
        <v>5023.9586570294823</v>
      </c>
      <c r="AB494" s="52">
        <f t="shared" si="170"/>
        <v>1136.8609365128182</v>
      </c>
      <c r="AC494" s="52">
        <f t="shared" si="171"/>
        <v>1176.510662908772</v>
      </c>
      <c r="AD494" s="52">
        <f t="shared" si="155"/>
        <v>-75.307220672578666</v>
      </c>
      <c r="AE494" s="52">
        <f t="shared" si="156"/>
        <v>-2.7341372569262279</v>
      </c>
      <c r="AF494" s="52">
        <f t="shared" si="157"/>
        <v>-40.938079397626367</v>
      </c>
      <c r="AG494" s="52">
        <f t="shared" si="158"/>
        <v>0.90193510621402184</v>
      </c>
      <c r="AH494" s="52">
        <f t="shared" si="159"/>
        <v>-7.6973244488498311</v>
      </c>
      <c r="AI494" s="52">
        <f t="shared" si="160"/>
        <v>0.25135080989733327</v>
      </c>
      <c r="AJ494" s="52">
        <f t="shared" si="161"/>
        <v>-26.671816826102457</v>
      </c>
      <c r="AK494" s="52">
        <f t="shared" si="162"/>
        <v>-3.887423173037583</v>
      </c>
      <c r="AM494" s="52">
        <f t="shared" si="163"/>
        <v>112412.71606829777</v>
      </c>
      <c r="AN494" s="57">
        <f t="shared" si="164"/>
        <v>152466.66663788335</v>
      </c>
      <c r="AO494" s="57">
        <f t="shared" si="165"/>
        <v>138837.02336861051</v>
      </c>
    </row>
    <row r="495" spans="12:41" x14ac:dyDescent="0.25">
      <c r="L495" s="6">
        <v>492</v>
      </c>
      <c r="M495" s="52">
        <f t="shared" si="151"/>
        <v>16654.346968205708</v>
      </c>
      <c r="N495" s="52">
        <f t="shared" si="152"/>
        <v>11215.724127386969</v>
      </c>
      <c r="P495" s="6">
        <v>492</v>
      </c>
      <c r="Q495" s="52">
        <f t="shared" si="166"/>
        <v>-22341.957122256004</v>
      </c>
      <c r="R495" s="52">
        <f t="shared" si="167"/>
        <v>12601.00688917088</v>
      </c>
      <c r="T495" s="6">
        <v>492</v>
      </c>
      <c r="U495" s="52">
        <f t="shared" si="153"/>
        <v>-8345.6530317942925</v>
      </c>
      <c r="V495" s="52">
        <f t="shared" si="154"/>
        <v>-11284.275872613031</v>
      </c>
      <c r="X495" s="6">
        <v>491</v>
      </c>
      <c r="Y495" s="55">
        <v>245.5</v>
      </c>
      <c r="Z495" s="52">
        <f t="shared" si="168"/>
        <v>132944.46075443318</v>
      </c>
      <c r="AA495" s="52">
        <f t="shared" si="169"/>
        <v>5611.872221326752</v>
      </c>
      <c r="AB495" s="52">
        <f t="shared" si="170"/>
        <v>1099.2073261765288</v>
      </c>
      <c r="AC495" s="52">
        <f t="shared" si="171"/>
        <v>1175.1435942803089</v>
      </c>
      <c r="AD495" s="52">
        <f t="shared" si="155"/>
        <v>-74.610983387142895</v>
      </c>
      <c r="AE495" s="52">
        <f t="shared" si="156"/>
        <v>-3.0498831028777134</v>
      </c>
      <c r="AF495" s="52">
        <f t="shared" si="157"/>
        <v>-40.550973335069074</v>
      </c>
      <c r="AG495" s="52">
        <f t="shared" si="158"/>
        <v>0.67790326940116741</v>
      </c>
      <c r="AH495" s="52">
        <f t="shared" si="159"/>
        <v>-7.6441140786431401</v>
      </c>
      <c r="AI495" s="52">
        <f t="shared" si="160"/>
        <v>0.2193171898242085</v>
      </c>
      <c r="AJ495" s="52">
        <f t="shared" si="161"/>
        <v>-26.415895973430679</v>
      </c>
      <c r="AK495" s="52">
        <f t="shared" si="162"/>
        <v>-3.9471035621030892</v>
      </c>
      <c r="AM495" s="52">
        <f t="shared" si="163"/>
        <v>112960.24186242829</v>
      </c>
      <c r="AN495" s="57">
        <f t="shared" si="164"/>
        <v>153007.3976671269</v>
      </c>
      <c r="AO495" s="57">
        <f t="shared" si="165"/>
        <v>139475.88870231176</v>
      </c>
    </row>
    <row r="496" spans="12:41" x14ac:dyDescent="0.25">
      <c r="L496" s="6">
        <v>493</v>
      </c>
      <c r="M496" s="52">
        <f t="shared" si="151"/>
        <v>16590.008199687505</v>
      </c>
      <c r="N496" s="52">
        <f t="shared" si="152"/>
        <v>11156.768508095849</v>
      </c>
      <c r="P496" s="6">
        <v>493</v>
      </c>
      <c r="Q496" s="52">
        <f t="shared" si="166"/>
        <v>-22386.994260218748</v>
      </c>
      <c r="R496" s="52">
        <f t="shared" si="167"/>
        <v>12559.737955667095</v>
      </c>
      <c r="T496" s="6">
        <v>493</v>
      </c>
      <c r="U496" s="52">
        <f t="shared" si="153"/>
        <v>-8409.9918003124949</v>
      </c>
      <c r="V496" s="52">
        <f t="shared" si="154"/>
        <v>-11343.231491904151</v>
      </c>
      <c r="X496" s="6">
        <v>492</v>
      </c>
      <c r="Y496" s="55">
        <v>246</v>
      </c>
      <c r="Z496" s="52">
        <f t="shared" si="168"/>
        <v>133484.73804459805</v>
      </c>
      <c r="AA496" s="52">
        <f t="shared" si="169"/>
        <v>6199.0627830790472</v>
      </c>
      <c r="AB496" s="52">
        <f t="shared" si="170"/>
        <v>1061.9018344829574</v>
      </c>
      <c r="AC496" s="52">
        <f t="shared" si="171"/>
        <v>1173.6186527288701</v>
      </c>
      <c r="AD496" s="52">
        <f t="shared" si="155"/>
        <v>-73.941503556059061</v>
      </c>
      <c r="AE496" s="52">
        <f t="shared" si="156"/>
        <v>-3.357360595312239</v>
      </c>
      <c r="AF496" s="52">
        <f t="shared" si="157"/>
        <v>-40.179085088806282</v>
      </c>
      <c r="AG496" s="52">
        <f t="shared" si="158"/>
        <v>0.46059468466429532</v>
      </c>
      <c r="AH496" s="52">
        <f t="shared" si="159"/>
        <v>-7.5929438987569</v>
      </c>
      <c r="AI496" s="52">
        <f t="shared" si="160"/>
        <v>0.18803369910558823</v>
      </c>
      <c r="AJ496" s="52">
        <f t="shared" si="161"/>
        <v>-26.169474568495875</v>
      </c>
      <c r="AK496" s="52">
        <f t="shared" si="162"/>
        <v>-4.0059889790821224</v>
      </c>
      <c r="AM496" s="52">
        <f t="shared" si="163"/>
        <v>113492.19447474531</v>
      </c>
      <c r="AN496" s="57">
        <f t="shared" si="164"/>
        <v>153531.79454544868</v>
      </c>
      <c r="AO496" s="57">
        <f t="shared" si="165"/>
        <v>140097.90481717375</v>
      </c>
    </row>
    <row r="497" spans="12:41" x14ac:dyDescent="0.25">
      <c r="L497" s="6">
        <v>494</v>
      </c>
      <c r="M497" s="52">
        <f t="shared" si="151"/>
        <v>16526.708147705016</v>
      </c>
      <c r="N497" s="52">
        <f t="shared" si="152"/>
        <v>11096.699001693256</v>
      </c>
      <c r="P497" s="6">
        <v>494</v>
      </c>
      <c r="Q497" s="52">
        <f t="shared" si="166"/>
        <v>-22431.30429660649</v>
      </c>
      <c r="R497" s="52">
        <f t="shared" si="167"/>
        <v>12517.689301185279</v>
      </c>
      <c r="T497" s="6">
        <v>494</v>
      </c>
      <c r="U497" s="52">
        <f t="shared" si="153"/>
        <v>-8473.2918522949858</v>
      </c>
      <c r="V497" s="52">
        <f t="shared" si="154"/>
        <v>-11403.300998306744</v>
      </c>
      <c r="X497" s="6">
        <v>493</v>
      </c>
      <c r="Y497" s="55">
        <v>246.5</v>
      </c>
      <c r="Z497" s="52">
        <f t="shared" si="168"/>
        <v>134006.44627389504</v>
      </c>
      <c r="AA497" s="52">
        <f t="shared" si="169"/>
        <v>6785.4524393690681</v>
      </c>
      <c r="AB497" s="52">
        <f t="shared" si="170"/>
        <v>1024.9310827049278</v>
      </c>
      <c r="AC497" s="52">
        <f t="shared" si="171"/>
        <v>1171.9399724312138</v>
      </c>
      <c r="AD497" s="52">
        <f t="shared" si="155"/>
        <v>-73.297795530911884</v>
      </c>
      <c r="AE497" s="52">
        <f t="shared" si="156"/>
        <v>-3.6571127516224906</v>
      </c>
      <c r="AF497" s="52">
        <f t="shared" si="157"/>
        <v>-39.821858776090203</v>
      </c>
      <c r="AG497" s="52">
        <f t="shared" si="158"/>
        <v>0.24958774681813939</v>
      </c>
      <c r="AH497" s="52">
        <f t="shared" si="159"/>
        <v>-7.5437505749953466</v>
      </c>
      <c r="AI497" s="52">
        <f t="shared" si="160"/>
        <v>0.15745928560504646</v>
      </c>
      <c r="AJ497" s="52">
        <f t="shared" si="161"/>
        <v>-25.932186179826328</v>
      </c>
      <c r="AK497" s="52">
        <f t="shared" si="162"/>
        <v>-4.0641597840456765</v>
      </c>
      <c r="AM497" s="52">
        <f t="shared" si="163"/>
        <v>114008.68550342522</v>
      </c>
      <c r="AN497" s="57">
        <f t="shared" si="164"/>
        <v>154039.99094369513</v>
      </c>
      <c r="AO497" s="57">
        <f t="shared" si="165"/>
        <v>140703.22684176537</v>
      </c>
    </row>
    <row r="498" spans="12:41" x14ac:dyDescent="0.25">
      <c r="L498" s="6">
        <v>495</v>
      </c>
      <c r="M498" s="52">
        <f t="shared" si="151"/>
        <v>16464.466094067262</v>
      </c>
      <c r="N498" s="52">
        <f t="shared" si="152"/>
        <v>11035.533905932736</v>
      </c>
      <c r="P498" s="6">
        <v>495</v>
      </c>
      <c r="Q498" s="52">
        <f t="shared" si="166"/>
        <v>-22474.873734152919</v>
      </c>
      <c r="R498" s="52">
        <f t="shared" si="167"/>
        <v>12474.873734152916</v>
      </c>
      <c r="T498" s="6">
        <v>495</v>
      </c>
      <c r="U498" s="52">
        <f t="shared" si="153"/>
        <v>-8535.5339059327398</v>
      </c>
      <c r="V498" s="52">
        <f t="shared" si="154"/>
        <v>-11464.466094067264</v>
      </c>
      <c r="X498" s="6">
        <v>494</v>
      </c>
      <c r="Y498" s="55">
        <v>247</v>
      </c>
      <c r="Z498" s="52">
        <f t="shared" si="168"/>
        <v>134509.74959080614</v>
      </c>
      <c r="AA498" s="52">
        <f t="shared" si="169"/>
        <v>7370.9652864907221</v>
      </c>
      <c r="AB498" s="52">
        <f t="shared" si="170"/>
        <v>988.2821849394719</v>
      </c>
      <c r="AC498" s="52">
        <f t="shared" si="171"/>
        <v>1170.1114160554025</v>
      </c>
      <c r="AD498" s="52">
        <f t="shared" si="155"/>
        <v>-72.678930091146043</v>
      </c>
      <c r="AE498" s="52">
        <f t="shared" si="156"/>
        <v>-3.9496508288416314</v>
      </c>
      <c r="AF498" s="52">
        <f t="shared" si="157"/>
        <v>-39.478770270670601</v>
      </c>
      <c r="AG498" s="52">
        <f t="shared" si="158"/>
        <v>4.4486446174043355E-2</v>
      </c>
      <c r="AH498" s="52">
        <f t="shared" si="159"/>
        <v>-7.4964742711598396</v>
      </c>
      <c r="AI498" s="52">
        <f t="shared" si="160"/>
        <v>0.12755499986248831</v>
      </c>
      <c r="AJ498" s="52">
        <f t="shared" si="161"/>
        <v>-25.703685549315605</v>
      </c>
      <c r="AK498" s="52">
        <f t="shared" si="162"/>
        <v>-4.1216922748781633</v>
      </c>
      <c r="AM498" s="52">
        <f t="shared" si="163"/>
        <v>114509.8222918297</v>
      </c>
      <c r="AN498" s="57">
        <f t="shared" si="164"/>
        <v>154532.11492158662</v>
      </c>
      <c r="AO498" s="57">
        <f t="shared" si="165"/>
        <v>141292.00373247883</v>
      </c>
    </row>
    <row r="499" spans="12:41" x14ac:dyDescent="0.25">
      <c r="L499" s="6">
        <v>496</v>
      </c>
      <c r="M499" s="52">
        <f t="shared" si="151"/>
        <v>16403.300998306746</v>
      </c>
      <c r="N499" s="52">
        <f t="shared" si="152"/>
        <v>10973.291852294988</v>
      </c>
      <c r="P499" s="6">
        <v>496</v>
      </c>
      <c r="Q499" s="52">
        <f t="shared" si="166"/>
        <v>-22517.689301185277</v>
      </c>
      <c r="R499" s="52">
        <f t="shared" si="167"/>
        <v>12431.304296606491</v>
      </c>
      <c r="T499" s="6">
        <v>496</v>
      </c>
      <c r="U499" s="52">
        <f t="shared" si="153"/>
        <v>-8596.6990016932541</v>
      </c>
      <c r="V499" s="52">
        <f t="shared" si="154"/>
        <v>-11526.708147705012</v>
      </c>
      <c r="X499" s="6">
        <v>495</v>
      </c>
      <c r="Y499" s="55">
        <v>247.5</v>
      </c>
      <c r="Z499" s="52">
        <f t="shared" si="168"/>
        <v>134994.80581701448</v>
      </c>
      <c r="AA499" s="52">
        <f t="shared" si="169"/>
        <v>7955.5272881648179</v>
      </c>
      <c r="AB499" s="52">
        <f t="shared" si="170"/>
        <v>951.94271989389892</v>
      </c>
      <c r="AC499" s="52">
        <f t="shared" si="171"/>
        <v>1168.1365906409817</v>
      </c>
      <c r="AD499" s="52">
        <f t="shared" si="155"/>
        <v>-72.084030889107183</v>
      </c>
      <c r="AE499" s="52">
        <f t="shared" si="156"/>
        <v>-4.235456841942451</v>
      </c>
      <c r="AF499" s="52">
        <f t="shared" si="157"/>
        <v>-39.149325248682636</v>
      </c>
      <c r="AG499" s="52">
        <f t="shared" si="158"/>
        <v>-0.15508166510053106</v>
      </c>
      <c r="AH499" s="52">
        <f t="shared" si="159"/>
        <v>-7.4510584483344289</v>
      </c>
      <c r="AI499" s="52">
        <f t="shared" si="160"/>
        <v>9.8283846298005989E-2</v>
      </c>
      <c r="AJ499" s="52">
        <f t="shared" si="161"/>
        <v>-25.483647192090114</v>
      </c>
      <c r="AK499" s="52">
        <f t="shared" si="162"/>
        <v>-4.1786590231399261</v>
      </c>
      <c r="AM499" s="52">
        <f t="shared" si="163"/>
        <v>114995.70805035782</v>
      </c>
      <c r="AN499" s="57">
        <f t="shared" si="164"/>
        <v>155008.2891297219</v>
      </c>
      <c r="AO499" s="57">
        <f t="shared" si="165"/>
        <v>141864.37850574494</v>
      </c>
    </row>
    <row r="500" spans="12:41" x14ac:dyDescent="0.25">
      <c r="L500" s="6">
        <v>497</v>
      </c>
      <c r="M500" s="52">
        <f t="shared" si="151"/>
        <v>16343.231491904147</v>
      </c>
      <c r="N500" s="52">
        <f t="shared" si="152"/>
        <v>10909.991800312491</v>
      </c>
      <c r="P500" s="6">
        <v>497</v>
      </c>
      <c r="Q500" s="52">
        <f t="shared" si="166"/>
        <v>-22559.737955667097</v>
      </c>
      <c r="R500" s="52">
        <f t="shared" si="167"/>
        <v>12386.994260218744</v>
      </c>
      <c r="T500" s="6">
        <v>497</v>
      </c>
      <c r="U500" s="52">
        <f t="shared" si="153"/>
        <v>-8656.7685080958527</v>
      </c>
      <c r="V500" s="52">
        <f t="shared" si="154"/>
        <v>-11590.008199687509</v>
      </c>
      <c r="X500" s="6">
        <v>496</v>
      </c>
      <c r="Y500" s="55">
        <v>248</v>
      </c>
      <c r="Z500" s="52">
        <f t="shared" si="168"/>
        <v>135461.76667310027</v>
      </c>
      <c r="AA500" s="52">
        <f t="shared" si="169"/>
        <v>8539.066151380066</v>
      </c>
      <c r="AB500" s="52">
        <f t="shared" si="170"/>
        <v>915.90070444934531</v>
      </c>
      <c r="AC500" s="52">
        <f t="shared" si="171"/>
        <v>1166.0188622200105</v>
      </c>
      <c r="AD500" s="52">
        <f t="shared" si="155"/>
        <v>-71.512271170226398</v>
      </c>
      <c r="AE500" s="52">
        <f t="shared" si="156"/>
        <v>-4.5149858685731123</v>
      </c>
      <c r="AF500" s="52">
        <f t="shared" si="157"/>
        <v>-38.833057382207151</v>
      </c>
      <c r="AG500" s="52">
        <f t="shared" si="158"/>
        <v>-0.34946733142142217</v>
      </c>
      <c r="AH500" s="52">
        <f t="shared" si="159"/>
        <v>-7.4074496791888693</v>
      </c>
      <c r="AI500" s="52">
        <f t="shared" si="160"/>
        <v>6.9610645754667078E-2</v>
      </c>
      <c r="AJ500" s="52">
        <f t="shared" si="161"/>
        <v>-25.271764108830371</v>
      </c>
      <c r="AK500" s="52">
        <f t="shared" si="162"/>
        <v>-4.2351291829063573</v>
      </c>
      <c r="AM500" s="52">
        <f t="shared" si="163"/>
        <v>115466.44197229076</v>
      </c>
      <c r="AN500" s="57">
        <f t="shared" si="164"/>
        <v>155468.63099941259</v>
      </c>
      <c r="AO500" s="57">
        <f t="shared" si="165"/>
        <v>142420.4884565683</v>
      </c>
    </row>
    <row r="501" spans="12:41" x14ac:dyDescent="0.25">
      <c r="L501" s="6">
        <v>498</v>
      </c>
      <c r="M501" s="52">
        <f t="shared" si="151"/>
        <v>16284.275872613032</v>
      </c>
      <c r="N501" s="52">
        <f t="shared" si="152"/>
        <v>10845.653031794294</v>
      </c>
      <c r="P501" s="6">
        <v>498</v>
      </c>
      <c r="Q501" s="52">
        <f t="shared" si="166"/>
        <v>-22601.006889170876</v>
      </c>
      <c r="R501" s="52">
        <f t="shared" si="167"/>
        <v>12341.957122256006</v>
      </c>
      <c r="T501" s="6">
        <v>498</v>
      </c>
      <c r="U501" s="52">
        <f t="shared" si="153"/>
        <v>-8715.7241273869677</v>
      </c>
      <c r="V501" s="52">
        <f t="shared" si="154"/>
        <v>-11654.346968205706</v>
      </c>
      <c r="X501" s="6">
        <v>497</v>
      </c>
      <c r="Y501" s="55">
        <v>248.5</v>
      </c>
      <c r="Z501" s="52">
        <f t="shared" si="168"/>
        <v>135910.77799142865</v>
      </c>
      <c r="AA501" s="52">
        <f t="shared" si="169"/>
        <v>9121.5112092564996</v>
      </c>
      <c r="AB501" s="52">
        <f t="shared" si="170"/>
        <v>880.14456886423216</v>
      </c>
      <c r="AC501" s="52">
        <f t="shared" si="171"/>
        <v>1163.761369285724</v>
      </c>
      <c r="AD501" s="52">
        <f t="shared" si="155"/>
        <v>-70.962870744773383</v>
      </c>
      <c r="AE501" s="52">
        <f t="shared" si="156"/>
        <v>-4.7886681613467168</v>
      </c>
      <c r="AF501" s="52">
        <f t="shared" si="157"/>
        <v>-38.529526668361761</v>
      </c>
      <c r="AG501" s="52">
        <f t="shared" si="158"/>
        <v>-0.53900129446733414</v>
      </c>
      <c r="AH501" s="52">
        <f t="shared" si="159"/>
        <v>-7.3655974760719847</v>
      </c>
      <c r="AI501" s="52">
        <f t="shared" si="160"/>
        <v>4.1501908355646738E-2</v>
      </c>
      <c r="AJ501" s="52">
        <f t="shared" si="161"/>
        <v>-25.067746600339635</v>
      </c>
      <c r="AK501" s="52">
        <f t="shared" si="162"/>
        <v>-4.2911687752350289</v>
      </c>
      <c r="AM501" s="52">
        <f t="shared" si="163"/>
        <v>115922.11934389401</v>
      </c>
      <c r="AN501" s="57">
        <f t="shared" si="164"/>
        <v>155913.25292112923</v>
      </c>
      <c r="AO501" s="57">
        <f t="shared" si="165"/>
        <v>142960.46536426767</v>
      </c>
    </row>
    <row r="502" spans="12:41" x14ac:dyDescent="0.25">
      <c r="L502" s="6">
        <v>499</v>
      </c>
      <c r="M502" s="52">
        <f t="shared" si="151"/>
        <v>16226.45209888614</v>
      </c>
      <c r="N502" s="52">
        <f t="shared" si="152"/>
        <v>10780.295144952537</v>
      </c>
      <c r="P502" s="6">
        <v>499</v>
      </c>
      <c r="Q502" s="52">
        <f t="shared" si="166"/>
        <v>-22641.4835307797</v>
      </c>
      <c r="R502" s="52">
        <f t="shared" si="167"/>
        <v>12296.206601466776</v>
      </c>
      <c r="T502" s="6">
        <v>499</v>
      </c>
      <c r="U502" s="52">
        <f t="shared" si="153"/>
        <v>-8773.5479011138596</v>
      </c>
      <c r="V502" s="52">
        <f t="shared" si="154"/>
        <v>-11719.704855047463</v>
      </c>
      <c r="X502" s="6">
        <v>498</v>
      </c>
      <c r="Y502" s="55">
        <v>249</v>
      </c>
      <c r="Z502" s="52">
        <f t="shared" si="168"/>
        <v>136341.97991701768</v>
      </c>
      <c r="AA502" s="52">
        <f t="shared" si="169"/>
        <v>9702.7933103791929</v>
      </c>
      <c r="AB502" s="52">
        <f t="shared" si="170"/>
        <v>844.66313349184543</v>
      </c>
      <c r="AC502" s="52">
        <f t="shared" si="171"/>
        <v>1161.3670352050506</v>
      </c>
      <c r="AD502" s="52">
        <f t="shared" si="155"/>
        <v>-70.43509318989112</v>
      </c>
      <c r="AE502" s="52">
        <f t="shared" si="156"/>
        <v>-5.056911086533896</v>
      </c>
      <c r="AF502" s="52">
        <f t="shared" si="157"/>
        <v>-38.238317882891991</v>
      </c>
      <c r="AG502" s="52">
        <f t="shared" si="158"/>
        <v>-0.72399585164930491</v>
      </c>
      <c r="AH502" s="52">
        <f t="shared" si="159"/>
        <v>-7.3254541317842694</v>
      </c>
      <c r="AI502" s="52">
        <f t="shared" si="160"/>
        <v>1.3925715752303088E-2</v>
      </c>
      <c r="AJ502" s="52">
        <f t="shared" si="161"/>
        <v>-24.871321175214856</v>
      </c>
      <c r="AK502" s="52">
        <f t="shared" si="162"/>
        <v>-4.3468409506368939</v>
      </c>
      <c r="AM502" s="52">
        <f t="shared" si="163"/>
        <v>116362.83164902785</v>
      </c>
      <c r="AN502" s="57">
        <f t="shared" si="164"/>
        <v>156342.26241227775</v>
      </c>
      <c r="AO502" s="57">
        <f t="shared" si="165"/>
        <v>143484.43568623721</v>
      </c>
    </row>
    <row r="503" spans="12:41" x14ac:dyDescent="0.25">
      <c r="L503" s="6">
        <v>500</v>
      </c>
      <c r="M503" s="52">
        <f t="shared" si="151"/>
        <v>16169.777784405114</v>
      </c>
      <c r="N503" s="52">
        <f t="shared" si="152"/>
        <v>10713.938048432701</v>
      </c>
      <c r="P503" s="6">
        <v>500</v>
      </c>
      <c r="Q503" s="52">
        <f t="shared" si="166"/>
        <v>-22681.155550916421</v>
      </c>
      <c r="R503" s="52">
        <f t="shared" si="167"/>
        <v>12249.756633902891</v>
      </c>
      <c r="T503" s="6">
        <v>500</v>
      </c>
      <c r="U503" s="52">
        <f t="shared" si="153"/>
        <v>-8830.2222155948857</v>
      </c>
      <c r="V503" s="52">
        <f t="shared" si="154"/>
        <v>-11786.061951567299</v>
      </c>
      <c r="X503" s="6">
        <v>499</v>
      </c>
      <c r="Y503" s="55">
        <v>249.5</v>
      </c>
      <c r="Z503" s="52">
        <f t="shared" si="168"/>
        <v>136755.50709711487</v>
      </c>
      <c r="AA503" s="52">
        <f t="shared" si="169"/>
        <v>10282.844714095902</v>
      </c>
      <c r="AB503" s="52">
        <f t="shared" si="170"/>
        <v>809.44558689689984</v>
      </c>
      <c r="AC503" s="52">
        <f t="shared" si="171"/>
        <v>1158.8385796617836</v>
      </c>
      <c r="AD503" s="52">
        <f t="shared" si="155"/>
        <v>-69.928243262684617</v>
      </c>
      <c r="AE503" s="52">
        <f t="shared" si="156"/>
        <v>-5.3201009060064717</v>
      </c>
      <c r="AF503" s="52">
        <f t="shared" si="157"/>
        <v>-37.959039148262185</v>
      </c>
      <c r="AG503" s="52">
        <f t="shared" si="158"/>
        <v>-0.90474628625471609</v>
      </c>
      <c r="AH503" s="52">
        <f t="shared" si="159"/>
        <v>-7.2869745720250689</v>
      </c>
      <c r="AI503" s="52">
        <f t="shared" si="160"/>
        <v>-1.3148388070166052E-2</v>
      </c>
      <c r="AJ503" s="52">
        <f t="shared" si="161"/>
        <v>-24.682229542397359</v>
      </c>
      <c r="AK503" s="52">
        <f t="shared" si="162"/>
        <v>-4.4022062316815891</v>
      </c>
      <c r="AM503" s="52">
        <f t="shared" si="163"/>
        <v>116788.66666850518</v>
      </c>
      <c r="AN503" s="57">
        <f t="shared" si="164"/>
        <v>156755.76227496687</v>
      </c>
      <c r="AO503" s="57">
        <f t="shared" si="165"/>
        <v>143992.52074047897</v>
      </c>
    </row>
    <row r="504" spans="12:41" x14ac:dyDescent="0.25">
      <c r="L504" s="6">
        <v>501</v>
      </c>
      <c r="M504" s="52">
        <f t="shared" si="151"/>
        <v>16114.270192715148</v>
      </c>
      <c r="N504" s="52">
        <f t="shared" si="152"/>
        <v>10646.601955249189</v>
      </c>
      <c r="P504" s="6">
        <v>501</v>
      </c>
      <c r="Q504" s="52">
        <f t="shared" si="166"/>
        <v>-22720.010865099397</v>
      </c>
      <c r="R504" s="52">
        <f t="shared" si="167"/>
        <v>12202.621368674432</v>
      </c>
      <c r="T504" s="6">
        <v>501</v>
      </c>
      <c r="U504" s="52">
        <f t="shared" si="153"/>
        <v>-8885.7298072848516</v>
      </c>
      <c r="V504" s="52">
        <f t="shared" si="154"/>
        <v>-11853.398044750811</v>
      </c>
      <c r="X504" s="6">
        <v>500</v>
      </c>
      <c r="Y504" s="55">
        <v>250</v>
      </c>
      <c r="Z504" s="52">
        <f t="shared" si="168"/>
        <v>137151.48886015548</v>
      </c>
      <c r="AA504" s="52">
        <f t="shared" si="169"/>
        <v>10861.598991313544</v>
      </c>
      <c r="AB504" s="52">
        <f t="shared" si="170"/>
        <v>774.48146526555752</v>
      </c>
      <c r="AC504" s="52">
        <f t="shared" si="171"/>
        <v>1156.1785292087804</v>
      </c>
      <c r="AD504" s="52">
        <f t="shared" si="155"/>
        <v>-69.441664506944392</v>
      </c>
      <c r="AE504" s="52">
        <f t="shared" si="156"/>
        <v>-5.5786044175143363</v>
      </c>
      <c r="AF504" s="52">
        <f t="shared" si="157"/>
        <v>-37.691320607141094</v>
      </c>
      <c r="AG504" s="52">
        <f t="shared" si="158"/>
        <v>-1.0815321816821912</v>
      </c>
      <c r="AH504" s="52">
        <f t="shared" si="159"/>
        <v>-7.2501162186025212</v>
      </c>
      <c r="AI504" s="52">
        <f t="shared" si="160"/>
        <v>-3.9749498182690746E-2</v>
      </c>
      <c r="AJ504" s="52">
        <f t="shared" si="161"/>
        <v>-24.500227681200784</v>
      </c>
      <c r="AK504" s="52">
        <f t="shared" si="162"/>
        <v>-4.4573227376494549</v>
      </c>
      <c r="AM504" s="52">
        <f t="shared" si="163"/>
        <v>117199.70857442239</v>
      </c>
      <c r="AN504" s="57">
        <f t="shared" si="164"/>
        <v>157153.85074437535</v>
      </c>
      <c r="AO504" s="57">
        <f t="shared" si="165"/>
        <v>144484.8368775991</v>
      </c>
    </row>
    <row r="505" spans="12:41" x14ac:dyDescent="0.25">
      <c r="L505" s="6">
        <v>502</v>
      </c>
      <c r="M505" s="52">
        <f t="shared" si="151"/>
        <v>16059.946231966391</v>
      </c>
      <c r="N505" s="52">
        <f t="shared" si="152"/>
        <v>10578.307376628291</v>
      </c>
      <c r="P505" s="6">
        <v>502</v>
      </c>
      <c r="Q505" s="52">
        <f t="shared" si="166"/>
        <v>-22758.037637623529</v>
      </c>
      <c r="R505" s="52">
        <f t="shared" si="167"/>
        <v>12154.815163639803</v>
      </c>
      <c r="T505" s="6">
        <v>502</v>
      </c>
      <c r="U505" s="52">
        <f t="shared" si="153"/>
        <v>-8940.0537680336092</v>
      </c>
      <c r="V505" s="52">
        <f t="shared" si="154"/>
        <v>-11921.692623371709</v>
      </c>
      <c r="X505" s="6">
        <v>501</v>
      </c>
      <c r="Y505" s="55">
        <v>250.5</v>
      </c>
      <c r="Z505" s="52">
        <f t="shared" si="168"/>
        <v>137530.0493847249</v>
      </c>
      <c r="AA505" s="52">
        <f t="shared" si="169"/>
        <v>11438.990930365744</v>
      </c>
      <c r="AB505" s="52">
        <f t="shared" si="170"/>
        <v>739.76063301208535</v>
      </c>
      <c r="AC505" s="52">
        <f t="shared" si="171"/>
        <v>1153.3892270000233</v>
      </c>
      <c r="AD505" s="52">
        <f t="shared" si="155"/>
        <v>-68.974737037749577</v>
      </c>
      <c r="AE505" s="52">
        <f t="shared" si="156"/>
        <v>-5.8327704668207678</v>
      </c>
      <c r="AF505" s="52">
        <f t="shared" si="157"/>
        <v>-37.434813193009397</v>
      </c>
      <c r="AG505" s="52">
        <f t="shared" si="158"/>
        <v>-1.2546186308874669</v>
      </c>
      <c r="AH505" s="52">
        <f t="shared" si="159"/>
        <v>-7.2148388625790041</v>
      </c>
      <c r="AI505" s="52">
        <f t="shared" si="160"/>
        <v>-6.5905442979618589E-2</v>
      </c>
      <c r="AJ505" s="52">
        <f t="shared" si="161"/>
        <v>-24.325084982161172</v>
      </c>
      <c r="AK505" s="52">
        <f t="shared" si="162"/>
        <v>-4.5122463929536822</v>
      </c>
      <c r="AM505" s="52">
        <f t="shared" si="163"/>
        <v>117596.03801967725</v>
      </c>
      <c r="AN505" s="57">
        <f t="shared" si="164"/>
        <v>157536.62162827898</v>
      </c>
      <c r="AO505" s="57">
        <f t="shared" si="165"/>
        <v>144961.49564290539</v>
      </c>
    </row>
    <row r="506" spans="12:41" x14ac:dyDescent="0.25">
      <c r="L506" s="6">
        <v>503</v>
      </c>
      <c r="M506" s="52">
        <f t="shared" si="151"/>
        <v>16006.822449763538</v>
      </c>
      <c r="N506" s="52">
        <f t="shared" si="152"/>
        <v>10509.075115760246</v>
      </c>
      <c r="P506" s="6">
        <v>503</v>
      </c>
      <c r="Q506" s="52">
        <f t="shared" si="166"/>
        <v>-22795.224285165525</v>
      </c>
      <c r="R506" s="52">
        <f t="shared" si="167"/>
        <v>12106.352581032172</v>
      </c>
      <c r="T506" s="6">
        <v>503</v>
      </c>
      <c r="U506" s="52">
        <f t="shared" si="153"/>
        <v>-8993.1775502364617</v>
      </c>
      <c r="V506" s="52">
        <f t="shared" si="154"/>
        <v>-11990.924884239754</v>
      </c>
      <c r="X506" s="6">
        <v>502</v>
      </c>
      <c r="Y506" s="55">
        <v>251</v>
      </c>
      <c r="Z506" s="52">
        <f t="shared" si="168"/>
        <v>137891.30785910125</v>
      </c>
      <c r="AA506" s="52">
        <f t="shared" si="169"/>
        <v>12014.956447557402</v>
      </c>
      <c r="AB506" s="52">
        <f t="shared" si="170"/>
        <v>705.2732644932106</v>
      </c>
      <c r="AC506" s="52">
        <f t="shared" si="171"/>
        <v>1150.4728417666129</v>
      </c>
      <c r="AD506" s="52">
        <f t="shared" si="155"/>
        <v>-68.526875489654273</v>
      </c>
      <c r="AE506" s="52">
        <f t="shared" si="156"/>
        <v>-6.082931343838875</v>
      </c>
      <c r="AF506" s="52">
        <f t="shared" si="157"/>
        <v>-37.189187490360908</v>
      </c>
      <c r="AG506" s="52">
        <f t="shared" si="158"/>
        <v>-1.4242573510143952</v>
      </c>
      <c r="AH506" s="52">
        <f t="shared" si="159"/>
        <v>-7.1811045466025343</v>
      </c>
      <c r="AI506" s="52">
        <f t="shared" si="160"/>
        <v>-9.1642871941202242E-2</v>
      </c>
      <c r="AJ506" s="52">
        <f t="shared" si="161"/>
        <v>-24.156583452690835</v>
      </c>
      <c r="AK506" s="52">
        <f t="shared" si="162"/>
        <v>-4.5670311208832777</v>
      </c>
      <c r="AM506" s="52">
        <f t="shared" si="163"/>
        <v>117977.7322228764</v>
      </c>
      <c r="AN506" s="57">
        <f t="shared" si="164"/>
        <v>157904.16443825362</v>
      </c>
      <c r="AO506" s="57">
        <f t="shared" si="165"/>
        <v>145422.60392919619</v>
      </c>
    </row>
    <row r="507" spans="12:41" x14ac:dyDescent="0.25">
      <c r="L507" s="6">
        <v>504</v>
      </c>
      <c r="M507" s="52">
        <f t="shared" si="151"/>
        <v>15954.915028125264</v>
      </c>
      <c r="N507" s="52">
        <f t="shared" si="152"/>
        <v>10438.926261462366</v>
      </c>
      <c r="P507" s="6">
        <v>504</v>
      </c>
      <c r="Q507" s="52">
        <f t="shared" si="166"/>
        <v>-22831.559480312317</v>
      </c>
      <c r="R507" s="52">
        <f t="shared" si="167"/>
        <v>12057.248383023656</v>
      </c>
      <c r="T507" s="6">
        <v>504</v>
      </c>
      <c r="U507" s="52">
        <f t="shared" si="153"/>
        <v>-9045.0849718747359</v>
      </c>
      <c r="V507" s="52">
        <f t="shared" si="154"/>
        <v>-12061.073738537634</v>
      </c>
      <c r="X507" s="6">
        <v>503</v>
      </c>
      <c r="Y507" s="55">
        <v>251.5</v>
      </c>
      <c r="Z507" s="52">
        <f t="shared" si="168"/>
        <v>138235.37863191165</v>
      </c>
      <c r="AA507" s="52">
        <f t="shared" si="169"/>
        <v>12589.432502022728</v>
      </c>
      <c r="AB507" s="52">
        <f t="shared" si="170"/>
        <v>671.00982674838349</v>
      </c>
      <c r="AC507" s="52">
        <f t="shared" si="171"/>
        <v>1147.4313760946934</v>
      </c>
      <c r="AD507" s="52">
        <f t="shared" si="155"/>
        <v>-68.097527115492454</v>
      </c>
      <c r="AE507" s="52">
        <f t="shared" si="156"/>
        <v>-6.3294040736924728</v>
      </c>
      <c r="AF507" s="52">
        <f t="shared" si="157"/>
        <v>-36.95413267763594</v>
      </c>
      <c r="AG507" s="52">
        <f t="shared" si="158"/>
        <v>-1.5906877121706027</v>
      </c>
      <c r="AH507" s="52">
        <f t="shared" si="159"/>
        <v>-7.1488774557404478</v>
      </c>
      <c r="AI507" s="52">
        <f t="shared" si="160"/>
        <v>-0.11698733745209748</v>
      </c>
      <c r="AJ507" s="52">
        <f t="shared" si="161"/>
        <v>-23.994516982116071</v>
      </c>
      <c r="AK507" s="52">
        <f t="shared" si="162"/>
        <v>-4.621729024069773</v>
      </c>
      <c r="AM507" s="52">
        <f t="shared" si="163"/>
        <v>118344.86504882312</v>
      </c>
      <c r="AN507" s="57">
        <f t="shared" si="164"/>
        <v>158256.56451303046</v>
      </c>
      <c r="AO507" s="57">
        <f t="shared" si="165"/>
        <v>145868.26412078386</v>
      </c>
    </row>
    <row r="508" spans="12:41" x14ac:dyDescent="0.25">
      <c r="L508" s="6">
        <v>505</v>
      </c>
      <c r="M508" s="52">
        <f t="shared" si="151"/>
        <v>15904.239778555046</v>
      </c>
      <c r="N508" s="52">
        <f t="shared" si="152"/>
        <v>10367.882181755236</v>
      </c>
      <c r="P508" s="6">
        <v>505</v>
      </c>
      <c r="Q508" s="52">
        <f t="shared" si="166"/>
        <v>-22867.032155011468</v>
      </c>
      <c r="R508" s="52">
        <f t="shared" si="167"/>
        <v>12007.517527228665</v>
      </c>
      <c r="T508" s="6">
        <v>505</v>
      </c>
      <c r="U508" s="52">
        <f t="shared" si="153"/>
        <v>-9095.7602214449544</v>
      </c>
      <c r="V508" s="52">
        <f t="shared" si="154"/>
        <v>-12132.117818244764</v>
      </c>
      <c r="X508" s="6">
        <v>504</v>
      </c>
      <c r="Y508" s="55">
        <v>252</v>
      </c>
      <c r="Z508" s="52">
        <f t="shared" si="168"/>
        <v>138562.3713543964</v>
      </c>
      <c r="AA508" s="52">
        <f t="shared" si="169"/>
        <v>13162.357014560863</v>
      </c>
      <c r="AB508" s="52">
        <f t="shared" si="170"/>
        <v>636.96106319063722</v>
      </c>
      <c r="AC508" s="52">
        <f t="shared" si="171"/>
        <v>1144.2666740578472</v>
      </c>
      <c r="AD508" s="52">
        <f t="shared" si="155"/>
        <v>-67.686170024031185</v>
      </c>
      <c r="AE508" s="52">
        <f t="shared" si="156"/>
        <v>-6.5724916125394124</v>
      </c>
      <c r="AF508" s="52">
        <f t="shared" si="157"/>
        <v>-36.729355546646218</v>
      </c>
      <c r="AG508" s="52">
        <f t="shared" si="158"/>
        <v>-1.7541376884086779</v>
      </c>
      <c r="AH508" s="52">
        <f t="shared" si="159"/>
        <v>-7.1181238161955021</v>
      </c>
      <c r="AI508" s="52">
        <f t="shared" si="160"/>
        <v>-0.14196337118563443</v>
      </c>
      <c r="AJ508" s="52">
        <f t="shared" si="161"/>
        <v>-23.83869066118946</v>
      </c>
      <c r="AK508" s="52">
        <f t="shared" si="162"/>
        <v>-4.6763905529451</v>
      </c>
      <c r="AM508" s="52">
        <f t="shared" si="163"/>
        <v>118697.50708476629</v>
      </c>
      <c r="AN508" s="57">
        <f t="shared" si="164"/>
        <v>158593.90313444287</v>
      </c>
      <c r="AO508" s="57">
        <f t="shared" si="165"/>
        <v>146298.57422925625</v>
      </c>
    </row>
    <row r="509" spans="12:41" x14ac:dyDescent="0.25">
      <c r="L509" s="6">
        <v>506</v>
      </c>
      <c r="M509" s="52">
        <f t="shared" si="151"/>
        <v>15854.812137224793</v>
      </c>
      <c r="N509" s="52">
        <f t="shared" si="152"/>
        <v>10295.964517353737</v>
      </c>
      <c r="P509" s="6">
        <v>506</v>
      </c>
      <c r="Q509" s="52">
        <f t="shared" si="166"/>
        <v>-22901.631503942644</v>
      </c>
      <c r="R509" s="52">
        <f t="shared" si="167"/>
        <v>11957.175162147616</v>
      </c>
      <c r="T509" s="6">
        <v>506</v>
      </c>
      <c r="U509" s="52">
        <f t="shared" si="153"/>
        <v>-9145.1878627752067</v>
      </c>
      <c r="V509" s="52">
        <f t="shared" si="154"/>
        <v>-12204.035482646263</v>
      </c>
      <c r="X509" s="6">
        <v>505</v>
      </c>
      <c r="Y509" s="55">
        <v>252.5</v>
      </c>
      <c r="Z509" s="52">
        <f t="shared" si="168"/>
        <v>138872.39111473871</v>
      </c>
      <c r="AA509" s="52">
        <f t="shared" si="169"/>
        <v>13733.668790138219</v>
      </c>
      <c r="AB509" s="52">
        <f t="shared" si="170"/>
        <v>603.11797817862157</v>
      </c>
      <c r="AC509" s="52">
        <f t="shared" si="171"/>
        <v>1140.9804282515775</v>
      </c>
      <c r="AD509" s="52">
        <f t="shared" si="155"/>
        <v>-67.292311545764449</v>
      </c>
      <c r="AE509" s="52">
        <f t="shared" si="156"/>
        <v>-6.8124839570330185</v>
      </c>
      <c r="AF509" s="52">
        <f t="shared" si="157"/>
        <v>-36.514579592789147</v>
      </c>
      <c r="AG509" s="52">
        <f t="shared" si="158"/>
        <v>-1.9148247381756043</v>
      </c>
      <c r="AH509" s="52">
        <f t="shared" si="159"/>
        <v>-7.0888118013407153</v>
      </c>
      <c r="AI509" s="52">
        <f t="shared" si="160"/>
        <v>-0.16659455551792177</v>
      </c>
      <c r="AJ509" s="52">
        <f t="shared" si="161"/>
        <v>-23.688920151634591</v>
      </c>
      <c r="AK509" s="52">
        <f t="shared" si="162"/>
        <v>-4.7310646633394926</v>
      </c>
      <c r="AM509" s="52">
        <f t="shared" si="163"/>
        <v>119035.72571257989</v>
      </c>
      <c r="AN509" s="57">
        <f t="shared" si="164"/>
        <v>158916.25763636947</v>
      </c>
      <c r="AO509" s="57">
        <f t="shared" si="165"/>
        <v>146713.62802144082</v>
      </c>
    </row>
    <row r="510" spans="12:41" x14ac:dyDescent="0.25">
      <c r="L510" s="6">
        <v>507</v>
      </c>
      <c r="M510" s="52">
        <f t="shared" si="151"/>
        <v>15806.64716027288</v>
      </c>
      <c r="N510" s="52">
        <f t="shared" si="152"/>
        <v>10223.195175075136</v>
      </c>
      <c r="P510" s="6">
        <v>507</v>
      </c>
      <c r="Q510" s="52">
        <f t="shared" si="166"/>
        <v>-22935.346987808985</v>
      </c>
      <c r="R510" s="52">
        <f t="shared" si="167"/>
        <v>11906.236622552595</v>
      </c>
      <c r="T510" s="6">
        <v>507</v>
      </c>
      <c r="U510" s="52">
        <f t="shared" si="153"/>
        <v>-9193.3528397271202</v>
      </c>
      <c r="V510" s="52">
        <f t="shared" si="154"/>
        <v>-12276.804824924864</v>
      </c>
      <c r="X510" s="6">
        <v>506</v>
      </c>
      <c r="Y510" s="55">
        <v>253</v>
      </c>
      <c r="Z510" s="52">
        <f t="shared" si="168"/>
        <v>139165.5385648848</v>
      </c>
      <c r="AA510" s="52">
        <f t="shared" si="169"/>
        <v>14303.307443769378</v>
      </c>
      <c r="AB510" s="52">
        <f t="shared" si="170"/>
        <v>569.47182240573932</v>
      </c>
      <c r="AC510" s="52">
        <f t="shared" si="171"/>
        <v>1137.5741862730608</v>
      </c>
      <c r="AD510" s="52">
        <f t="shared" si="155"/>
        <v>-66.915486717128246</v>
      </c>
      <c r="AE510" s="52">
        <f t="shared" si="156"/>
        <v>-7.0496591754443454</v>
      </c>
      <c r="AF510" s="52">
        <f t="shared" si="157"/>
        <v>-36.309544170863482</v>
      </c>
      <c r="AG510" s="52">
        <f t="shared" si="158"/>
        <v>-2.0729566207851708</v>
      </c>
      <c r="AH510" s="52">
        <f t="shared" si="159"/>
        <v>-7.0609114445575258</v>
      </c>
      <c r="AI510" s="52">
        <f t="shared" si="160"/>
        <v>-0.19090359039481436</v>
      </c>
      <c r="AJ510" s="52">
        <f t="shared" si="161"/>
        <v>-23.545031101707242</v>
      </c>
      <c r="AK510" s="52">
        <f t="shared" si="162"/>
        <v>-4.7857989642643606</v>
      </c>
      <c r="AM510" s="52">
        <f t="shared" si="163"/>
        <v>119359.58517703341</v>
      </c>
      <c r="AN510" s="57">
        <f t="shared" si="164"/>
        <v>159223.70150704772</v>
      </c>
      <c r="AO510" s="57">
        <f t="shared" si="165"/>
        <v>147113.5151400012</v>
      </c>
    </row>
    <row r="511" spans="12:41" x14ac:dyDescent="0.25">
      <c r="L511" s="6">
        <v>508</v>
      </c>
      <c r="M511" s="52">
        <f t="shared" si="151"/>
        <v>15759.759519217869</v>
      </c>
      <c r="N511" s="52">
        <f t="shared" si="152"/>
        <v>10149.596321166022</v>
      </c>
      <c r="P511" s="6">
        <v>508</v>
      </c>
      <c r="Q511" s="52">
        <f t="shared" si="166"/>
        <v>-22968.168336547493</v>
      </c>
      <c r="R511" s="52">
        <f t="shared" si="167"/>
        <v>11854.717424816215</v>
      </c>
      <c r="T511" s="6">
        <v>508</v>
      </c>
      <c r="U511" s="52">
        <f t="shared" si="153"/>
        <v>-9240.2404807821313</v>
      </c>
      <c r="V511" s="52">
        <f t="shared" si="154"/>
        <v>-12350.403678833978</v>
      </c>
      <c r="X511" s="6">
        <v>507</v>
      </c>
      <c r="Y511" s="55">
        <v>253.5</v>
      </c>
      <c r="Z511" s="52">
        <f t="shared" si="168"/>
        <v>139441.91004024804</v>
      </c>
      <c r="AA511" s="52">
        <f t="shared" si="169"/>
        <v>14871.213329508977</v>
      </c>
      <c r="AB511" s="52">
        <f t="shared" si="170"/>
        <v>536.01407904717519</v>
      </c>
      <c r="AC511" s="52">
        <f t="shared" si="171"/>
        <v>1134.0493566853386</v>
      </c>
      <c r="AD511" s="52">
        <f t="shared" si="155"/>
        <v>-66.555256874274988</v>
      </c>
      <c r="AE511" s="52">
        <f t="shared" si="156"/>
        <v>-7.2842843677046059</v>
      </c>
      <c r="AF511" s="52">
        <f t="shared" si="157"/>
        <v>-36.114003711744992</v>
      </c>
      <c r="AG511" s="52">
        <f t="shared" si="158"/>
        <v>-2.2287321548378558</v>
      </c>
      <c r="AH511" s="52">
        <f t="shared" si="159"/>
        <v>-7.034394558411063</v>
      </c>
      <c r="AI511" s="52">
        <f t="shared" si="160"/>
        <v>-0.21491235603805539</v>
      </c>
      <c r="AJ511" s="52">
        <f t="shared" si="161"/>
        <v>-23.406858604118934</v>
      </c>
      <c r="AK511" s="52">
        <f t="shared" si="162"/>
        <v>-4.8406398568286946</v>
      </c>
      <c r="AM511" s="52">
        <f t="shared" si="163"/>
        <v>119669.14665030346</v>
      </c>
      <c r="AN511" s="57">
        <f t="shared" si="164"/>
        <v>159516.30448510314</v>
      </c>
      <c r="AO511" s="57">
        <f t="shared" si="165"/>
        <v>147498.32121706384</v>
      </c>
    </row>
    <row r="512" spans="12:41" x14ac:dyDescent="0.25">
      <c r="L512" s="6">
        <v>509</v>
      </c>
      <c r="M512" s="52">
        <f t="shared" si="151"/>
        <v>15714.16349648944</v>
      </c>
      <c r="N512" s="52">
        <f t="shared" si="152"/>
        <v>10075.190374550273</v>
      </c>
      <c r="P512" s="6">
        <v>509</v>
      </c>
      <c r="Q512" s="52">
        <f t="shared" si="166"/>
        <v>-23000.085552457393</v>
      </c>
      <c r="R512" s="52">
        <f t="shared" si="167"/>
        <v>11802.633262185191</v>
      </c>
      <c r="T512" s="6">
        <v>509</v>
      </c>
      <c r="U512" s="52">
        <f t="shared" si="153"/>
        <v>-9285.8365035105599</v>
      </c>
      <c r="V512" s="52">
        <f t="shared" si="154"/>
        <v>-12424.809625449727</v>
      </c>
      <c r="X512" s="6">
        <v>508</v>
      </c>
      <c r="Y512" s="55">
        <v>254</v>
      </c>
      <c r="Z512" s="52">
        <f t="shared" si="168"/>
        <v>139701.59767266235</v>
      </c>
      <c r="AA512" s="52">
        <f t="shared" si="169"/>
        <v>15437.327472305684</v>
      </c>
      <c r="AB512" s="52">
        <f t="shared" si="170"/>
        <v>502.73645061003771</v>
      </c>
      <c r="AC512" s="52">
        <f t="shared" si="171"/>
        <v>1130.4072145014864</v>
      </c>
      <c r="AD512" s="52">
        <f t="shared" si="155"/>
        <v>-66.211208348346432</v>
      </c>
      <c r="AE512" s="52">
        <f t="shared" si="156"/>
        <v>-7.5166165609517126</v>
      </c>
      <c r="AF512" s="52">
        <f t="shared" si="157"/>
        <v>-35.927726995597666</v>
      </c>
      <c r="AG512" s="52">
        <f t="shared" si="158"/>
        <v>-2.3823419239523114</v>
      </c>
      <c r="AH512" s="52">
        <f t="shared" si="159"/>
        <v>-7.0092346597350943</v>
      </c>
      <c r="AI512" s="52">
        <f t="shared" si="160"/>
        <v>-0.23864197184383409</v>
      </c>
      <c r="AJ512" s="52">
        <f t="shared" si="161"/>
        <v>-23.274246693013669</v>
      </c>
      <c r="AK512" s="52">
        <f t="shared" si="162"/>
        <v>-4.8956326651555671</v>
      </c>
      <c r="AM512" s="52">
        <f t="shared" si="163"/>
        <v>119964.46829286804</v>
      </c>
      <c r="AN512" s="57">
        <f t="shared" si="164"/>
        <v>159794.13264961264</v>
      </c>
      <c r="AO512" s="57">
        <f t="shared" si="165"/>
        <v>147868.12798124354</v>
      </c>
    </row>
    <row r="513" spans="12:41" x14ac:dyDescent="0.25">
      <c r="L513" s="6">
        <v>510</v>
      </c>
      <c r="M513" s="52">
        <f t="shared" si="151"/>
        <v>15669.872981077806</v>
      </c>
      <c r="N513" s="52">
        <f t="shared" si="152"/>
        <v>10000</v>
      </c>
      <c r="P513" s="6">
        <v>510</v>
      </c>
      <c r="Q513" s="52">
        <f t="shared" si="166"/>
        <v>-23031.088913245534</v>
      </c>
      <c r="R513" s="52">
        <f t="shared" si="167"/>
        <v>11750</v>
      </c>
      <c r="T513" s="6">
        <v>510</v>
      </c>
      <c r="U513" s="52">
        <f t="shared" si="153"/>
        <v>-9330.1270189221941</v>
      </c>
      <c r="V513" s="52">
        <f t="shared" si="154"/>
        <v>-12500</v>
      </c>
      <c r="X513" s="6">
        <v>509</v>
      </c>
      <c r="Y513" s="55">
        <v>254.5</v>
      </c>
      <c r="Z513" s="52">
        <f t="shared" si="168"/>
        <v>139944.68949692382</v>
      </c>
      <c r="AA513" s="52">
        <f t="shared" si="169"/>
        <v>16001.591502486308</v>
      </c>
      <c r="AB513" s="52">
        <f t="shared" si="170"/>
        <v>469.6308464358645</v>
      </c>
      <c r="AC513" s="52">
        <f t="shared" si="171"/>
        <v>1126.6489062210105</v>
      </c>
      <c r="AD513" s="52">
        <f t="shared" si="155"/>
        <v>-65.882951254902594</v>
      </c>
      <c r="AE513" s="52">
        <f t="shared" si="156"/>
        <v>-7.7469035465615805</v>
      </c>
      <c r="AF513" s="52">
        <f t="shared" si="157"/>
        <v>-35.750496477672051</v>
      </c>
      <c r="AG513" s="52">
        <f t="shared" si="158"/>
        <v>-2.5339689346733301</v>
      </c>
      <c r="AH513" s="52">
        <f t="shared" si="159"/>
        <v>-6.9854069002389254</v>
      </c>
      <c r="AI513" s="52">
        <f t="shared" si="160"/>
        <v>-0.26211285179736749</v>
      </c>
      <c r="AJ513" s="52">
        <f t="shared" si="161"/>
        <v>-23.147047876991618</v>
      </c>
      <c r="AK513" s="52">
        <f t="shared" si="162"/>
        <v>-4.950821760090883</v>
      </c>
      <c r="AM513" s="52">
        <f t="shared" si="163"/>
        <v>120245.6053109161</v>
      </c>
      <c r="AN513" s="57">
        <f t="shared" si="164"/>
        <v>160057.24850449633</v>
      </c>
      <c r="AO513" s="57">
        <f t="shared" si="165"/>
        <v>148223.01335840762</v>
      </c>
    </row>
    <row r="514" spans="12:41" x14ac:dyDescent="0.25">
      <c r="L514" s="6">
        <v>511</v>
      </c>
      <c r="M514" s="52">
        <f t="shared" si="151"/>
        <v>15626.901464303024</v>
      </c>
      <c r="N514" s="52">
        <f t="shared" si="152"/>
        <v>9924.0481012316886</v>
      </c>
      <c r="P514" s="6">
        <v>511</v>
      </c>
      <c r="Q514" s="52">
        <f t="shared" si="166"/>
        <v>-23061.168974987882</v>
      </c>
      <c r="R514" s="52">
        <f t="shared" si="167"/>
        <v>11696.833670862183</v>
      </c>
      <c r="T514" s="6">
        <v>511</v>
      </c>
      <c r="U514" s="52">
        <f t="shared" si="153"/>
        <v>-9373.0985356969759</v>
      </c>
      <c r="V514" s="52">
        <f t="shared" si="154"/>
        <v>-12575.951898768311</v>
      </c>
      <c r="X514" s="6">
        <v>510</v>
      </c>
      <c r="Y514" s="55">
        <v>255</v>
      </c>
      <c r="Z514" s="52">
        <f t="shared" si="168"/>
        <v>140171.26955123487</v>
      </c>
      <c r="AA514" s="52">
        <f t="shared" si="169"/>
        <v>16563.947592653494</v>
      </c>
      <c r="AB514" s="52">
        <f t="shared" si="170"/>
        <v>436.68937080841317</v>
      </c>
      <c r="AC514" s="52">
        <f t="shared" si="171"/>
        <v>1122.7754544477298</v>
      </c>
      <c r="AD514" s="52">
        <f t="shared" si="155"/>
        <v>-65.570118370810448</v>
      </c>
      <c r="AE514" s="52">
        <f t="shared" si="156"/>
        <v>-7.9753846641061141</v>
      </c>
      <c r="AF514" s="52">
        <f t="shared" si="157"/>
        <v>-35.582107663086767</v>
      </c>
      <c r="AG514" s="52">
        <f t="shared" si="158"/>
        <v>-2.6837892309764539</v>
      </c>
      <c r="AH514" s="52">
        <f t="shared" si="159"/>
        <v>-6.9628880022826358</v>
      </c>
      <c r="AI514" s="52">
        <f t="shared" si="160"/>
        <v>-0.28534475670044807</v>
      </c>
      <c r="AJ514" s="52">
        <f t="shared" si="161"/>
        <v>-23.025122705441046</v>
      </c>
      <c r="AK514" s="52">
        <f t="shared" si="162"/>
        <v>-5.0062506764292127</v>
      </c>
      <c r="AM514" s="52">
        <f t="shared" si="163"/>
        <v>120512.6100103965</v>
      </c>
      <c r="AN514" s="57">
        <f t="shared" si="164"/>
        <v>160305.7110575086</v>
      </c>
      <c r="AO514" s="57">
        <f t="shared" si="165"/>
        <v>148563.05156649507</v>
      </c>
    </row>
    <row r="515" spans="12:41" x14ac:dyDescent="0.25">
      <c r="L515" s="6">
        <v>512</v>
      </c>
      <c r="M515" s="52">
        <f t="shared" si="151"/>
        <v>15585.262035705366</v>
      </c>
      <c r="N515" s="52">
        <f t="shared" si="152"/>
        <v>9847.357813929455</v>
      </c>
      <c r="P515" s="6">
        <v>512</v>
      </c>
      <c r="Q515" s="52">
        <f t="shared" si="166"/>
        <v>-23090.316575006244</v>
      </c>
      <c r="R515" s="52">
        <f t="shared" si="167"/>
        <v>11643.150469750619</v>
      </c>
      <c r="T515" s="6">
        <v>512</v>
      </c>
      <c r="U515" s="52">
        <f t="shared" si="153"/>
        <v>-9414.7379642946344</v>
      </c>
      <c r="V515" s="52">
        <f t="shared" si="154"/>
        <v>-12652.642186070545</v>
      </c>
      <c r="X515" s="6">
        <v>511</v>
      </c>
      <c r="Y515" s="55">
        <v>255.5</v>
      </c>
      <c r="Z515" s="52">
        <f t="shared" si="168"/>
        <v>140381.41797184275</v>
      </c>
      <c r="AA515" s="52">
        <f t="shared" si="169"/>
        <v>17124.338396794345</v>
      </c>
      <c r="AB515" s="52">
        <f t="shared" si="170"/>
        <v>403.90431162300797</v>
      </c>
      <c r="AC515" s="52">
        <f t="shared" si="171"/>
        <v>1118.7877621156767</v>
      </c>
      <c r="AD515" s="52">
        <f t="shared" si="155"/>
        <v>-65.27236409248826</v>
      </c>
      <c r="AE515" s="52">
        <f t="shared" si="156"/>
        <v>-8.2022915372007112</v>
      </c>
      <c r="AF515" s="52">
        <f t="shared" si="157"/>
        <v>-35.422368527300414</v>
      </c>
      <c r="AG515" s="52">
        <f t="shared" si="158"/>
        <v>-2.8319724693925559</v>
      </c>
      <c r="AH515" s="52">
        <f t="shared" si="159"/>
        <v>-6.9416561994982819</v>
      </c>
      <c r="AI515" s="52">
        <f t="shared" si="160"/>
        <v>-0.30835684348490788</v>
      </c>
      <c r="AJ515" s="52">
        <f t="shared" si="161"/>
        <v>-22.908339365689571</v>
      </c>
      <c r="AK515" s="52">
        <f t="shared" si="162"/>
        <v>-5.0619622243232483</v>
      </c>
      <c r="AM515" s="52">
        <f t="shared" si="163"/>
        <v>120765.53184782284</v>
      </c>
      <c r="AN515" s="57">
        <f t="shared" si="164"/>
        <v>160539.57589407967</v>
      </c>
      <c r="AO515" s="57">
        <f t="shared" si="165"/>
        <v>148888.3132046817</v>
      </c>
    </row>
    <row r="516" spans="12:41" x14ac:dyDescent="0.25">
      <c r="L516" s="6">
        <v>513</v>
      </c>
      <c r="M516" s="52">
        <f t="shared" si="151"/>
        <v>15544.967379058158</v>
      </c>
      <c r="N516" s="52">
        <f t="shared" si="152"/>
        <v>9769.9524986977322</v>
      </c>
      <c r="P516" s="6">
        <v>513</v>
      </c>
      <c r="Q516" s="52">
        <f t="shared" si="166"/>
        <v>-23118.522834659288</v>
      </c>
      <c r="R516" s="52">
        <f t="shared" si="167"/>
        <v>11588.966749088413</v>
      </c>
      <c r="T516" s="6">
        <v>513</v>
      </c>
      <c r="U516" s="52">
        <f t="shared" si="153"/>
        <v>-9455.0326209418417</v>
      </c>
      <c r="V516" s="52">
        <f t="shared" si="154"/>
        <v>-12730.047501302268</v>
      </c>
      <c r="X516" s="6">
        <v>512</v>
      </c>
      <c r="Y516" s="55">
        <v>256</v>
      </c>
      <c r="Z516" s="52">
        <f t="shared" si="168"/>
        <v>140575.21108214269</v>
      </c>
      <c r="AA516" s="52">
        <f t="shared" si="169"/>
        <v>17682.706991410036</v>
      </c>
      <c r="AB516" s="52">
        <f t="shared" si="170"/>
        <v>371.26812957676384</v>
      </c>
      <c r="AC516" s="52">
        <f t="shared" si="171"/>
        <v>1114.6866163470763</v>
      </c>
      <c r="AD516" s="52">
        <f t="shared" si="155"/>
        <v>-64.98936346994077</v>
      </c>
      <c r="AE516" s="52">
        <f t="shared" si="156"/>
        <v>-8.4278487657765595</v>
      </c>
      <c r="AF516" s="52">
        <f t="shared" si="157"/>
        <v>-35.2710989792673</v>
      </c>
      <c r="AG516" s="52">
        <f t="shared" si="158"/>
        <v>-2.9786824584219347</v>
      </c>
      <c r="AH516" s="52">
        <f t="shared" si="159"/>
        <v>-6.9216911819642277</v>
      </c>
      <c r="AI516" s="52">
        <f t="shared" si="160"/>
        <v>-0.33116771186341309</v>
      </c>
      <c r="AJ516" s="52">
        <f t="shared" si="161"/>
        <v>-22.796573308709242</v>
      </c>
      <c r="AK516" s="52">
        <f t="shared" si="162"/>
        <v>-5.1179985954912119</v>
      </c>
      <c r="AM516" s="52">
        <f t="shared" si="163"/>
        <v>121004.41747794242</v>
      </c>
      <c r="AN516" s="57">
        <f t="shared" si="164"/>
        <v>160758.89524623682</v>
      </c>
      <c r="AO516" s="57">
        <f t="shared" si="165"/>
        <v>149198.86533716254</v>
      </c>
    </row>
    <row r="517" spans="12:41" x14ac:dyDescent="0.25">
      <c r="L517" s="6">
        <v>514</v>
      </c>
      <c r="M517" s="52">
        <f t="shared" ref="M517:M580" si="172">$G$20*COS(L517*PI()/180)+$G$19</f>
        <v>15506.029768504166</v>
      </c>
      <c r="N517" s="52">
        <f t="shared" ref="N517:N580" si="173">$G$20*SIN(L517*PI()/180)+$H$19</f>
        <v>9691.8557339453891</v>
      </c>
      <c r="P517" s="6">
        <v>514</v>
      </c>
      <c r="Q517" s="52">
        <f t="shared" si="166"/>
        <v>-23145.779162047082</v>
      </c>
      <c r="R517" s="52">
        <f t="shared" si="167"/>
        <v>11534.299013761773</v>
      </c>
      <c r="T517" s="6">
        <v>514</v>
      </c>
      <c r="U517" s="52">
        <f t="shared" ref="U517:U580" si="174">$G$40*COS(T517*PI()/180)+$G$39</f>
        <v>-9493.970231495834</v>
      </c>
      <c r="V517" s="52">
        <f t="shared" ref="V517:V580" si="175">$G$40*SIN(T517*PI()/180)+$H$39</f>
        <v>-12808.144266054611</v>
      </c>
      <c r="X517" s="6">
        <v>513</v>
      </c>
      <c r="Y517" s="55">
        <v>256.5</v>
      </c>
      <c r="Z517" s="52">
        <f t="shared" si="168"/>
        <v>140752.72147649733</v>
      </c>
      <c r="AA517" s="52">
        <f t="shared" si="169"/>
        <v>18238.996818487853</v>
      </c>
      <c r="AB517" s="52">
        <f t="shared" si="170"/>
        <v>338.77344784179343</v>
      </c>
      <c r="AC517" s="52">
        <f t="shared" si="171"/>
        <v>1110.472691964188</v>
      </c>
      <c r="AD517" s="52">
        <f t="shared" ref="AD517:AD580" si="176">AF517+AH517+AJ517</f>
        <v>-64.720811311510772</v>
      </c>
      <c r="AE517" s="52">
        <f t="shared" ref="AE517:AE580" si="177">AG517+AI517+AK517</f>
        <v>-8.6522745789307933</v>
      </c>
      <c r="AF517" s="52">
        <f t="shared" ref="AF517:AF580" si="178">(($G$19-Z517)/(AM517^2+$G$24^2)^(3/2))*$G$23</f>
        <v>-35.128130364537931</v>
      </c>
      <c r="AG517" s="52">
        <f t="shared" ref="AG517:AG580" si="179">(($H$19-AA517)/(AM517^2+$G$24^2)^(3/2))*$G$23</f>
        <v>-3.1240776655921869</v>
      </c>
      <c r="AH517" s="52">
        <f t="shared" ref="AH517:AH580" si="180">(($G$29-Z517)/(AN517^2+$G$34^2)^(3/2))*$G$33</f>
        <v>-6.902974045665534</v>
      </c>
      <c r="AI517" s="52">
        <f t="shared" ref="AI517:AI580" si="181">(($H$29-AA517)/(AN517^2+$G$34^2)^(3/2))*$G$33</f>
        <v>-0.35379544854957679</v>
      </c>
      <c r="AJ517" s="52">
        <f t="shared" ref="AJ517:AJ580" si="182">(($G$39-Z517)/(AO517^2+$G$44^2)^(3/2))*$G$43</f>
        <v>-22.689706901307304</v>
      </c>
      <c r="AK517" s="52">
        <f t="shared" ref="AK517:AK580" si="183">(($H$39-AA517)/(AO517^2+$G$44^2)^(3/2))*$G$43</f>
        <v>-5.17440146478903</v>
      </c>
      <c r="AM517" s="52">
        <f t="shared" ref="AM517:AM580" si="184">SQRT(($G$19-Z517)^2+($H$19-AA517)^2)</f>
        <v>121229.31079837099</v>
      </c>
      <c r="AN517" s="57">
        <f t="shared" ref="AN517:AN580" si="185">SQRT(($G$29-Z517)^2+($H$29-AA517)^2)</f>
        <v>160963.71805681981</v>
      </c>
      <c r="AO517" s="57">
        <f t="shared" ref="AO517:AO580" si="186">SQRT(($G$39-Z517)^2+($H$39-AA517)^2)</f>
        <v>149494.77157180064</v>
      </c>
    </row>
    <row r="518" spans="12:41" x14ac:dyDescent="0.25">
      <c r="L518" s="6">
        <v>515</v>
      </c>
      <c r="M518" s="52">
        <f t="shared" si="172"/>
        <v>15468.461064816751</v>
      </c>
      <c r="N518" s="52">
        <f t="shared" si="173"/>
        <v>9613.0913087034969</v>
      </c>
      <c r="P518" s="6">
        <v>515</v>
      </c>
      <c r="Q518" s="52">
        <f t="shared" ref="Q518:Q581" si="187">$G$30*COS(P518*PI()/180)+$G$29</f>
        <v>-23172.077254628275</v>
      </c>
      <c r="R518" s="52">
        <f t="shared" ref="R518:R581" si="188">$G$30*SIN(P518*PI()/180)+$H$29</f>
        <v>11479.163916092448</v>
      </c>
      <c r="T518" s="6">
        <v>515</v>
      </c>
      <c r="U518" s="52">
        <f t="shared" si="174"/>
        <v>-9531.5389351832491</v>
      </c>
      <c r="V518" s="52">
        <f t="shared" si="175"/>
        <v>-12886.908691296503</v>
      </c>
      <c r="X518" s="6">
        <v>514</v>
      </c>
      <c r="Y518" s="55">
        <v>257</v>
      </c>
      <c r="Z518" s="52">
        <f t="shared" ref="Z518:Z581" si="189">Z517+AB517*$G$4+((1/2)*AD517)*$G$4^2</f>
        <v>140914.01809900429</v>
      </c>
      <c r="AA518" s="52">
        <f t="shared" ref="AA518:AA581" si="190">AA517+AC517*$G$4+((1/2)*AE517)*$G$4^2</f>
        <v>18793.151630147582</v>
      </c>
      <c r="AB518" s="52">
        <f t="shared" ref="AB518:AB581" si="191">AB517+AD517*$G$4</f>
        <v>306.41304218603807</v>
      </c>
      <c r="AC518" s="52">
        <f t="shared" ref="AC518:AC581" si="192">AC517+AE517*$G$4</f>
        <v>1106.1465546747227</v>
      </c>
      <c r="AD518" s="52">
        <f t="shared" si="176"/>
        <v>-64.466421354710036</v>
      </c>
      <c r="AE518" s="52">
        <f t="shared" si="177"/>
        <v>-8.8757814521667591</v>
      </c>
      <c r="AF518" s="52">
        <f t="shared" si="178"/>
        <v>-34.993305005792244</v>
      </c>
      <c r="AG518" s="52">
        <f t="shared" si="179"/>
        <v>-3.2683116952315441</v>
      </c>
      <c r="AH518" s="52">
        <f t="shared" si="180"/>
        <v>-6.8854872459986654</v>
      </c>
      <c r="AI518" s="52">
        <f t="shared" si="181"/>
        <v>-0.37625766926199322</v>
      </c>
      <c r="AJ518" s="52">
        <f t="shared" si="182"/>
        <v>-22.587629102919127</v>
      </c>
      <c r="AK518" s="52">
        <f t="shared" si="183"/>
        <v>-5.2312120876732209</v>
      </c>
      <c r="AM518" s="52">
        <f t="shared" si="184"/>
        <v>121440.25299128721</v>
      </c>
      <c r="AN518" s="57">
        <f t="shared" si="185"/>
        <v>161154.09003918406</v>
      </c>
      <c r="AO518" s="57">
        <f t="shared" si="186"/>
        <v>149776.09213387393</v>
      </c>
    </row>
    <row r="519" spans="12:41" x14ac:dyDescent="0.25">
      <c r="L519" s="6">
        <v>516</v>
      </c>
      <c r="M519" s="52">
        <f t="shared" si="172"/>
        <v>15432.272711786998</v>
      </c>
      <c r="N519" s="52">
        <f t="shared" si="173"/>
        <v>9533.6832153790056</v>
      </c>
      <c r="P519" s="6">
        <v>516</v>
      </c>
      <c r="Q519" s="52">
        <f t="shared" si="187"/>
        <v>-23197.409101749101</v>
      </c>
      <c r="R519" s="52">
        <f t="shared" si="188"/>
        <v>11423.578250765304</v>
      </c>
      <c r="T519" s="6">
        <v>516</v>
      </c>
      <c r="U519" s="52">
        <f t="shared" si="174"/>
        <v>-9567.7272882130019</v>
      </c>
      <c r="V519" s="52">
        <f t="shared" si="175"/>
        <v>-12966.316784620994</v>
      </c>
      <c r="X519" s="6">
        <v>515</v>
      </c>
      <c r="Y519" s="55">
        <v>257.5</v>
      </c>
      <c r="Z519" s="52">
        <f t="shared" si="189"/>
        <v>141059.16631742797</v>
      </c>
      <c r="AA519" s="52">
        <f t="shared" si="190"/>
        <v>19345.115434803422</v>
      </c>
      <c r="AB519" s="52">
        <f t="shared" si="191"/>
        <v>274.17983150868304</v>
      </c>
      <c r="AC519" s="52">
        <f t="shared" si="192"/>
        <v>1101.7086639486392</v>
      </c>
      <c r="AD519" s="52">
        <f t="shared" si="176"/>
        <v>-64.225925498918457</v>
      </c>
      <c r="AE519" s="52">
        <f t="shared" si="177"/>
        <v>-9.0985766925345963</v>
      </c>
      <c r="AF519" s="52">
        <f t="shared" si="178"/>
        <v>-34.86647577853298</v>
      </c>
      <c r="AG519" s="52">
        <f t="shared" si="179"/>
        <v>-3.4115337397796415</v>
      </c>
      <c r="AH519" s="52">
        <f t="shared" si="180"/>
        <v>-6.8692145550995161</v>
      </c>
      <c r="AI519" s="52">
        <f t="shared" si="181"/>
        <v>-0.39857155871103322</v>
      </c>
      <c r="AJ519" s="52">
        <f t="shared" si="182"/>
        <v>-22.490235165285956</v>
      </c>
      <c r="AK519" s="52">
        <f t="shared" si="183"/>
        <v>-5.2884713940439214</v>
      </c>
      <c r="AM519" s="52">
        <f t="shared" si="184"/>
        <v>121637.28256227408</v>
      </c>
      <c r="AN519" s="57">
        <f t="shared" si="185"/>
        <v>161330.05373257247</v>
      </c>
      <c r="AO519" s="57">
        <f t="shared" si="186"/>
        <v>150042.88393513387</v>
      </c>
    </row>
    <row r="520" spans="12:41" x14ac:dyDescent="0.25">
      <c r="L520" s="6">
        <v>517</v>
      </c>
      <c r="M520" s="52">
        <f t="shared" si="172"/>
        <v>15397.475732737799</v>
      </c>
      <c r="N520" s="52">
        <f t="shared" si="173"/>
        <v>9453.6556424463706</v>
      </c>
      <c r="P520" s="6">
        <v>517</v>
      </c>
      <c r="Q520" s="52">
        <f t="shared" si="187"/>
        <v>-23221.766987083542</v>
      </c>
      <c r="R520" s="52">
        <f t="shared" si="188"/>
        <v>11367.558949712458</v>
      </c>
      <c r="T520" s="6">
        <v>517</v>
      </c>
      <c r="U520" s="52">
        <f t="shared" si="174"/>
        <v>-9602.5242672622007</v>
      </c>
      <c r="V520" s="52">
        <f t="shared" si="175"/>
        <v>-13046.344357553629</v>
      </c>
      <c r="X520" s="6">
        <v>516</v>
      </c>
      <c r="Y520" s="55">
        <v>258</v>
      </c>
      <c r="Z520" s="52">
        <f t="shared" si="189"/>
        <v>141188.22799249494</v>
      </c>
      <c r="AA520" s="52">
        <f t="shared" si="190"/>
        <v>19894.832444691172</v>
      </c>
      <c r="AB520" s="52">
        <f t="shared" si="191"/>
        <v>242.06686875922381</v>
      </c>
      <c r="AC520" s="52">
        <f t="shared" si="192"/>
        <v>1097.1593756023719</v>
      </c>
      <c r="AD520" s="52">
        <f t="shared" si="176"/>
        <v>-63.999073096090711</v>
      </c>
      <c r="AE520" s="52">
        <f t="shared" si="177"/>
        <v>-9.3208629949095183</v>
      </c>
      <c r="AF520" s="52">
        <f t="shared" si="178"/>
        <v>-34.747505719847403</v>
      </c>
      <c r="AG520" s="52">
        <f t="shared" si="179"/>
        <v>-3.5538890072320291</v>
      </c>
      <c r="AH520" s="52">
        <f t="shared" si="180"/>
        <v>-6.8541410227968322</v>
      </c>
      <c r="AI520" s="52">
        <f t="shared" si="181"/>
        <v>-0.42075390875329066</v>
      </c>
      <c r="AJ520" s="52">
        <f t="shared" si="182"/>
        <v>-22.397426353446477</v>
      </c>
      <c r="AK520" s="52">
        <f t="shared" si="183"/>
        <v>-5.3462200789241994</v>
      </c>
      <c r="AM520" s="52">
        <f t="shared" si="184"/>
        <v>121820.43537638873</v>
      </c>
      <c r="AN520" s="57">
        <f t="shared" si="185"/>
        <v>161491.64855332006</v>
      </c>
      <c r="AO520" s="57">
        <f t="shared" si="186"/>
        <v>150295.20063837286</v>
      </c>
    </row>
    <row r="521" spans="12:41" x14ac:dyDescent="0.25">
      <c r="L521" s="6">
        <v>518</v>
      </c>
      <c r="M521" s="52">
        <f t="shared" si="172"/>
        <v>15364.080727166067</v>
      </c>
      <c r="N521" s="52">
        <f t="shared" si="173"/>
        <v>9373.0329670795672</v>
      </c>
      <c r="P521" s="6">
        <v>518</v>
      </c>
      <c r="Q521" s="52">
        <f t="shared" si="187"/>
        <v>-23245.143490983755</v>
      </c>
      <c r="R521" s="52">
        <f t="shared" si="188"/>
        <v>11311.123076955697</v>
      </c>
      <c r="T521" s="6">
        <v>518</v>
      </c>
      <c r="U521" s="52">
        <f t="shared" si="174"/>
        <v>-9635.9192728339331</v>
      </c>
      <c r="V521" s="52">
        <f t="shared" si="175"/>
        <v>-13126.967032920433</v>
      </c>
      <c r="X521" s="6">
        <v>517</v>
      </c>
      <c r="Y521" s="55">
        <v>258.5</v>
      </c>
      <c r="Z521" s="52">
        <f t="shared" si="189"/>
        <v>141301.26154273754</v>
      </c>
      <c r="AA521" s="52">
        <f t="shared" si="190"/>
        <v>20442.247024617995</v>
      </c>
      <c r="AB521" s="52">
        <f t="shared" si="191"/>
        <v>210.06733221117844</v>
      </c>
      <c r="AC521" s="52">
        <f t="shared" si="192"/>
        <v>1092.4989441049172</v>
      </c>
      <c r="AD521" s="52">
        <f t="shared" si="176"/>
        <v>-63.785630295977271</v>
      </c>
      <c r="AE521" s="52">
        <f t="shared" si="177"/>
        <v>-9.5428389724073206</v>
      </c>
      <c r="AF521" s="52">
        <f t="shared" si="178"/>
        <v>-34.636267668354435</v>
      </c>
      <c r="AG521" s="52">
        <f t="shared" si="179"/>
        <v>-3.6955191271171999</v>
      </c>
      <c r="AH521" s="52">
        <f t="shared" si="180"/>
        <v>-6.8402529410103634</v>
      </c>
      <c r="AI521" s="52">
        <f t="shared" si="181"/>
        <v>-0.44282115488585228</v>
      </c>
      <c r="AJ521" s="52">
        <f t="shared" si="182"/>
        <v>-22.309109686612469</v>
      </c>
      <c r="AK521" s="52">
        <f t="shared" si="183"/>
        <v>-5.4044986904042673</v>
      </c>
      <c r="AM521" s="52">
        <f t="shared" si="184"/>
        <v>121989.74469153484</v>
      </c>
      <c r="AN521" s="57">
        <f t="shared" si="185"/>
        <v>161638.9108420425</v>
      </c>
      <c r="AO521" s="57">
        <f t="shared" si="186"/>
        <v>150533.09271768297</v>
      </c>
    </row>
    <row r="522" spans="12:41" x14ac:dyDescent="0.25">
      <c r="L522" s="6">
        <v>519</v>
      </c>
      <c r="M522" s="52">
        <f t="shared" si="172"/>
        <v>15332.097867513992</v>
      </c>
      <c r="N522" s="52">
        <f t="shared" si="173"/>
        <v>9291.8397477265044</v>
      </c>
      <c r="P522" s="6">
        <v>519</v>
      </c>
      <c r="Q522" s="52">
        <f t="shared" si="187"/>
        <v>-23267.531492740207</v>
      </c>
      <c r="R522" s="52">
        <f t="shared" si="188"/>
        <v>11254.287823408553</v>
      </c>
      <c r="T522" s="6">
        <v>519</v>
      </c>
      <c r="U522" s="52">
        <f t="shared" si="174"/>
        <v>-9667.9021324860078</v>
      </c>
      <c r="V522" s="52">
        <f t="shared" si="175"/>
        <v>-13208.160252273496</v>
      </c>
      <c r="X522" s="6">
        <v>518</v>
      </c>
      <c r="Y522" s="55">
        <v>259</v>
      </c>
      <c r="Z522" s="52">
        <f t="shared" si="189"/>
        <v>141398.32200505614</v>
      </c>
      <c r="AA522" s="52">
        <f t="shared" si="190"/>
        <v>20987.303641798902</v>
      </c>
      <c r="AB522" s="52">
        <f t="shared" si="191"/>
        <v>178.1745170631898</v>
      </c>
      <c r="AC522" s="52">
        <f t="shared" si="192"/>
        <v>1087.7275246187135</v>
      </c>
      <c r="AD522" s="52">
        <f t="shared" si="176"/>
        <v>-63.585379442656389</v>
      </c>
      <c r="AE522" s="52">
        <f t="shared" si="177"/>
        <v>-9.7646996637203642</v>
      </c>
      <c r="AF522" s="52">
        <f t="shared" si="178"/>
        <v>-34.532643933606032</v>
      </c>
      <c r="AG522" s="52">
        <f t="shared" si="179"/>
        <v>-3.8365625372257721</v>
      </c>
      <c r="AH522" s="52">
        <f t="shared" si="180"/>
        <v>-6.8275378114306662</v>
      </c>
      <c r="AI522" s="52">
        <f t="shared" si="181"/>
        <v>-0.46478941124122602</v>
      </c>
      <c r="AJ522" s="52">
        <f t="shared" si="182"/>
        <v>-22.225197697619695</v>
      </c>
      <c r="AK522" s="52">
        <f t="shared" si="183"/>
        <v>-5.4633477152533656</v>
      </c>
      <c r="AM522" s="52">
        <f t="shared" si="184"/>
        <v>122145.2411892063</v>
      </c>
      <c r="AN522" s="57">
        <f t="shared" si="185"/>
        <v>161771.87390694613</v>
      </c>
      <c r="AO522" s="57">
        <f t="shared" si="186"/>
        <v>150756.60751457341</v>
      </c>
    </row>
    <row r="523" spans="12:41" x14ac:dyDescent="0.25">
      <c r="L523" s="6">
        <v>520</v>
      </c>
      <c r="M523" s="52">
        <f t="shared" si="172"/>
        <v>15301.536896070458</v>
      </c>
      <c r="N523" s="52">
        <f t="shared" si="173"/>
        <v>9210.1007166283434</v>
      </c>
      <c r="P523" s="6">
        <v>520</v>
      </c>
      <c r="Q523" s="52">
        <f t="shared" si="187"/>
        <v>-23288.924172750681</v>
      </c>
      <c r="R523" s="52">
        <f t="shared" si="188"/>
        <v>11197.070501639841</v>
      </c>
      <c r="T523" s="6">
        <v>520</v>
      </c>
      <c r="U523" s="52">
        <f t="shared" si="174"/>
        <v>-9698.4631039295418</v>
      </c>
      <c r="V523" s="52">
        <f t="shared" si="175"/>
        <v>-13289.899283371657</v>
      </c>
      <c r="X523" s="6">
        <v>519</v>
      </c>
      <c r="Y523" s="55">
        <v>259.5</v>
      </c>
      <c r="Z523" s="52">
        <f t="shared" si="189"/>
        <v>141479.4610911574</v>
      </c>
      <c r="AA523" s="52">
        <f t="shared" si="190"/>
        <v>21529.946816650292</v>
      </c>
      <c r="AB523" s="52">
        <f t="shared" si="191"/>
        <v>146.38182734186159</v>
      </c>
      <c r="AC523" s="52">
        <f t="shared" si="192"/>
        <v>1082.8451747868532</v>
      </c>
      <c r="AD523" s="52">
        <f t="shared" si="176"/>
        <v>-63.398118519487028</v>
      </c>
      <c r="AE523" s="52">
        <f t="shared" si="177"/>
        <v>-9.9866370199702885</v>
      </c>
      <c r="AF523" s="52">
        <f t="shared" si="178"/>
        <v>-34.436525993389438</v>
      </c>
      <c r="AG523" s="52">
        <f t="shared" si="179"/>
        <v>-3.9771548531558114</v>
      </c>
      <c r="AH523" s="52">
        <f t="shared" si="180"/>
        <v>-6.8159843163371399</v>
      </c>
      <c r="AI523" s="52">
        <f t="shared" si="181"/>
        <v>-0.48667450423385877</v>
      </c>
      <c r="AJ523" s="52">
        <f t="shared" si="182"/>
        <v>-22.145608209760457</v>
      </c>
      <c r="AK523" s="52">
        <f t="shared" si="183"/>
        <v>-5.5228076625806182</v>
      </c>
      <c r="AM523" s="52">
        <f t="shared" si="184"/>
        <v>122286.95300266525</v>
      </c>
      <c r="AN523" s="57">
        <f t="shared" si="185"/>
        <v>161890.56806338471</v>
      </c>
      <c r="AO523" s="57">
        <f t="shared" si="186"/>
        <v>150965.78929010106</v>
      </c>
    </row>
    <row r="524" spans="12:41" x14ac:dyDescent="0.25">
      <c r="L524" s="6">
        <v>521</v>
      </c>
      <c r="M524" s="52">
        <f t="shared" si="172"/>
        <v>15272.407122003417</v>
      </c>
      <c r="N524" s="52">
        <f t="shared" si="173"/>
        <v>9127.8407722857883</v>
      </c>
      <c r="P524" s="6">
        <v>521</v>
      </c>
      <c r="Q524" s="52">
        <f t="shared" si="187"/>
        <v>-23309.315014597607</v>
      </c>
      <c r="R524" s="52">
        <f t="shared" si="188"/>
        <v>11139.488540600052</v>
      </c>
      <c r="T524" s="6">
        <v>521</v>
      </c>
      <c r="U524" s="52">
        <f t="shared" si="174"/>
        <v>-9727.5928779965834</v>
      </c>
      <c r="V524" s="52">
        <f t="shared" si="175"/>
        <v>-13372.159227714212</v>
      </c>
      <c r="X524" s="6">
        <v>520</v>
      </c>
      <c r="Y524" s="55">
        <v>260</v>
      </c>
      <c r="Z524" s="52">
        <f t="shared" si="189"/>
        <v>141544.7272400134</v>
      </c>
      <c r="AA524" s="52">
        <f t="shared" si="190"/>
        <v>22070.121074416224</v>
      </c>
      <c r="AB524" s="52">
        <f t="shared" si="191"/>
        <v>114.68276808211809</v>
      </c>
      <c r="AC524" s="52">
        <f t="shared" si="192"/>
        <v>1077.8518562768681</v>
      </c>
      <c r="AD524" s="52">
        <f t="shared" si="176"/>
        <v>-63.223660639841086</v>
      </c>
      <c r="AE524" s="52">
        <f t="shared" si="177"/>
        <v>-10.208840373504913</v>
      </c>
      <c r="AF524" s="52">
        <f t="shared" si="178"/>
        <v>-34.347814217511441</v>
      </c>
      <c r="AG524" s="52">
        <f t="shared" si="179"/>
        <v>-4.117429222597691</v>
      </c>
      <c r="AH524" s="52">
        <f t="shared" si="180"/>
        <v>-6.8055822924214269</v>
      </c>
      <c r="AI524" s="52">
        <f t="shared" si="181"/>
        <v>-0.50849200499985892</v>
      </c>
      <c r="AJ524" s="52">
        <f t="shared" si="182"/>
        <v>-22.070264129908214</v>
      </c>
      <c r="AK524" s="52">
        <f t="shared" si="183"/>
        <v>-5.582919145907363</v>
      </c>
      <c r="AM524" s="52">
        <f t="shared" si="184"/>
        <v>122414.90574261127</v>
      </c>
      <c r="AN524" s="57">
        <f t="shared" si="185"/>
        <v>161995.02066977674</v>
      </c>
      <c r="AO524" s="57">
        <f t="shared" si="186"/>
        <v>151160.67927315555</v>
      </c>
    </row>
    <row r="525" spans="12:41" x14ac:dyDescent="0.25">
      <c r="L525" s="6">
        <v>522</v>
      </c>
      <c r="M525" s="52">
        <f t="shared" si="172"/>
        <v>15244.717418524233</v>
      </c>
      <c r="N525" s="52">
        <f t="shared" si="173"/>
        <v>9045.0849718747395</v>
      </c>
      <c r="P525" s="6">
        <v>522</v>
      </c>
      <c r="Q525" s="52">
        <f t="shared" si="187"/>
        <v>-23328.697807033037</v>
      </c>
      <c r="R525" s="52">
        <f t="shared" si="188"/>
        <v>11081.559480312317</v>
      </c>
      <c r="T525" s="6">
        <v>522</v>
      </c>
      <c r="U525" s="52">
        <f t="shared" si="174"/>
        <v>-9755.2825814757671</v>
      </c>
      <c r="V525" s="52">
        <f t="shared" si="175"/>
        <v>-13454.915028125261</v>
      </c>
      <c r="X525" s="6">
        <v>521</v>
      </c>
      <c r="Y525" s="55">
        <v>260.5</v>
      </c>
      <c r="Z525" s="52">
        <f t="shared" si="189"/>
        <v>141594.16566647447</v>
      </c>
      <c r="AA525" s="52">
        <f t="shared" si="190"/>
        <v>22607.770897507969</v>
      </c>
      <c r="AB525" s="52">
        <f t="shared" si="191"/>
        <v>83.070937762197545</v>
      </c>
      <c r="AC525" s="52">
        <f t="shared" si="192"/>
        <v>1072.7474360901158</v>
      </c>
      <c r="AD525" s="52">
        <f t="shared" si="176"/>
        <v>-63.061833581232221</v>
      </c>
      <c r="AE525" s="52">
        <f t="shared" si="177"/>
        <v>-10.431496890920499</v>
      </c>
      <c r="AF525" s="52">
        <f t="shared" si="178"/>
        <v>-34.266417616791301</v>
      </c>
      <c r="AG525" s="52">
        <f t="shared" si="179"/>
        <v>-4.2575166661598267</v>
      </c>
      <c r="AH525" s="52">
        <f t="shared" si="180"/>
        <v>-6.7963227075030357</v>
      </c>
      <c r="AI525" s="52">
        <f t="shared" si="181"/>
        <v>-0.53025726076387969</v>
      </c>
      <c r="AJ525" s="52">
        <f t="shared" si="182"/>
        <v>-21.999093256937879</v>
      </c>
      <c r="AK525" s="52">
        <f t="shared" si="183"/>
        <v>-5.643722963996793</v>
      </c>
      <c r="AM525" s="52">
        <f t="shared" si="184"/>
        <v>122529.1225203936</v>
      </c>
      <c r="AN525" s="57">
        <f t="shared" si="185"/>
        <v>162085.25615998526</v>
      </c>
      <c r="AO525" s="57">
        <f t="shared" si="186"/>
        <v>151341.31570502883</v>
      </c>
    </row>
    <row r="526" spans="12:41" x14ac:dyDescent="0.25">
      <c r="L526" s="6">
        <v>523</v>
      </c>
      <c r="M526" s="52">
        <f t="shared" si="172"/>
        <v>15218.476220184823</v>
      </c>
      <c r="N526" s="52">
        <f t="shared" si="173"/>
        <v>8961.8585236136823</v>
      </c>
      <c r="P526" s="6">
        <v>523</v>
      </c>
      <c r="Q526" s="52">
        <f t="shared" si="187"/>
        <v>-23347.066645870626</v>
      </c>
      <c r="R526" s="52">
        <f t="shared" si="188"/>
        <v>11023.300966529578</v>
      </c>
      <c r="T526" s="6">
        <v>523</v>
      </c>
      <c r="U526" s="52">
        <f t="shared" si="174"/>
        <v>-9781.5237798151775</v>
      </c>
      <c r="V526" s="52">
        <f t="shared" si="175"/>
        <v>-13538.141476386318</v>
      </c>
      <c r="X526" s="6">
        <v>522</v>
      </c>
      <c r="Y526" s="55">
        <v>261</v>
      </c>
      <c r="Z526" s="52">
        <f t="shared" si="189"/>
        <v>141627.81840615792</v>
      </c>
      <c r="AA526" s="52">
        <f t="shared" si="190"/>
        <v>23142.840678441662</v>
      </c>
      <c r="AB526" s="52">
        <f t="shared" si="191"/>
        <v>51.540020971581434</v>
      </c>
      <c r="AC526" s="52">
        <f t="shared" si="192"/>
        <v>1067.5316876446554</v>
      </c>
      <c r="AD526" s="52">
        <f t="shared" si="176"/>
        <v>-62.912479360685573</v>
      </c>
      <c r="AE526" s="52">
        <f t="shared" si="177"/>
        <v>-10.654792012462678</v>
      </c>
      <c r="AF526" s="52">
        <f t="shared" si="178"/>
        <v>-34.192253616115622</v>
      </c>
      <c r="AG526" s="52">
        <f t="shared" si="179"/>
        <v>-4.3975464064287433</v>
      </c>
      <c r="AH526" s="52">
        <f t="shared" si="180"/>
        <v>-6.788197640033605</v>
      </c>
      <c r="AI526" s="52">
        <f t="shared" si="181"/>
        <v>-0.55198542525979089</v>
      </c>
      <c r="AJ526" s="52">
        <f t="shared" si="182"/>
        <v>-21.93202810453635</v>
      </c>
      <c r="AK526" s="52">
        <f t="shared" si="183"/>
        <v>-5.7052601807741432</v>
      </c>
      <c r="AM526" s="52">
        <f t="shared" si="184"/>
        <v>122629.62396881284</v>
      </c>
      <c r="AN526" s="57">
        <f t="shared" si="185"/>
        <v>162161.29607225291</v>
      </c>
      <c r="AO526" s="57">
        <f t="shared" si="186"/>
        <v>151507.73388038715</v>
      </c>
    </row>
    <row r="527" spans="12:41" x14ac:dyDescent="0.25">
      <c r="L527" s="6">
        <v>524</v>
      </c>
      <c r="M527" s="52">
        <f t="shared" si="172"/>
        <v>15193.691520308405</v>
      </c>
      <c r="N527" s="52">
        <f t="shared" si="173"/>
        <v>8878.1867790849901</v>
      </c>
      <c r="P527" s="6">
        <v>524</v>
      </c>
      <c r="Q527" s="52">
        <f t="shared" si="187"/>
        <v>-23364.415935784116</v>
      </c>
      <c r="R527" s="52">
        <f t="shared" si="188"/>
        <v>10964.730745359493</v>
      </c>
      <c r="T527" s="6">
        <v>524</v>
      </c>
      <c r="U527" s="52">
        <f t="shared" si="174"/>
        <v>-9806.3084796915955</v>
      </c>
      <c r="V527" s="52">
        <f t="shared" si="175"/>
        <v>-13621.81322091501</v>
      </c>
      <c r="X527" s="6">
        <v>523</v>
      </c>
      <c r="Y527" s="55">
        <v>261.5</v>
      </c>
      <c r="Z527" s="52">
        <f t="shared" si="189"/>
        <v>141645.72435672363</v>
      </c>
      <c r="AA527" s="52">
        <f t="shared" si="190"/>
        <v>23675.274673262429</v>
      </c>
      <c r="AB527" s="52">
        <f t="shared" si="191"/>
        <v>20.083781291238648</v>
      </c>
      <c r="AC527" s="52">
        <f t="shared" si="192"/>
        <v>1062.2042916384241</v>
      </c>
      <c r="AD527" s="52">
        <f t="shared" si="176"/>
        <v>-62.775453849404173</v>
      </c>
      <c r="AE527" s="52">
        <f t="shared" si="177"/>
        <v>-10.878909879846681</v>
      </c>
      <c r="AF527" s="52">
        <f t="shared" si="178"/>
        <v>-34.125247850529554</v>
      </c>
      <c r="AG527" s="52">
        <f t="shared" si="179"/>
        <v>-4.537646186862994</v>
      </c>
      <c r="AH527" s="52">
        <f t="shared" si="180"/>
        <v>-6.7812002613022191</v>
      </c>
      <c r="AI527" s="52">
        <f t="shared" si="181"/>
        <v>-0.57369148832577532</v>
      </c>
      <c r="AJ527" s="52">
        <f t="shared" si="182"/>
        <v>-21.869005737572405</v>
      </c>
      <c r="AK527" s="52">
        <f t="shared" si="183"/>
        <v>-5.7675722046579105</v>
      </c>
      <c r="AM527" s="52">
        <f t="shared" si="184"/>
        <v>122716.42826055308</v>
      </c>
      <c r="AN527" s="57">
        <f t="shared" si="185"/>
        <v>162223.15907477282</v>
      </c>
      <c r="AO527" s="57">
        <f t="shared" si="186"/>
        <v>151659.96618475314</v>
      </c>
    </row>
    <row r="528" spans="12:41" x14ac:dyDescent="0.25">
      <c r="L528" s="6">
        <v>525</v>
      </c>
      <c r="M528" s="52">
        <f t="shared" si="172"/>
        <v>15170.370868554659</v>
      </c>
      <c r="N528" s="52">
        <f t="shared" si="173"/>
        <v>8794.0952255126031</v>
      </c>
      <c r="P528" s="6">
        <v>525</v>
      </c>
      <c r="Q528" s="52">
        <f t="shared" si="187"/>
        <v>-23380.740392011739</v>
      </c>
      <c r="R528" s="52">
        <f t="shared" si="188"/>
        <v>10905.866657858824</v>
      </c>
      <c r="T528" s="6">
        <v>525</v>
      </c>
      <c r="U528" s="52">
        <f t="shared" si="174"/>
        <v>-9829.629131445341</v>
      </c>
      <c r="V528" s="52">
        <f t="shared" si="175"/>
        <v>-13705.904774487397</v>
      </c>
      <c r="X528" s="6">
        <v>524</v>
      </c>
      <c r="Y528" s="55">
        <v>262</v>
      </c>
      <c r="Z528" s="52">
        <f t="shared" si="189"/>
        <v>141647.91931563808</v>
      </c>
      <c r="AA528" s="52">
        <f t="shared" si="190"/>
        <v>24205.016955346659</v>
      </c>
      <c r="AB528" s="52">
        <f t="shared" si="191"/>
        <v>-11.303945633463439</v>
      </c>
      <c r="AC528" s="52">
        <f t="shared" si="192"/>
        <v>1056.7648366985009</v>
      </c>
      <c r="AD528" s="52">
        <f t="shared" si="176"/>
        <v>-62.65062642499062</v>
      </c>
      <c r="AE528" s="52">
        <f t="shared" si="177"/>
        <v>-11.104033754443444</v>
      </c>
      <c r="AF528" s="52">
        <f t="shared" si="178"/>
        <v>-34.065333983450245</v>
      </c>
      <c r="AG528" s="52">
        <f t="shared" si="179"/>
        <v>-4.6779425820391243</v>
      </c>
      <c r="AH528" s="52">
        <f t="shared" si="180"/>
        <v>-6.7753248202646219</v>
      </c>
      <c r="AI528" s="52">
        <f t="shared" si="181"/>
        <v>-0.59539030478896637</v>
      </c>
      <c r="AJ528" s="52">
        <f t="shared" si="182"/>
        <v>-21.809967621275753</v>
      </c>
      <c r="AK528" s="52">
        <f t="shared" si="183"/>
        <v>-5.8307008676153531</v>
      </c>
      <c r="AM528" s="52">
        <f t="shared" si="184"/>
        <v>122789.55112428097</v>
      </c>
      <c r="AN528" s="57">
        <f t="shared" si="185"/>
        <v>162270.86098796889</v>
      </c>
      <c r="AO528" s="57">
        <f t="shared" si="186"/>
        <v>151798.0421285957</v>
      </c>
    </row>
    <row r="529" spans="12:41" x14ac:dyDescent="0.25">
      <c r="L529" s="6">
        <v>526</v>
      </c>
      <c r="M529" s="52">
        <f t="shared" si="172"/>
        <v>15148.521368620017</v>
      </c>
      <c r="N529" s="52">
        <f t="shared" si="173"/>
        <v>8709.6094779983359</v>
      </c>
      <c r="P529" s="6">
        <v>526</v>
      </c>
      <c r="Q529" s="52">
        <f t="shared" si="187"/>
        <v>-23396.035041965988</v>
      </c>
      <c r="R529" s="52">
        <f t="shared" si="188"/>
        <v>10846.726634598836</v>
      </c>
      <c r="T529" s="6">
        <v>526</v>
      </c>
      <c r="U529" s="52">
        <f t="shared" si="174"/>
        <v>-9851.4786313799832</v>
      </c>
      <c r="V529" s="52">
        <f t="shared" si="175"/>
        <v>-13790.390522001664</v>
      </c>
      <c r="X529" s="6">
        <v>525</v>
      </c>
      <c r="Y529" s="55">
        <v>262.5</v>
      </c>
      <c r="Z529" s="52">
        <f t="shared" si="189"/>
        <v>141634.43601451823</v>
      </c>
      <c r="AA529" s="52">
        <f t="shared" si="190"/>
        <v>24732.011369476604</v>
      </c>
      <c r="AB529" s="52">
        <f t="shared" si="191"/>
        <v>-42.629258845958745</v>
      </c>
      <c r="AC529" s="52">
        <f t="shared" si="192"/>
        <v>1051.212819821279</v>
      </c>
      <c r="AD529" s="52">
        <f t="shared" si="176"/>
        <v>-62.537879659666103</v>
      </c>
      <c r="AE529" s="52">
        <f t="shared" si="177"/>
        <v>-11.330346427695966</v>
      </c>
      <c r="AF529" s="52">
        <f t="shared" si="178"/>
        <v>-34.012453546196504</v>
      </c>
      <c r="AG529" s="52">
        <f t="shared" si="179"/>
        <v>-4.8185613006985619</v>
      </c>
      <c r="AH529" s="52">
        <f t="shared" si="180"/>
        <v>-6.7705666309317651</v>
      </c>
      <c r="AI529" s="52">
        <f t="shared" si="181"/>
        <v>-0.61709662275015775</v>
      </c>
      <c r="AJ529" s="52">
        <f t="shared" si="182"/>
        <v>-21.754859482537835</v>
      </c>
      <c r="AK529" s="52">
        <f t="shared" si="183"/>
        <v>-5.894688504247247</v>
      </c>
      <c r="AM529" s="52">
        <f t="shared" si="184"/>
        <v>122849.00585844275</v>
      </c>
      <c r="AN529" s="57">
        <f t="shared" si="185"/>
        <v>162304.41480354677</v>
      </c>
      <c r="AO529" s="57">
        <f t="shared" si="186"/>
        <v>151921.98837811482</v>
      </c>
    </row>
    <row r="530" spans="12:41" x14ac:dyDescent="0.25">
      <c r="L530" s="6">
        <v>527</v>
      </c>
      <c r="M530" s="52">
        <f t="shared" si="172"/>
        <v>15128.149676073825</v>
      </c>
      <c r="N530" s="52">
        <f t="shared" si="173"/>
        <v>8624.7552717193266</v>
      </c>
      <c r="P530" s="6">
        <v>527</v>
      </c>
      <c r="Q530" s="52">
        <f t="shared" si="187"/>
        <v>-23410.295226748323</v>
      </c>
      <c r="R530" s="52">
        <f t="shared" si="188"/>
        <v>10787.328690203529</v>
      </c>
      <c r="T530" s="6">
        <v>527</v>
      </c>
      <c r="U530" s="52">
        <f t="shared" si="174"/>
        <v>-9871.8503239261754</v>
      </c>
      <c r="V530" s="52">
        <f t="shared" si="175"/>
        <v>-13875.244728280673</v>
      </c>
      <c r="X530" s="6">
        <v>526</v>
      </c>
      <c r="Y530" s="55">
        <v>263</v>
      </c>
      <c r="Z530" s="52">
        <f t="shared" si="189"/>
        <v>141605.30415013782</v>
      </c>
      <c r="AA530" s="52">
        <f t="shared" si="190"/>
        <v>25256.201486083784</v>
      </c>
      <c r="AB530" s="52">
        <f t="shared" si="191"/>
        <v>-73.898198675791804</v>
      </c>
      <c r="AC530" s="52">
        <f t="shared" si="192"/>
        <v>1045.547646607431</v>
      </c>
      <c r="AD530" s="52">
        <f t="shared" si="176"/>
        <v>-62.43710904311088</v>
      </c>
      <c r="AE530" s="52">
        <f t="shared" si="177"/>
        <v>-11.558030625564122</v>
      </c>
      <c r="AF530" s="52">
        <f t="shared" si="178"/>
        <v>-33.966555798134742</v>
      </c>
      <c r="AG530" s="52">
        <f t="shared" si="179"/>
        <v>-4.9596274829867637</v>
      </c>
      <c r="AH530" s="52">
        <f t="shared" si="180"/>
        <v>-6.7669220622651398</v>
      </c>
      <c r="AI530" s="52">
        <f t="shared" si="181"/>
        <v>-0.63882511137524778</v>
      </c>
      <c r="AJ530" s="52">
        <f t="shared" si="182"/>
        <v>-21.703631182711</v>
      </c>
      <c r="AK530" s="52">
        <f t="shared" si="183"/>
        <v>-5.9595780312021098</v>
      </c>
      <c r="AM530" s="52">
        <f t="shared" si="184"/>
        <v>122894.80334278553</v>
      </c>
      <c r="AN530" s="57">
        <f t="shared" si="185"/>
        <v>162323.83070037048</v>
      </c>
      <c r="AO530" s="57">
        <f t="shared" si="186"/>
        <v>152031.82878279992</v>
      </c>
    </row>
    <row r="531" spans="12:41" x14ac:dyDescent="0.25">
      <c r="L531" s="6">
        <v>528</v>
      </c>
      <c r="M531" s="52">
        <f t="shared" si="172"/>
        <v>15109.261996330972</v>
      </c>
      <c r="N531" s="52">
        <f t="shared" si="173"/>
        <v>8539.5584540887958</v>
      </c>
      <c r="P531" s="6">
        <v>528</v>
      </c>
      <c r="Q531" s="52">
        <f t="shared" si="187"/>
        <v>-23423.516602568321</v>
      </c>
      <c r="R531" s="52">
        <f t="shared" si="188"/>
        <v>10727.690917862157</v>
      </c>
      <c r="T531" s="6">
        <v>528</v>
      </c>
      <c r="U531" s="52">
        <f t="shared" si="174"/>
        <v>-9890.7380036690283</v>
      </c>
      <c r="V531" s="52">
        <f t="shared" si="175"/>
        <v>-13960.441545911204</v>
      </c>
      <c r="X531" s="6">
        <v>527</v>
      </c>
      <c r="Y531" s="55">
        <v>263.5</v>
      </c>
      <c r="Z531" s="52">
        <f t="shared" si="189"/>
        <v>141560.55041216954</v>
      </c>
      <c r="AA531" s="52">
        <f t="shared" si="190"/>
        <v>25777.530555559304</v>
      </c>
      <c r="AB531" s="52">
        <f t="shared" si="191"/>
        <v>-105.11675319734724</v>
      </c>
      <c r="AC531" s="52">
        <f t="shared" si="192"/>
        <v>1039.7686312946489</v>
      </c>
      <c r="AD531" s="52">
        <f t="shared" si="176"/>
        <v>-62.348222738709588</v>
      </c>
      <c r="AE531" s="52">
        <f t="shared" si="177"/>
        <v>-11.787269408741935</v>
      </c>
      <c r="AF531" s="52">
        <f t="shared" si="178"/>
        <v>-33.927597606827561</v>
      </c>
      <c r="AG531" s="52">
        <f t="shared" si="179"/>
        <v>-5.101265993226626</v>
      </c>
      <c r="AH531" s="52">
        <f t="shared" si="180"/>
        <v>-6.7643885305358475</v>
      </c>
      <c r="AI531" s="52">
        <f t="shared" si="181"/>
        <v>-0.66059038829670358</v>
      </c>
      <c r="AJ531" s="52">
        <f t="shared" si="182"/>
        <v>-21.65623660134618</v>
      </c>
      <c r="AK531" s="52">
        <f t="shared" si="183"/>
        <v>-6.0254130272186064</v>
      </c>
      <c r="AM531" s="52">
        <f t="shared" si="184"/>
        <v>122926.95204762468</v>
      </c>
      <c r="AN531" s="57">
        <f t="shared" si="185"/>
        <v>162329.11605720886</v>
      </c>
      <c r="AO531" s="57">
        <f t="shared" si="186"/>
        <v>152127.58439983084</v>
      </c>
    </row>
    <row r="532" spans="12:41" x14ac:dyDescent="0.25">
      <c r="L532" s="6">
        <v>529</v>
      </c>
      <c r="M532" s="52">
        <f t="shared" si="172"/>
        <v>15091.86408276168</v>
      </c>
      <c r="N532" s="52">
        <f t="shared" si="173"/>
        <v>8454.0449768827275</v>
      </c>
      <c r="P532" s="6">
        <v>529</v>
      </c>
      <c r="Q532" s="52">
        <f t="shared" si="187"/>
        <v>-23435.695142066823</v>
      </c>
      <c r="R532" s="52">
        <f t="shared" si="188"/>
        <v>10667.83148381791</v>
      </c>
      <c r="T532" s="6">
        <v>529</v>
      </c>
      <c r="U532" s="52">
        <f t="shared" si="174"/>
        <v>-9908.13591723832</v>
      </c>
      <c r="V532" s="52">
        <f t="shared" si="175"/>
        <v>-14045.955023117273</v>
      </c>
      <c r="X532" s="6">
        <v>528</v>
      </c>
      <c r="Y532" s="55">
        <v>264</v>
      </c>
      <c r="Z532" s="52">
        <f t="shared" si="189"/>
        <v>141500.19850772855</v>
      </c>
      <c r="AA532" s="52">
        <f t="shared" si="190"/>
        <v>26295.941462530533</v>
      </c>
      <c r="AB532" s="52">
        <f t="shared" si="191"/>
        <v>-136.29086456670203</v>
      </c>
      <c r="AC532" s="52">
        <f t="shared" si="192"/>
        <v>1033.874996590278</v>
      </c>
      <c r="AD532" s="52">
        <f t="shared" si="176"/>
        <v>-62.271141372146253</v>
      </c>
      <c r="AE532" s="52">
        <f t="shared" si="177"/>
        <v>-12.018246570348737</v>
      </c>
      <c r="AF532" s="52">
        <f t="shared" si="178"/>
        <v>-33.895543347674845</v>
      </c>
      <c r="AG532" s="52">
        <f t="shared" si="179"/>
        <v>-5.2436017095316689</v>
      </c>
      <c r="AH532" s="52">
        <f t="shared" si="180"/>
        <v>-6.7629644941166775</v>
      </c>
      <c r="AI532" s="52">
        <f t="shared" si="181"/>
        <v>-0.68240704672585129</v>
      </c>
      <c r="AJ532" s="52">
        <f t="shared" si="182"/>
        <v>-21.612633530354728</v>
      </c>
      <c r="AK532" s="52">
        <f t="shared" si="183"/>
        <v>-6.0922378140912166</v>
      </c>
      <c r="AM532" s="52">
        <f t="shared" si="184"/>
        <v>122945.45804087403</v>
      </c>
      <c r="AN532" s="57">
        <f t="shared" si="185"/>
        <v>162320.27546238934</v>
      </c>
      <c r="AO532" s="57">
        <f t="shared" si="186"/>
        <v>152209.27351538284</v>
      </c>
    </row>
    <row r="533" spans="12:41" x14ac:dyDescent="0.25">
      <c r="L533" s="6">
        <v>530</v>
      </c>
      <c r="M533" s="52">
        <f t="shared" si="172"/>
        <v>15075.961234938961</v>
      </c>
      <c r="N533" s="52">
        <f t="shared" si="173"/>
        <v>8368.2408883346525</v>
      </c>
      <c r="P533" s="6">
        <v>530</v>
      </c>
      <c r="Q533" s="52">
        <f t="shared" si="187"/>
        <v>-23446.827135542728</v>
      </c>
      <c r="R533" s="52">
        <f t="shared" si="188"/>
        <v>10607.768621834257</v>
      </c>
      <c r="T533" s="6">
        <v>530</v>
      </c>
      <c r="U533" s="52">
        <f t="shared" si="174"/>
        <v>-9924.0387650610392</v>
      </c>
      <c r="V533" s="52">
        <f t="shared" si="175"/>
        <v>-14131.759111665348</v>
      </c>
      <c r="X533" s="6">
        <v>529</v>
      </c>
      <c r="Y533" s="55">
        <v>264.5</v>
      </c>
      <c r="Z533" s="52">
        <f t="shared" si="189"/>
        <v>141424.26918277369</v>
      </c>
      <c r="AA533" s="52">
        <f t="shared" si="190"/>
        <v>26811.376680004378</v>
      </c>
      <c r="AB533" s="52">
        <f t="shared" si="191"/>
        <v>-167.42643525277515</v>
      </c>
      <c r="AC533" s="52">
        <f t="shared" si="192"/>
        <v>1027.8658733051036</v>
      </c>
      <c r="AD533" s="52">
        <f t="shared" si="176"/>
        <v>-62.205797851444579</v>
      </c>
      <c r="AE533" s="52">
        <f t="shared" si="177"/>
        <v>-12.251147032767271</v>
      </c>
      <c r="AF533" s="52">
        <f t="shared" si="178"/>
        <v>-33.870364822618079</v>
      </c>
      <c r="AG533" s="52">
        <f t="shared" si="179"/>
        <v>-5.3867598115347883</v>
      </c>
      <c r="AH533" s="52">
        <f t="shared" si="180"/>
        <v>-6.7626494506858021</v>
      </c>
      <c r="AI533" s="52">
        <f t="shared" si="181"/>
        <v>-0.70428968237469969</v>
      </c>
      <c r="AJ533" s="52">
        <f t="shared" si="182"/>
        <v>-21.572783578140701</v>
      </c>
      <c r="AK533" s="52">
        <f t="shared" si="183"/>
        <v>-6.1600975388577819</v>
      </c>
      <c r="AM533" s="52">
        <f t="shared" si="184"/>
        <v>122950.32499285108</v>
      </c>
      <c r="AN533" s="57">
        <f t="shared" si="185"/>
        <v>162297.31072038616</v>
      </c>
      <c r="AO533" s="57">
        <f t="shared" si="186"/>
        <v>152276.91166288662</v>
      </c>
    </row>
    <row r="534" spans="12:41" x14ac:dyDescent="0.25">
      <c r="L534" s="6">
        <v>531</v>
      </c>
      <c r="M534" s="52">
        <f t="shared" si="172"/>
        <v>15061.558297024312</v>
      </c>
      <c r="N534" s="52">
        <f t="shared" si="173"/>
        <v>8282.1723252011598</v>
      </c>
      <c r="P534" s="6">
        <v>531</v>
      </c>
      <c r="Q534" s="52">
        <f t="shared" si="187"/>
        <v>-23456.909192082981</v>
      </c>
      <c r="R534" s="52">
        <f t="shared" si="188"/>
        <v>10547.520627640812</v>
      </c>
      <c r="T534" s="6">
        <v>531</v>
      </c>
      <c r="U534" s="52">
        <f t="shared" si="174"/>
        <v>-9938.4417029756878</v>
      </c>
      <c r="V534" s="52">
        <f t="shared" si="175"/>
        <v>-14217.82767479884</v>
      </c>
      <c r="X534" s="6">
        <v>530</v>
      </c>
      <c r="Y534" s="55">
        <v>265</v>
      </c>
      <c r="Z534" s="52">
        <f t="shared" si="189"/>
        <v>141332.78024041586</v>
      </c>
      <c r="AA534" s="52">
        <f t="shared" si="190"/>
        <v>27323.778223277834</v>
      </c>
      <c r="AB534" s="52">
        <f t="shared" si="191"/>
        <v>-198.52933417849744</v>
      </c>
      <c r="AC534" s="52">
        <f t="shared" si="192"/>
        <v>1021.74029978872</v>
      </c>
      <c r="AD534" s="52">
        <f t="shared" si="176"/>
        <v>-62.152137217695568</v>
      </c>
      <c r="AE534" s="52">
        <f t="shared" si="177"/>
        <v>-12.486157245282822</v>
      </c>
      <c r="AF534" s="52">
        <f t="shared" si="178"/>
        <v>-33.852041197574451</v>
      </c>
      <c r="AG534" s="52">
        <f t="shared" si="179"/>
        <v>-5.5308660674903569</v>
      </c>
      <c r="AH534" s="52">
        <f t="shared" si="180"/>
        <v>-6.7634439368318402</v>
      </c>
      <c r="AI534" s="52">
        <f t="shared" si="181"/>
        <v>-0.72625292028467625</v>
      </c>
      <c r="AJ534" s="52">
        <f t="shared" si="182"/>
        <v>-21.53665208328928</v>
      </c>
      <c r="AK534" s="52">
        <f t="shared" si="183"/>
        <v>-6.2290382575077885</v>
      </c>
      <c r="AM534" s="52">
        <f t="shared" si="184"/>
        <v>122941.55417886481</v>
      </c>
      <c r="AN534" s="57">
        <f t="shared" si="185"/>
        <v>162260.2208553644</v>
      </c>
      <c r="AO534" s="57">
        <f t="shared" si="186"/>
        <v>152330.51163828949</v>
      </c>
    </row>
    <row r="535" spans="12:41" x14ac:dyDescent="0.25">
      <c r="L535" s="6">
        <v>532</v>
      </c>
      <c r="M535" s="52">
        <f t="shared" si="172"/>
        <v>15048.659656292148</v>
      </c>
      <c r="N535" s="52">
        <f t="shared" si="173"/>
        <v>8195.8655048003293</v>
      </c>
      <c r="P535" s="6">
        <v>532</v>
      </c>
      <c r="Q535" s="52">
        <f t="shared" si="187"/>
        <v>-23465.938240595497</v>
      </c>
      <c r="R535" s="52">
        <f t="shared" si="188"/>
        <v>10487.105853360232</v>
      </c>
      <c r="T535" s="6">
        <v>532</v>
      </c>
      <c r="U535" s="52">
        <f t="shared" si="174"/>
        <v>-9951.3403437078523</v>
      </c>
      <c r="V535" s="52">
        <f t="shared" si="175"/>
        <v>-14304.134495199671</v>
      </c>
      <c r="X535" s="6">
        <v>531</v>
      </c>
      <c r="Y535" s="55">
        <v>265.5</v>
      </c>
      <c r="Z535" s="52">
        <f t="shared" si="189"/>
        <v>141225.74655617439</v>
      </c>
      <c r="AA535" s="52">
        <f t="shared" si="190"/>
        <v>27833.087603516531</v>
      </c>
      <c r="AB535" s="52">
        <f t="shared" si="191"/>
        <v>-229.60540278734521</v>
      </c>
      <c r="AC535" s="52">
        <f t="shared" si="192"/>
        <v>1015.4972211660786</v>
      </c>
      <c r="AD535" s="52">
        <f t="shared" si="176"/>
        <v>-62.110116525843253</v>
      </c>
      <c r="AE535" s="52">
        <f t="shared" si="177"/>
        <v>-12.723465584169707</v>
      </c>
      <c r="AF535" s="52">
        <f t="shared" si="178"/>
        <v>-33.840558958334761</v>
      </c>
      <c r="AG535" s="52">
        <f t="shared" si="179"/>
        <v>-5.6760471219943227</v>
      </c>
      <c r="AH535" s="52">
        <f t="shared" si="180"/>
        <v>-6.7653495300600301</v>
      </c>
      <c r="AI535" s="52">
        <f t="shared" si="181"/>
        <v>-0.74831144165881713</v>
      </c>
      <c r="AJ535" s="52">
        <f t="shared" si="182"/>
        <v>-21.504208037448468</v>
      </c>
      <c r="AK535" s="52">
        <f t="shared" si="183"/>
        <v>-6.2991070205165673</v>
      </c>
      <c r="AM535" s="52">
        <f t="shared" si="184"/>
        <v>122919.14447958911</v>
      </c>
      <c r="AN535" s="57">
        <f t="shared" si="185"/>
        <v>162209.00211169067</v>
      </c>
      <c r="AO535" s="57">
        <f t="shared" si="186"/>
        <v>152370.08351235182</v>
      </c>
    </row>
    <row r="536" spans="12:41" x14ac:dyDescent="0.25">
      <c r="L536" s="6">
        <v>533</v>
      </c>
      <c r="M536" s="52">
        <f t="shared" si="172"/>
        <v>15037.26924179339</v>
      </c>
      <c r="N536" s="52">
        <f t="shared" si="173"/>
        <v>8109.3467170257454</v>
      </c>
      <c r="P536" s="6">
        <v>533</v>
      </c>
      <c r="Q536" s="52">
        <f t="shared" si="187"/>
        <v>-23473.911530744626</v>
      </c>
      <c r="R536" s="52">
        <f t="shared" si="188"/>
        <v>10426.542701918022</v>
      </c>
      <c r="T536" s="6">
        <v>533</v>
      </c>
      <c r="U536" s="52">
        <f t="shared" si="174"/>
        <v>-9962.7307582066096</v>
      </c>
      <c r="V536" s="52">
        <f t="shared" si="175"/>
        <v>-14390.653282974254</v>
      </c>
      <c r="X536" s="6">
        <v>532</v>
      </c>
      <c r="Y536" s="55">
        <v>266</v>
      </c>
      <c r="Z536" s="52">
        <f t="shared" si="189"/>
        <v>141103.180090215</v>
      </c>
      <c r="AA536" s="52">
        <f t="shared" si="190"/>
        <v>28339.24578090155</v>
      </c>
      <c r="AB536" s="52">
        <f t="shared" si="191"/>
        <v>-260.66046105026686</v>
      </c>
      <c r="AC536" s="52">
        <f t="shared" si="192"/>
        <v>1009.1354883739938</v>
      </c>
      <c r="AD536" s="52">
        <f t="shared" si="176"/>
        <v>-62.079704755052532</v>
      </c>
      <c r="AE536" s="52">
        <f t="shared" si="177"/>
        <v>-12.963262756877864</v>
      </c>
      <c r="AF536" s="52">
        <f t="shared" si="178"/>
        <v>-33.835911884764258</v>
      </c>
      <c r="AG536" s="52">
        <f t="shared" si="179"/>
        <v>-5.822430785568633</v>
      </c>
      <c r="AH536" s="52">
        <f t="shared" si="180"/>
        <v>-6.7683688532094113</v>
      </c>
      <c r="AI536" s="52">
        <f t="shared" si="181"/>
        <v>-0.77048001079368689</v>
      </c>
      <c r="AJ536" s="52">
        <f t="shared" si="182"/>
        <v>-21.475424017078861</v>
      </c>
      <c r="AK536" s="52">
        <f t="shared" si="183"/>
        <v>-6.3703519605155439</v>
      </c>
      <c r="AM536" s="52">
        <f t="shared" si="184"/>
        <v>122883.09237921982</v>
      </c>
      <c r="AN536" s="57">
        <f t="shared" si="185"/>
        <v>162143.64795141548</v>
      </c>
      <c r="AO536" s="57">
        <f t="shared" si="186"/>
        <v>152395.63464000926</v>
      </c>
    </row>
    <row r="537" spans="12:41" x14ac:dyDescent="0.25">
      <c r="L537" s="6">
        <v>534</v>
      </c>
      <c r="M537" s="52">
        <f t="shared" si="172"/>
        <v>15027.390523158632</v>
      </c>
      <c r="N537" s="52">
        <f t="shared" si="173"/>
        <v>8022.6423163382724</v>
      </c>
      <c r="P537" s="6">
        <v>534</v>
      </c>
      <c r="Q537" s="52">
        <f t="shared" si="187"/>
        <v>-23480.826633788958</v>
      </c>
      <c r="R537" s="52">
        <f t="shared" si="188"/>
        <v>10365.84962143679</v>
      </c>
      <c r="T537" s="6">
        <v>534</v>
      </c>
      <c r="U537" s="52">
        <f t="shared" si="174"/>
        <v>-9972.6094768413677</v>
      </c>
      <c r="V537" s="52">
        <f t="shared" si="175"/>
        <v>-14477.357683661729</v>
      </c>
      <c r="X537" s="6">
        <v>533</v>
      </c>
      <c r="Y537" s="55">
        <v>266.5</v>
      </c>
      <c r="Z537" s="52">
        <f t="shared" si="189"/>
        <v>140965.08989659548</v>
      </c>
      <c r="AA537" s="52">
        <f t="shared" si="190"/>
        <v>28842.193117243936</v>
      </c>
      <c r="AB537" s="52">
        <f t="shared" si="191"/>
        <v>-291.70031342779311</v>
      </c>
      <c r="AC537" s="52">
        <f t="shared" si="192"/>
        <v>1002.6538569955549</v>
      </c>
      <c r="AD537" s="52">
        <f t="shared" si="176"/>
        <v>-62.060882748297047</v>
      </c>
      <c r="AE537" s="52">
        <f t="shared" si="177"/>
        <v>-13.20574221198496</v>
      </c>
      <c r="AF537" s="52">
        <f t="shared" si="178"/>
        <v>-33.838101043206855</v>
      </c>
      <c r="AG537" s="52">
        <f t="shared" si="179"/>
        <v>-5.9701463273600188</v>
      </c>
      <c r="AH537" s="52">
        <f t="shared" si="180"/>
        <v>-6.7725055813020614</v>
      </c>
      <c r="AI537" s="52">
        <f t="shared" si="181"/>
        <v>-0.79277350220772835</v>
      </c>
      <c r="AJ537" s="52">
        <f t="shared" si="182"/>
        <v>-21.450276123788132</v>
      </c>
      <c r="AK537" s="52">
        <f t="shared" si="183"/>
        <v>-6.4428223824172131</v>
      </c>
      <c r="AM537" s="52">
        <f t="shared" si="184"/>
        <v>122833.3919614091</v>
      </c>
      <c r="AN537" s="57">
        <f t="shared" si="185"/>
        <v>162064.14904872261</v>
      </c>
      <c r="AO537" s="57">
        <f t="shared" si="186"/>
        <v>152407.16966682018</v>
      </c>
    </row>
    <row r="538" spans="12:41" x14ac:dyDescent="0.25">
      <c r="L538" s="6">
        <v>535</v>
      </c>
      <c r="M538" s="52">
        <f t="shared" si="172"/>
        <v>15019.026509541272</v>
      </c>
      <c r="N538" s="52">
        <f t="shared" si="173"/>
        <v>7935.778713738292</v>
      </c>
      <c r="P538" s="6">
        <v>535</v>
      </c>
      <c r="Q538" s="52">
        <f t="shared" si="187"/>
        <v>-23486.681443321111</v>
      </c>
      <c r="R538" s="52">
        <f t="shared" si="188"/>
        <v>10305.045099616804</v>
      </c>
      <c r="T538" s="6">
        <v>535</v>
      </c>
      <c r="U538" s="52">
        <f t="shared" si="174"/>
        <v>-9980.9734904587276</v>
      </c>
      <c r="V538" s="52">
        <f t="shared" si="175"/>
        <v>-14564.221286261707</v>
      </c>
      <c r="X538" s="6">
        <v>534</v>
      </c>
      <c r="Y538" s="55">
        <v>267</v>
      </c>
      <c r="Z538" s="52">
        <f t="shared" si="189"/>
        <v>140811.48212953805</v>
      </c>
      <c r="AA538" s="52">
        <f t="shared" si="190"/>
        <v>29341.869327965214</v>
      </c>
      <c r="AB538" s="52">
        <f t="shared" si="191"/>
        <v>-322.73075480194166</v>
      </c>
      <c r="AC538" s="52">
        <f t="shared" si="192"/>
        <v>996.05098588956241</v>
      </c>
      <c r="AD538" s="52">
        <f t="shared" si="176"/>
        <v>-62.053643180945315</v>
      </c>
      <c r="AE538" s="52">
        <f t="shared" si="177"/>
        <v>-13.451100556607905</v>
      </c>
      <c r="AF538" s="52">
        <f t="shared" si="178"/>
        <v>-33.847134797084202</v>
      </c>
      <c r="AG538" s="52">
        <f t="shared" si="179"/>
        <v>-6.1193247722203443</v>
      </c>
      <c r="AH538" s="52">
        <f t="shared" si="180"/>
        <v>-6.7777644508546313</v>
      </c>
      <c r="AI538" s="52">
        <f t="shared" si="181"/>
        <v>-0.81520692806349404</v>
      </c>
      <c r="AJ538" s="52">
        <f t="shared" si="182"/>
        <v>-21.428743933006484</v>
      </c>
      <c r="AK538" s="52">
        <f t="shared" si="183"/>
        <v>-6.5165688563240671</v>
      </c>
      <c r="AM538" s="52">
        <f t="shared" si="184"/>
        <v>122770.03490296645</v>
      </c>
      <c r="AN538" s="57">
        <f t="shared" si="185"/>
        <v>161970.49328133449</v>
      </c>
      <c r="AO538" s="57">
        <f t="shared" si="186"/>
        <v>152404.69053251261</v>
      </c>
    </row>
    <row r="539" spans="12:41" x14ac:dyDescent="0.25">
      <c r="L539" s="6">
        <v>536</v>
      </c>
      <c r="M539" s="52">
        <f t="shared" si="172"/>
        <v>15012.179748700879</v>
      </c>
      <c r="N539" s="52">
        <f t="shared" si="173"/>
        <v>7848.7823687206328</v>
      </c>
      <c r="P539" s="6">
        <v>536</v>
      </c>
      <c r="Q539" s="52">
        <f t="shared" si="187"/>
        <v>-23491.474175909385</v>
      </c>
      <c r="R539" s="52">
        <f t="shared" si="188"/>
        <v>10244.147658104443</v>
      </c>
      <c r="T539" s="6">
        <v>536</v>
      </c>
      <c r="U539" s="52">
        <f t="shared" si="174"/>
        <v>-9987.8202512991211</v>
      </c>
      <c r="V539" s="52">
        <f t="shared" si="175"/>
        <v>-14651.217631279367</v>
      </c>
      <c r="X539" s="6">
        <v>535</v>
      </c>
      <c r="Y539" s="55">
        <v>267.5</v>
      </c>
      <c r="Z539" s="52">
        <f t="shared" si="189"/>
        <v>140642.36004673946</v>
      </c>
      <c r="AA539" s="52">
        <f t="shared" si="190"/>
        <v>29838.213433340417</v>
      </c>
      <c r="AB539" s="52">
        <f t="shared" si="191"/>
        <v>-353.75757639241431</v>
      </c>
      <c r="AC539" s="52">
        <f t="shared" si="192"/>
        <v>989.32543561125851</v>
      </c>
      <c r="AD539" s="52">
        <f t="shared" si="176"/>
        <v>-62.057990558249564</v>
      </c>
      <c r="AE539" s="52">
        <f t="shared" si="177"/>
        <v>-13.699537983004845</v>
      </c>
      <c r="AF539" s="52">
        <f t="shared" si="178"/>
        <v>-33.86302883576171</v>
      </c>
      <c r="AG539" s="52">
        <f t="shared" si="179"/>
        <v>-6.2700992034600871</v>
      </c>
      <c r="AH539" s="52">
        <f t="shared" si="180"/>
        <v>-6.7841512716945855</v>
      </c>
      <c r="AI539" s="52">
        <f t="shared" si="181"/>
        <v>-0.83779546598286347</v>
      </c>
      <c r="AJ539" s="52">
        <f t="shared" si="182"/>
        <v>-21.410810450793271</v>
      </c>
      <c r="AK539" s="52">
        <f t="shared" si="183"/>
        <v>-6.591643313561895</v>
      </c>
      <c r="AM539" s="52">
        <f t="shared" si="184"/>
        <v>122693.01046530966</v>
      </c>
      <c r="AN539" s="57">
        <f t="shared" si="185"/>
        <v>161862.66571885266</v>
      </c>
      <c r="AO539" s="57">
        <f t="shared" si="186"/>
        <v>152388.19647163581</v>
      </c>
    </row>
    <row r="540" spans="12:41" x14ac:dyDescent="0.25">
      <c r="L540" s="6">
        <v>537</v>
      </c>
      <c r="M540" s="52">
        <f t="shared" si="172"/>
        <v>15006.85232622713</v>
      </c>
      <c r="N540" s="52">
        <f t="shared" si="173"/>
        <v>7761.6797812147224</v>
      </c>
      <c r="P540" s="6">
        <v>537</v>
      </c>
      <c r="Q540" s="52">
        <f t="shared" si="187"/>
        <v>-23495.203371641008</v>
      </c>
      <c r="R540" s="52">
        <f t="shared" si="188"/>
        <v>10183.175846850305</v>
      </c>
      <c r="T540" s="6">
        <v>537</v>
      </c>
      <c r="U540" s="52">
        <f t="shared" si="174"/>
        <v>-9993.1476737728699</v>
      </c>
      <c r="V540" s="52">
        <f t="shared" si="175"/>
        <v>-14738.320218785277</v>
      </c>
      <c r="X540" s="6">
        <v>536</v>
      </c>
      <c r="Y540" s="55">
        <v>268</v>
      </c>
      <c r="Z540" s="52">
        <f t="shared" si="189"/>
        <v>140457.72400972346</v>
      </c>
      <c r="AA540" s="52">
        <f t="shared" si="190"/>
        <v>30331.16370889817</v>
      </c>
      <c r="AB540" s="52">
        <f t="shared" si="191"/>
        <v>-384.78657167153909</v>
      </c>
      <c r="AC540" s="52">
        <f t="shared" si="192"/>
        <v>982.47566661975611</v>
      </c>
      <c r="AD540" s="52">
        <f t="shared" si="176"/>
        <v>-62.073941241766931</v>
      </c>
      <c r="AE540" s="52">
        <f t="shared" si="177"/>
        <v>-13.951258706148234</v>
      </c>
      <c r="AF540" s="52">
        <f t="shared" si="178"/>
        <v>-33.885806221830904</v>
      </c>
      <c r="AG540" s="52">
        <f t="shared" si="179"/>
        <v>-6.4226050725993424</v>
      </c>
      <c r="AH540" s="52">
        <f t="shared" si="180"/>
        <v>-6.7916729413337764</v>
      </c>
      <c r="AI540" s="52">
        <f t="shared" si="181"/>
        <v>-0.86055448735632956</v>
      </c>
      <c r="AJ540" s="52">
        <f t="shared" si="182"/>
        <v>-21.396462078602251</v>
      </c>
      <c r="AK540" s="52">
        <f t="shared" si="183"/>
        <v>-6.6680991461925618</v>
      </c>
      <c r="AM540" s="52">
        <f t="shared" si="184"/>
        <v>122602.30548364585</v>
      </c>
      <c r="AN540" s="57">
        <f t="shared" si="185"/>
        <v>161740.64860800639</v>
      </c>
      <c r="AO540" s="57">
        <f t="shared" si="186"/>
        <v>152357.68401131532</v>
      </c>
    </row>
    <row r="541" spans="12:41" x14ac:dyDescent="0.25">
      <c r="L541" s="6">
        <v>538</v>
      </c>
      <c r="M541" s="52">
        <f t="shared" si="172"/>
        <v>15003.045864904521</v>
      </c>
      <c r="N541" s="52">
        <f t="shared" si="173"/>
        <v>7674.4974835125049</v>
      </c>
      <c r="P541" s="6">
        <v>538</v>
      </c>
      <c r="Q541" s="52">
        <f t="shared" si="187"/>
        <v>-23497.867894566836</v>
      </c>
      <c r="R541" s="52">
        <f t="shared" si="188"/>
        <v>10122.148238458753</v>
      </c>
      <c r="T541" s="6">
        <v>538</v>
      </c>
      <c r="U541" s="52">
        <f t="shared" si="174"/>
        <v>-9996.9541350954787</v>
      </c>
      <c r="V541" s="52">
        <f t="shared" si="175"/>
        <v>-14825.502516487495</v>
      </c>
      <c r="X541" s="6">
        <v>537</v>
      </c>
      <c r="Y541" s="55">
        <v>268.5</v>
      </c>
      <c r="Z541" s="52">
        <f t="shared" si="189"/>
        <v>140257.57148123247</v>
      </c>
      <c r="AA541" s="52">
        <f t="shared" si="190"/>
        <v>30820.657634869778</v>
      </c>
      <c r="AB541" s="52">
        <f t="shared" si="191"/>
        <v>-415.82354229242253</v>
      </c>
      <c r="AC541" s="52">
        <f t="shared" si="192"/>
        <v>975.50003726668194</v>
      </c>
      <c r="AD541" s="52">
        <f t="shared" si="176"/>
        <v>-62.101523504872375</v>
      </c>
      <c r="AE541" s="52">
        <f t="shared" si="177"/>
        <v>-14.20647141411127</v>
      </c>
      <c r="AF541" s="52">
        <f t="shared" si="178"/>
        <v>-33.915497457043422</v>
      </c>
      <c r="AG541" s="52">
        <f t="shared" si="179"/>
        <v>-6.5769805174840066</v>
      </c>
      <c r="AH541" s="52">
        <f t="shared" si="180"/>
        <v>-6.8003374619636947</v>
      </c>
      <c r="AI541" s="52">
        <f t="shared" si="181"/>
        <v>-0.88349958625016645</v>
      </c>
      <c r="AJ541" s="52">
        <f t="shared" si="182"/>
        <v>-21.38568858586526</v>
      </c>
      <c r="AK541" s="52">
        <f t="shared" si="183"/>
        <v>-6.7459913103770983</v>
      </c>
      <c r="AM541" s="52">
        <f t="shared" si="184"/>
        <v>122497.90435385639</v>
      </c>
      <c r="AN541" s="57">
        <f t="shared" si="185"/>
        <v>161604.42135477235</v>
      </c>
      <c r="AO541" s="57">
        <f t="shared" si="186"/>
        <v>152313.14696610175</v>
      </c>
    </row>
    <row r="542" spans="12:41" x14ac:dyDescent="0.25">
      <c r="L542" s="6">
        <v>539</v>
      </c>
      <c r="M542" s="52">
        <f t="shared" si="172"/>
        <v>15000.761524218044</v>
      </c>
      <c r="N542" s="52">
        <f t="shared" si="173"/>
        <v>7587.2620321864142</v>
      </c>
      <c r="P542" s="6">
        <v>539</v>
      </c>
      <c r="Q542" s="52">
        <f t="shared" si="187"/>
        <v>-23499.46693304737</v>
      </c>
      <c r="R542" s="52">
        <f t="shared" si="188"/>
        <v>10061.08342253049</v>
      </c>
      <c r="T542" s="6">
        <v>539</v>
      </c>
      <c r="U542" s="52">
        <f t="shared" si="174"/>
        <v>-9999.2384757819564</v>
      </c>
      <c r="V542" s="52">
        <f t="shared" si="175"/>
        <v>-14912.737967813586</v>
      </c>
      <c r="X542" s="6">
        <v>538</v>
      </c>
      <c r="Y542" s="55">
        <v>269</v>
      </c>
      <c r="Z542" s="52">
        <f t="shared" si="189"/>
        <v>140041.89701964817</v>
      </c>
      <c r="AA542" s="52">
        <f t="shared" si="190"/>
        <v>31306.631844576357</v>
      </c>
      <c r="AB542" s="52">
        <f t="shared" si="191"/>
        <v>-446.87430404485872</v>
      </c>
      <c r="AC542" s="52">
        <f t="shared" si="192"/>
        <v>968.39680155962628</v>
      </c>
      <c r="AD542" s="52">
        <f t="shared" si="176"/>
        <v>-62.140777617658436</v>
      </c>
      <c r="AE542" s="52">
        <f t="shared" si="177"/>
        <v>-14.465389733186328</v>
      </c>
      <c r="AF542" s="52">
        <f t="shared" si="178"/>
        <v>-33.95214056721845</v>
      </c>
      <c r="AG542" s="52">
        <f t="shared" si="179"/>
        <v>-6.7333666901879869</v>
      </c>
      <c r="AH542" s="52">
        <f t="shared" si="180"/>
        <v>-6.8101539601487122</v>
      </c>
      <c r="AI542" s="52">
        <f t="shared" si="181"/>
        <v>-0.90664660901862715</v>
      </c>
      <c r="AJ542" s="52">
        <f t="shared" si="182"/>
        <v>-21.378483090291276</v>
      </c>
      <c r="AK542" s="52">
        <f t="shared" si="183"/>
        <v>-6.8253764339797147</v>
      </c>
      <c r="AM542" s="52">
        <f t="shared" si="184"/>
        <v>122379.78901705547</v>
      </c>
      <c r="AN542" s="57">
        <f t="shared" si="185"/>
        <v>161453.96050332114</v>
      </c>
      <c r="AO542" s="57">
        <f t="shared" si="186"/>
        <v>152254.57642989705</v>
      </c>
    </row>
    <row r="543" spans="12:41" x14ac:dyDescent="0.25">
      <c r="L543" s="6">
        <v>540</v>
      </c>
      <c r="M543" s="52">
        <f t="shared" si="172"/>
        <v>15000</v>
      </c>
      <c r="N543" s="52">
        <f t="shared" si="173"/>
        <v>7500.0000000000018</v>
      </c>
      <c r="P543" s="6">
        <v>540</v>
      </c>
      <c r="Q543" s="52">
        <f t="shared" si="187"/>
        <v>-23500</v>
      </c>
      <c r="R543" s="52">
        <f t="shared" si="188"/>
        <v>10000.000000000002</v>
      </c>
      <c r="T543" s="6">
        <v>540</v>
      </c>
      <c r="U543" s="52">
        <f t="shared" si="174"/>
        <v>-10000</v>
      </c>
      <c r="V543" s="52">
        <f t="shared" si="175"/>
        <v>-14999.999999999998</v>
      </c>
      <c r="X543" s="6">
        <v>539</v>
      </c>
      <c r="Y543" s="55">
        <v>269.5</v>
      </c>
      <c r="Z543" s="52">
        <f t="shared" si="189"/>
        <v>139810.69227042352</v>
      </c>
      <c r="AA543" s="52">
        <f t="shared" si="190"/>
        <v>31789.022071639523</v>
      </c>
      <c r="AB543" s="52">
        <f t="shared" si="191"/>
        <v>-477.94469285368791</v>
      </c>
      <c r="AC543" s="52">
        <f t="shared" si="192"/>
        <v>961.16410669303309</v>
      </c>
      <c r="AD543" s="52">
        <f t="shared" si="176"/>
        <v>-62.191755961630776</v>
      </c>
      <c r="AE543" s="52">
        <f t="shared" si="177"/>
        <v>-14.728232709737352</v>
      </c>
      <c r="AF543" s="52">
        <f t="shared" si="178"/>
        <v>-33.995781206523297</v>
      </c>
      <c r="AG543" s="52">
        <f t="shared" si="179"/>
        <v>-6.891908096183422</v>
      </c>
      <c r="AH543" s="52">
        <f t="shared" si="180"/>
        <v>-6.8211327093051404</v>
      </c>
      <c r="AI543" s="52">
        <f t="shared" si="181"/>
        <v>-0.93001168473217655</v>
      </c>
      <c r="AJ543" s="52">
        <f t="shared" si="182"/>
        <v>-21.374842045802342</v>
      </c>
      <c r="AK543" s="52">
        <f t="shared" si="183"/>
        <v>-6.9063129288217544</v>
      </c>
      <c r="AM543" s="52">
        <f t="shared" si="184"/>
        <v>122247.93894178631</v>
      </c>
      <c r="AN543" s="57">
        <f t="shared" si="185"/>
        <v>161289.23971173773</v>
      </c>
      <c r="AO543" s="57">
        <f t="shared" si="186"/>
        <v>152181.9607649332</v>
      </c>
    </row>
    <row r="544" spans="12:41" x14ac:dyDescent="0.25">
      <c r="L544" s="6">
        <v>541</v>
      </c>
      <c r="M544" s="52">
        <f t="shared" si="172"/>
        <v>15000.761524218044</v>
      </c>
      <c r="N544" s="52">
        <f t="shared" si="173"/>
        <v>7412.7379678135812</v>
      </c>
      <c r="P544" s="6">
        <v>541</v>
      </c>
      <c r="Q544" s="52">
        <f t="shared" si="187"/>
        <v>-23499.46693304737</v>
      </c>
      <c r="R544" s="52">
        <f t="shared" si="188"/>
        <v>9938.9165774695066</v>
      </c>
      <c r="T544" s="6">
        <v>541</v>
      </c>
      <c r="U544" s="52">
        <f t="shared" si="174"/>
        <v>-9999.2384757819564</v>
      </c>
      <c r="V544" s="52">
        <f t="shared" si="175"/>
        <v>-15087.26203218642</v>
      </c>
      <c r="X544" s="6">
        <v>540</v>
      </c>
      <c r="Y544" s="55">
        <v>270</v>
      </c>
      <c r="Z544" s="52">
        <f t="shared" si="189"/>
        <v>139563.94595450148</v>
      </c>
      <c r="AA544" s="52">
        <f t="shared" si="190"/>
        <v>32267.76309589732</v>
      </c>
      <c r="AB544" s="52">
        <f t="shared" si="191"/>
        <v>-509.04057083450328</v>
      </c>
      <c r="AC544" s="52">
        <f t="shared" si="192"/>
        <v>953.79999033816443</v>
      </c>
      <c r="AD544" s="52">
        <f t="shared" si="176"/>
        <v>-62.254523174768551</v>
      </c>
      <c r="AE544" s="52">
        <f t="shared" si="177"/>
        <v>-14.995225310896441</v>
      </c>
      <c r="AF544" s="52">
        <f t="shared" si="178"/>
        <v>-34.046472781628566</v>
      </c>
      <c r="AG544" s="52">
        <f t="shared" si="179"/>
        <v>-7.052752946337038</v>
      </c>
      <c r="AH544" s="52">
        <f t="shared" si="180"/>
        <v>-6.8332851550688627</v>
      </c>
      <c r="AI544" s="52">
        <f t="shared" si="181"/>
        <v>-0.95361125653769752</v>
      </c>
      <c r="AJ544" s="52">
        <f t="shared" si="182"/>
        <v>-21.374765238071124</v>
      </c>
      <c r="AK544" s="52">
        <f t="shared" si="183"/>
        <v>-6.9888611080217045</v>
      </c>
      <c r="AM544" s="52">
        <f t="shared" si="184"/>
        <v>122102.33110381408</v>
      </c>
      <c r="AN544" s="57">
        <f t="shared" si="185"/>
        <v>161110.22972445318</v>
      </c>
      <c r="AO544" s="57">
        <f t="shared" si="186"/>
        <v>152095.28558777191</v>
      </c>
    </row>
    <row r="545" spans="12:41" x14ac:dyDescent="0.25">
      <c r="L545" s="6">
        <v>542</v>
      </c>
      <c r="M545" s="52">
        <f t="shared" si="172"/>
        <v>15003.045864904521</v>
      </c>
      <c r="N545" s="52">
        <f t="shared" si="173"/>
        <v>7325.5025164874987</v>
      </c>
      <c r="P545" s="6">
        <v>542</v>
      </c>
      <c r="Q545" s="52">
        <f t="shared" si="187"/>
        <v>-23497.867894566836</v>
      </c>
      <c r="R545" s="52">
        <f t="shared" si="188"/>
        <v>9877.8517615412493</v>
      </c>
      <c r="T545" s="6">
        <v>542</v>
      </c>
      <c r="U545" s="52">
        <f t="shared" si="174"/>
        <v>-9996.9541350954787</v>
      </c>
      <c r="V545" s="52">
        <f t="shared" si="175"/>
        <v>-15174.497483512501</v>
      </c>
      <c r="X545" s="6">
        <v>541</v>
      </c>
      <c r="Y545" s="55">
        <v>270.5</v>
      </c>
      <c r="Z545" s="52">
        <f t="shared" si="189"/>
        <v>139301.64385368739</v>
      </c>
      <c r="AA545" s="52">
        <f t="shared" si="190"/>
        <v>32742.788687902539</v>
      </c>
      <c r="AB545" s="52">
        <f t="shared" si="191"/>
        <v>-540.16783242188751</v>
      </c>
      <c r="AC545" s="52">
        <f t="shared" si="192"/>
        <v>946.30237768271627</v>
      </c>
      <c r="AD545" s="52">
        <f t="shared" si="176"/>
        <v>-62.329156327637875</v>
      </c>
      <c r="AE545" s="52">
        <f t="shared" si="177"/>
        <v>-15.266598946327122</v>
      </c>
      <c r="AF545" s="52">
        <f t="shared" si="178"/>
        <v>-34.104276596325121</v>
      </c>
      <c r="AG545" s="52">
        <f t="shared" si="179"/>
        <v>-7.2160535233748728</v>
      </c>
      <c r="AH545" s="52">
        <f t="shared" si="180"/>
        <v>-6.8466239436664909</v>
      </c>
      <c r="AI545" s="52">
        <f t="shared" si="181"/>
        <v>-0.97746211407181705</v>
      </c>
      <c r="AJ545" s="52">
        <f t="shared" si="182"/>
        <v>-21.37825578764626</v>
      </c>
      <c r="AK545" s="52">
        <f t="shared" si="183"/>
        <v>-7.0730833088804319</v>
      </c>
      <c r="AM545" s="52">
        <f t="shared" si="184"/>
        <v>121942.93996346885</v>
      </c>
      <c r="AN545" s="57">
        <f t="shared" si="185"/>
        <v>160916.89834131667</v>
      </c>
      <c r="AO545" s="57">
        <f t="shared" si="186"/>
        <v>151994.53375228384</v>
      </c>
    </row>
    <row r="546" spans="12:41" x14ac:dyDescent="0.25">
      <c r="L546" s="6">
        <v>543</v>
      </c>
      <c r="M546" s="52">
        <f t="shared" si="172"/>
        <v>15006.85232622713</v>
      </c>
      <c r="N546" s="52">
        <f t="shared" si="173"/>
        <v>7238.3202187852812</v>
      </c>
      <c r="P546" s="6">
        <v>543</v>
      </c>
      <c r="Q546" s="52">
        <f t="shared" si="187"/>
        <v>-23495.203371641008</v>
      </c>
      <c r="R546" s="52">
        <f t="shared" si="188"/>
        <v>9816.8241531496969</v>
      </c>
      <c r="T546" s="6">
        <v>543</v>
      </c>
      <c r="U546" s="52">
        <f t="shared" si="174"/>
        <v>-9993.1476737728699</v>
      </c>
      <c r="V546" s="52">
        <f t="shared" si="175"/>
        <v>-15261.67978121472</v>
      </c>
      <c r="X546" s="6">
        <v>542</v>
      </c>
      <c r="Y546" s="55">
        <v>271</v>
      </c>
      <c r="Z546" s="52">
        <f t="shared" si="189"/>
        <v>139023.7687929355</v>
      </c>
      <c r="AA546" s="52">
        <f t="shared" si="190"/>
        <v>33214.031551875611</v>
      </c>
      <c r="AB546" s="52">
        <f t="shared" si="191"/>
        <v>-571.3324105857065</v>
      </c>
      <c r="AC546" s="52">
        <f t="shared" si="192"/>
        <v>938.66907820955271</v>
      </c>
      <c r="AD546" s="52">
        <f t="shared" si="176"/>
        <v>-62.415745131393798</v>
      </c>
      <c r="AE546" s="52">
        <f t="shared" si="177"/>
        <v>-15.542592013411467</v>
      </c>
      <c r="AF546" s="52">
        <f t="shared" si="178"/>
        <v>-34.169262017284687</v>
      </c>
      <c r="AG546" s="52">
        <f t="shared" si="179"/>
        <v>-7.3819665645549053</v>
      </c>
      <c r="AH546" s="52">
        <f t="shared" si="180"/>
        <v>-6.8611629534197958</v>
      </c>
      <c r="AI546" s="52">
        <f t="shared" si="181"/>
        <v>-1.0015814270547136</v>
      </c>
      <c r="AJ546" s="52">
        <f t="shared" si="182"/>
        <v>-21.385320160689318</v>
      </c>
      <c r="AK546" s="52">
        <f t="shared" si="183"/>
        <v>-7.1590440218018472</v>
      </c>
      <c r="AM546" s="52">
        <f t="shared" si="184"/>
        <v>121769.73744048651</v>
      </c>
      <c r="AN546" s="57">
        <f t="shared" si="185"/>
        <v>160709.21038322753</v>
      </c>
      <c r="AO546" s="57">
        <f t="shared" si="186"/>
        <v>151879.6853295601</v>
      </c>
    </row>
    <row r="547" spans="12:41" x14ac:dyDescent="0.25">
      <c r="L547" s="6">
        <v>544</v>
      </c>
      <c r="M547" s="52">
        <f t="shared" si="172"/>
        <v>15012.179748700879</v>
      </c>
      <c r="N547" s="52">
        <f t="shared" si="173"/>
        <v>7151.2176312793708</v>
      </c>
      <c r="P547" s="6">
        <v>544</v>
      </c>
      <c r="Q547" s="52">
        <f t="shared" si="187"/>
        <v>-23491.474175909385</v>
      </c>
      <c r="R547" s="52">
        <f t="shared" si="188"/>
        <v>9755.8523418955592</v>
      </c>
      <c r="T547" s="6">
        <v>544</v>
      </c>
      <c r="U547" s="52">
        <f t="shared" si="174"/>
        <v>-9987.8202512991211</v>
      </c>
      <c r="V547" s="52">
        <f t="shared" si="175"/>
        <v>-15348.782368720629</v>
      </c>
      <c r="X547" s="6">
        <v>543</v>
      </c>
      <c r="Y547" s="55">
        <v>271.5</v>
      </c>
      <c r="Z547" s="52">
        <f t="shared" si="189"/>
        <v>138730.30061950121</v>
      </c>
      <c r="AA547" s="52">
        <f t="shared" si="190"/>
        <v>33681.423266978709</v>
      </c>
      <c r="AB547" s="52">
        <f t="shared" si="191"/>
        <v>-602.5402831514034</v>
      </c>
      <c r="AC547" s="52">
        <f t="shared" si="192"/>
        <v>930.897782202847</v>
      </c>
      <c r="AD547" s="52">
        <f t="shared" si="176"/>
        <v>-62.514392178669794</v>
      </c>
      <c r="AE547" s="52">
        <f t="shared" si="177"/>
        <v>-15.823450468372089</v>
      </c>
      <c r="AF547" s="52">
        <f t="shared" si="178"/>
        <v>-34.241506661761044</v>
      </c>
      <c r="AG547" s="52">
        <f t="shared" si="179"/>
        <v>-7.5506536624012393</v>
      </c>
      <c r="AH547" s="52">
        <f t="shared" si="180"/>
        <v>-6.8769173295297126</v>
      </c>
      <c r="AI547" s="52">
        <f t="shared" si="181"/>
        <v>-1.0259867801989537</v>
      </c>
      <c r="AJ547" s="52">
        <f t="shared" si="182"/>
        <v>-21.395968187379037</v>
      </c>
      <c r="AK547" s="52">
        <f t="shared" si="183"/>
        <v>-7.2468100257718966</v>
      </c>
      <c r="AM547" s="52">
        <f t="shared" si="184"/>
        <v>121582.69288628963</v>
      </c>
      <c r="AN547" s="57">
        <f t="shared" si="185"/>
        <v>160487.12765423596</v>
      </c>
      <c r="AO547" s="57">
        <f t="shared" si="186"/>
        <v>151750.71758469852</v>
      </c>
    </row>
    <row r="548" spans="12:41" x14ac:dyDescent="0.25">
      <c r="L548" s="6">
        <v>545</v>
      </c>
      <c r="M548" s="52">
        <f t="shared" si="172"/>
        <v>15019.026509541272</v>
      </c>
      <c r="N548" s="52">
        <f t="shared" si="173"/>
        <v>7064.2212862617116</v>
      </c>
      <c r="P548" s="6">
        <v>545</v>
      </c>
      <c r="Q548" s="52">
        <f t="shared" si="187"/>
        <v>-23486.681443321111</v>
      </c>
      <c r="R548" s="52">
        <f t="shared" si="188"/>
        <v>9694.954900383198</v>
      </c>
      <c r="T548" s="6">
        <v>545</v>
      </c>
      <c r="U548" s="52">
        <f t="shared" si="174"/>
        <v>-9980.9734904587276</v>
      </c>
      <c r="V548" s="52">
        <f t="shared" si="175"/>
        <v>-15435.778713738289</v>
      </c>
      <c r="X548" s="6">
        <v>544</v>
      </c>
      <c r="Y548" s="55">
        <v>272</v>
      </c>
      <c r="Z548" s="52">
        <f t="shared" si="189"/>
        <v>138421.21617890318</v>
      </c>
      <c r="AA548" s="52">
        <f t="shared" si="190"/>
        <v>34144.89422677159</v>
      </c>
      <c r="AB548" s="52">
        <f t="shared" si="191"/>
        <v>-633.79747924073831</v>
      </c>
      <c r="AC548" s="52">
        <f t="shared" si="192"/>
        <v>922.98605696866093</v>
      </c>
      <c r="AD548" s="52">
        <f t="shared" si="176"/>
        <v>-62.625213218490927</v>
      </c>
      <c r="AE548" s="52">
        <f t="shared" si="177"/>
        <v>-16.109428426005799</v>
      </c>
      <c r="AF548" s="52">
        <f t="shared" si="178"/>
        <v>-34.321096608121614</v>
      </c>
      <c r="AG548" s="52">
        <f t="shared" si="179"/>
        <v>-7.7222816854766032</v>
      </c>
      <c r="AH548" s="52">
        <f t="shared" si="180"/>
        <v>-6.8939035223020513</v>
      </c>
      <c r="AI548" s="52">
        <f t="shared" si="181"/>
        <v>-1.0506962095757315</v>
      </c>
      <c r="AJ548" s="52">
        <f t="shared" si="182"/>
        <v>-21.410213088067255</v>
      </c>
      <c r="AK548" s="52">
        <f t="shared" si="183"/>
        <v>-7.3364505309534653</v>
      </c>
      <c r="AM548" s="52">
        <f t="shared" si="184"/>
        <v>121381.77305364412</v>
      </c>
      <c r="AN548" s="57">
        <f t="shared" si="185"/>
        <v>160250.60890001251</v>
      </c>
      <c r="AO548" s="57">
        <f t="shared" si="186"/>
        <v>151607.60495039899</v>
      </c>
    </row>
    <row r="549" spans="12:41" x14ac:dyDescent="0.25">
      <c r="L549" s="6">
        <v>546</v>
      </c>
      <c r="M549" s="52">
        <f t="shared" si="172"/>
        <v>15027.390523158632</v>
      </c>
      <c r="N549" s="52">
        <f t="shared" si="173"/>
        <v>6977.3576836617312</v>
      </c>
      <c r="P549" s="6">
        <v>546</v>
      </c>
      <c r="Q549" s="52">
        <f t="shared" si="187"/>
        <v>-23480.826633788958</v>
      </c>
      <c r="R549" s="52">
        <f t="shared" si="188"/>
        <v>9634.1503785632121</v>
      </c>
      <c r="T549" s="6">
        <v>546</v>
      </c>
      <c r="U549" s="52">
        <f t="shared" si="174"/>
        <v>-9972.6094768413677</v>
      </c>
      <c r="V549" s="52">
        <f t="shared" si="175"/>
        <v>-15522.642316338268</v>
      </c>
      <c r="X549" s="6">
        <v>545</v>
      </c>
      <c r="Y549" s="55">
        <v>272.5</v>
      </c>
      <c r="Z549" s="52">
        <f t="shared" si="189"/>
        <v>138096.48928763051</v>
      </c>
      <c r="AA549" s="52">
        <f t="shared" si="190"/>
        <v>34604.373576702666</v>
      </c>
      <c r="AB549" s="52">
        <f t="shared" si="191"/>
        <v>-665.11008584998376</v>
      </c>
      <c r="AC549" s="52">
        <f t="shared" si="192"/>
        <v>914.93134275565808</v>
      </c>
      <c r="AD549" s="52">
        <f t="shared" si="176"/>
        <v>-62.748337466531709</v>
      </c>
      <c r="AE549" s="52">
        <f t="shared" si="177"/>
        <v>-16.400788790901256</v>
      </c>
      <c r="AF549" s="52">
        <f t="shared" si="178"/>
        <v>-34.408126630226036</v>
      </c>
      <c r="AG549" s="52">
        <f t="shared" si="179"/>
        <v>-7.8970232213145053</v>
      </c>
      <c r="AH549" s="52">
        <f t="shared" si="180"/>
        <v>-6.9121393289953552</v>
      </c>
      <c r="AI549" s="52">
        <f t="shared" si="181"/>
        <v>-1.0757282405898865</v>
      </c>
      <c r="AJ549" s="52">
        <f t="shared" si="182"/>
        <v>-21.428071507310317</v>
      </c>
      <c r="AK549" s="52">
        <f t="shared" si="183"/>
        <v>-7.4280373289968642</v>
      </c>
      <c r="AM549" s="52">
        <f t="shared" si="184"/>
        <v>121166.94206362098</v>
      </c>
      <c r="AN549" s="57">
        <f t="shared" si="185"/>
        <v>159999.60976257353</v>
      </c>
      <c r="AO549" s="57">
        <f t="shared" si="186"/>
        <v>151450.31899729374</v>
      </c>
    </row>
    <row r="550" spans="12:41" x14ac:dyDescent="0.25">
      <c r="L550" s="6">
        <v>547</v>
      </c>
      <c r="M550" s="52">
        <f t="shared" si="172"/>
        <v>15037.26924179339</v>
      </c>
      <c r="N550" s="52">
        <f t="shared" si="173"/>
        <v>6890.6532829742673</v>
      </c>
      <c r="P550" s="6">
        <v>547</v>
      </c>
      <c r="Q550" s="52">
        <f t="shared" si="187"/>
        <v>-23473.911530744626</v>
      </c>
      <c r="R550" s="52">
        <f t="shared" si="188"/>
        <v>9573.4572980819867</v>
      </c>
      <c r="T550" s="6">
        <v>547</v>
      </c>
      <c r="U550" s="52">
        <f t="shared" si="174"/>
        <v>-9962.7307582066096</v>
      </c>
      <c r="V550" s="52">
        <f t="shared" si="175"/>
        <v>-15609.346717025734</v>
      </c>
      <c r="X550" s="6">
        <v>546</v>
      </c>
      <c r="Y550" s="55">
        <v>273</v>
      </c>
      <c r="Z550" s="52">
        <f t="shared" si="189"/>
        <v>137756.0907025222</v>
      </c>
      <c r="AA550" s="52">
        <f t="shared" si="190"/>
        <v>35059.789149481636</v>
      </c>
      <c r="AB550" s="52">
        <f t="shared" si="191"/>
        <v>-696.48425458324959</v>
      </c>
      <c r="AC550" s="52">
        <f t="shared" si="192"/>
        <v>906.73094836020744</v>
      </c>
      <c r="AD550" s="52">
        <f t="shared" si="176"/>
        <v>-62.883907952199166</v>
      </c>
      <c r="AE550" s="52">
        <f t="shared" si="177"/>
        <v>-16.69780392322259</v>
      </c>
      <c r="AF550" s="52">
        <f t="shared" si="178"/>
        <v>-34.502700456784588</v>
      </c>
      <c r="AG550" s="52">
        <f t="shared" si="179"/>
        <v>-8.0750570437911104</v>
      </c>
      <c r="AH550" s="52">
        <f t="shared" si="180"/>
        <v>-6.9316439394902476</v>
      </c>
      <c r="AI550" s="52">
        <f t="shared" si="181"/>
        <v>-1.1011019277250045</v>
      </c>
      <c r="AJ550" s="52">
        <f t="shared" si="182"/>
        <v>-21.449563555924332</v>
      </c>
      <c r="AK550" s="52">
        <f t="shared" si="183"/>
        <v>-7.5216449517064747</v>
      </c>
      <c r="AM550" s="52">
        <f t="shared" si="184"/>
        <v>120938.1613697865</v>
      </c>
      <c r="AN550" s="57">
        <f t="shared" si="185"/>
        <v>159734.08273114066</v>
      </c>
      <c r="AO550" s="57">
        <f t="shared" si="186"/>
        <v>151278.82840092762</v>
      </c>
    </row>
    <row r="551" spans="12:41" x14ac:dyDescent="0.25">
      <c r="L551" s="6">
        <v>548</v>
      </c>
      <c r="M551" s="52">
        <f t="shared" si="172"/>
        <v>15048.659656292148</v>
      </c>
      <c r="N551" s="52">
        <f t="shared" si="173"/>
        <v>6804.1344951996734</v>
      </c>
      <c r="P551" s="6">
        <v>548</v>
      </c>
      <c r="Q551" s="52">
        <f t="shared" si="187"/>
        <v>-23465.938240595497</v>
      </c>
      <c r="R551" s="52">
        <f t="shared" si="188"/>
        <v>9512.8941466397719</v>
      </c>
      <c r="T551" s="6">
        <v>548</v>
      </c>
      <c r="U551" s="52">
        <f t="shared" si="174"/>
        <v>-9951.3403437078523</v>
      </c>
      <c r="V551" s="52">
        <f t="shared" si="175"/>
        <v>-15695.865504800326</v>
      </c>
      <c r="X551" s="6">
        <v>547</v>
      </c>
      <c r="Y551" s="55">
        <v>273.5</v>
      </c>
      <c r="Z551" s="52">
        <f t="shared" si="189"/>
        <v>137399.98808673656</v>
      </c>
      <c r="AA551" s="52">
        <f t="shared" si="190"/>
        <v>35511.067398171333</v>
      </c>
      <c r="AB551" s="52">
        <f t="shared" si="191"/>
        <v>-727.92620855934922</v>
      </c>
      <c r="AC551" s="52">
        <f t="shared" si="192"/>
        <v>898.38204639859612</v>
      </c>
      <c r="AD551" s="52">
        <f t="shared" si="176"/>
        <v>-63.032081904223723</v>
      </c>
      <c r="AE551" s="52">
        <f t="shared" si="177"/>
        <v>-17.00075634238442</v>
      </c>
      <c r="AF551" s="52">
        <f t="shared" si="178"/>
        <v>-34.604931056962322</v>
      </c>
      <c r="AG551" s="52">
        <f t="shared" si="179"/>
        <v>-8.2565686073962592</v>
      </c>
      <c r="AH551" s="52">
        <f t="shared" si="180"/>
        <v>-6.9524379860013639</v>
      </c>
      <c r="AI551" s="52">
        <f t="shared" si="181"/>
        <v>-1.1268368962312083</v>
      </c>
      <c r="AJ551" s="52">
        <f t="shared" si="182"/>
        <v>-21.474712861260038</v>
      </c>
      <c r="AK551" s="52">
        <f t="shared" si="183"/>
        <v>-7.6173508387569502</v>
      </c>
      <c r="AM551" s="52">
        <f t="shared" si="184"/>
        <v>120695.38971953644</v>
      </c>
      <c r="AN551" s="57">
        <f t="shared" si="185"/>
        <v>159453.97708899848</v>
      </c>
      <c r="AO551" s="57">
        <f t="shared" si="186"/>
        <v>151093.09890529522</v>
      </c>
    </row>
    <row r="552" spans="12:41" x14ac:dyDescent="0.25">
      <c r="L552" s="6">
        <v>549</v>
      </c>
      <c r="M552" s="52">
        <f t="shared" si="172"/>
        <v>15061.55829702431</v>
      </c>
      <c r="N552" s="52">
        <f t="shared" si="173"/>
        <v>6717.8276747988521</v>
      </c>
      <c r="P552" s="6">
        <v>549</v>
      </c>
      <c r="Q552" s="52">
        <f t="shared" si="187"/>
        <v>-23456.909192082981</v>
      </c>
      <c r="R552" s="52">
        <f t="shared" si="188"/>
        <v>9452.4793723591956</v>
      </c>
      <c r="T552" s="6">
        <v>549</v>
      </c>
      <c r="U552" s="52">
        <f t="shared" si="174"/>
        <v>-9938.4417029756896</v>
      </c>
      <c r="V552" s="52">
        <f t="shared" si="175"/>
        <v>-15782.172325201149</v>
      </c>
      <c r="X552" s="6">
        <v>548</v>
      </c>
      <c r="Y552" s="55">
        <v>274</v>
      </c>
      <c r="Z552" s="52">
        <f t="shared" si="189"/>
        <v>137028.14597221886</v>
      </c>
      <c r="AA552" s="52">
        <f t="shared" si="190"/>
        <v>35958.133326827832</v>
      </c>
      <c r="AB552" s="52">
        <f t="shared" si="191"/>
        <v>-759.44224951146111</v>
      </c>
      <c r="AC552" s="52">
        <f t="shared" si="192"/>
        <v>889.88166822740391</v>
      </c>
      <c r="AD552" s="52">
        <f t="shared" si="176"/>
        <v>-63.193031176626519</v>
      </c>
      <c r="AE552" s="52">
        <f t="shared" si="177"/>
        <v>-17.309939472205983</v>
      </c>
      <c r="AF552" s="52">
        <f t="shared" si="178"/>
        <v>-34.714940953635576</v>
      </c>
      <c r="AG552" s="52">
        <f t="shared" si="179"/>
        <v>-8.441750571063805</v>
      </c>
      <c r="AH552" s="52">
        <f t="shared" si="180"/>
        <v>-6.9745435970745806</v>
      </c>
      <c r="AI552" s="52">
        <f t="shared" si="181"/>
        <v>-1.1529533859405414</v>
      </c>
      <c r="AJ552" s="52">
        <f t="shared" si="182"/>
        <v>-21.503546625916368</v>
      </c>
      <c r="AK552" s="52">
        <f t="shared" si="183"/>
        <v>-7.7152355152016341</v>
      </c>
      <c r="AM552" s="52">
        <f t="shared" si="184"/>
        <v>120438.583112483</v>
      </c>
      <c r="AN552" s="57">
        <f t="shared" si="185"/>
        <v>159159.23885620289</v>
      </c>
      <c r="AO552" s="57">
        <f t="shared" si="186"/>
        <v>150893.09328282945</v>
      </c>
    </row>
    <row r="553" spans="12:41" x14ac:dyDescent="0.25">
      <c r="L553" s="6">
        <v>550</v>
      </c>
      <c r="M553" s="52">
        <f t="shared" si="172"/>
        <v>15075.961234938959</v>
      </c>
      <c r="N553" s="52">
        <f t="shared" si="173"/>
        <v>6631.7591116653512</v>
      </c>
      <c r="P553" s="6">
        <v>550</v>
      </c>
      <c r="Q553" s="52">
        <f t="shared" si="187"/>
        <v>-23446.827135542728</v>
      </c>
      <c r="R553" s="52">
        <f t="shared" si="188"/>
        <v>9392.2313781657467</v>
      </c>
      <c r="T553" s="6">
        <v>550</v>
      </c>
      <c r="U553" s="52">
        <f t="shared" si="174"/>
        <v>-9924.038765061041</v>
      </c>
      <c r="V553" s="52">
        <f t="shared" si="175"/>
        <v>-15868.240888334649</v>
      </c>
      <c r="X553" s="6">
        <v>549</v>
      </c>
      <c r="Y553" s="55">
        <v>274.5</v>
      </c>
      <c r="Z553" s="52">
        <f t="shared" si="189"/>
        <v>136640.52571856603</v>
      </c>
      <c r="AA553" s="52">
        <f t="shared" si="190"/>
        <v>36400.910418507512</v>
      </c>
      <c r="AB553" s="52">
        <f t="shared" si="191"/>
        <v>-791.03876509977442</v>
      </c>
      <c r="AC553" s="52">
        <f t="shared" si="192"/>
        <v>881.22669849130091</v>
      </c>
      <c r="AD553" s="52">
        <f t="shared" si="176"/>
        <v>-63.366942717153151</v>
      </c>
      <c r="AE553" s="52">
        <f t="shared" si="177"/>
        <v>-17.625658431431898</v>
      </c>
      <c r="AF553" s="52">
        <f t="shared" si="178"/>
        <v>-34.832862565856075</v>
      </c>
      <c r="AG553" s="52">
        <f t="shared" si="179"/>
        <v>-8.6308033544446765</v>
      </c>
      <c r="AH553" s="52">
        <f t="shared" si="180"/>
        <v>-6.9979844561368587</v>
      </c>
      <c r="AI553" s="52">
        <f t="shared" si="181"/>
        <v>-1.1794722974086591</v>
      </c>
      <c r="AJ553" s="52">
        <f t="shared" si="182"/>
        <v>-21.536095695160217</v>
      </c>
      <c r="AK553" s="52">
        <f t="shared" si="183"/>
        <v>-7.815382779578564</v>
      </c>
      <c r="AM553" s="52">
        <f t="shared" si="184"/>
        <v>120167.69475579557</v>
      </c>
      <c r="AN553" s="57">
        <f t="shared" si="185"/>
        <v>158849.81072797917</v>
      </c>
      <c r="AO553" s="57">
        <f t="shared" si="186"/>
        <v>150678.77129072693</v>
      </c>
    </row>
    <row r="554" spans="12:41" x14ac:dyDescent="0.25">
      <c r="L554" s="6">
        <v>551</v>
      </c>
      <c r="M554" s="52">
        <f t="shared" si="172"/>
        <v>15091.864082761678</v>
      </c>
      <c r="N554" s="52">
        <f t="shared" si="173"/>
        <v>6545.9550231172843</v>
      </c>
      <c r="P554" s="6">
        <v>551</v>
      </c>
      <c r="Q554" s="52">
        <f t="shared" si="187"/>
        <v>-23435.695142066827</v>
      </c>
      <c r="R554" s="52">
        <f t="shared" si="188"/>
        <v>9332.1685161820988</v>
      </c>
      <c r="T554" s="6">
        <v>551</v>
      </c>
      <c r="U554" s="52">
        <f t="shared" si="174"/>
        <v>-9908.1359172383218</v>
      </c>
      <c r="V554" s="52">
        <f t="shared" si="175"/>
        <v>-15954.044976882717</v>
      </c>
      <c r="X554" s="6">
        <v>550</v>
      </c>
      <c r="Y554" s="55">
        <v>275</v>
      </c>
      <c r="Z554" s="52">
        <f t="shared" si="189"/>
        <v>136237.08546817649</v>
      </c>
      <c r="AA554" s="52">
        <f t="shared" si="190"/>
        <v>36839.320560449232</v>
      </c>
      <c r="AB554" s="52">
        <f t="shared" si="191"/>
        <v>-822.72223645835095</v>
      </c>
      <c r="AC554" s="52">
        <f t="shared" si="192"/>
        <v>872.41386927558494</v>
      </c>
      <c r="AD554" s="52">
        <f t="shared" si="176"/>
        <v>-63.554019080494193</v>
      </c>
      <c r="AE554" s="52">
        <f t="shared" si="177"/>
        <v>-17.94823087383741</v>
      </c>
      <c r="AF554" s="52">
        <f t="shared" si="178"/>
        <v>-34.95883858224645</v>
      </c>
      <c r="AG554" s="52">
        <f t="shared" si="179"/>
        <v>-8.8239357297575882</v>
      </c>
      <c r="AH554" s="52">
        <f t="shared" si="180"/>
        <v>-7.0227858648938257</v>
      </c>
      <c r="AI554" s="52">
        <f t="shared" si="181"/>
        <v>-1.2064152405970827</v>
      </c>
      <c r="AJ554" s="52">
        <f t="shared" si="182"/>
        <v>-21.572394633353916</v>
      </c>
      <c r="AK554" s="52">
        <f t="shared" si="183"/>
        <v>-7.9178799034827367</v>
      </c>
      <c r="AM554" s="52">
        <f t="shared" si="184"/>
        <v>119882.67501638827</v>
      </c>
      <c r="AN554" s="57">
        <f t="shared" si="185"/>
        <v>158525.63200863398</v>
      </c>
      <c r="AO554" s="57">
        <f t="shared" si="186"/>
        <v>150450.08962348278</v>
      </c>
    </row>
    <row r="555" spans="12:41" x14ac:dyDescent="0.25">
      <c r="L555" s="6">
        <v>552</v>
      </c>
      <c r="M555" s="52">
        <f t="shared" si="172"/>
        <v>15109.26199633097</v>
      </c>
      <c r="N555" s="52">
        <f t="shared" si="173"/>
        <v>6460.4415459112079</v>
      </c>
      <c r="P555" s="6">
        <v>552</v>
      </c>
      <c r="Q555" s="52">
        <f t="shared" si="187"/>
        <v>-23423.516602568321</v>
      </c>
      <c r="R555" s="52">
        <f t="shared" si="188"/>
        <v>9272.3090821378464</v>
      </c>
      <c r="T555" s="6">
        <v>552</v>
      </c>
      <c r="U555" s="52">
        <f t="shared" si="174"/>
        <v>-9890.7380036690301</v>
      </c>
      <c r="V555" s="52">
        <f t="shared" si="175"/>
        <v>-16039.558454088792</v>
      </c>
      <c r="X555" s="6">
        <v>551</v>
      </c>
      <c r="Y555" s="55">
        <v>275.5</v>
      </c>
      <c r="Z555" s="52">
        <f t="shared" si="189"/>
        <v>135817.78009756227</v>
      </c>
      <c r="AA555" s="52">
        <f t="shared" si="190"/>
        <v>37273.283966227791</v>
      </c>
      <c r="AB555" s="52">
        <f t="shared" si="191"/>
        <v>-854.4992459985981</v>
      </c>
      <c r="AC555" s="52">
        <f t="shared" si="192"/>
        <v>863.43975383866621</v>
      </c>
      <c r="AD555" s="52">
        <f t="shared" si="176"/>
        <v>-63.754478988854302</v>
      </c>
      <c r="AE555" s="52">
        <f t="shared" si="177"/>
        <v>-18.27798788250287</v>
      </c>
      <c r="AF555" s="52">
        <f t="shared" si="178"/>
        <v>-35.09302236722143</v>
      </c>
      <c r="AG555" s="52">
        <f t="shared" si="179"/>
        <v>-9.0213654526301763</v>
      </c>
      <c r="AH555" s="52">
        <f t="shared" si="180"/>
        <v>-7.0489748118980922</v>
      </c>
      <c r="AI555" s="52">
        <f t="shared" si="181"/>
        <v>-1.2338045863271252</v>
      </c>
      <c r="AJ555" s="52">
        <f t="shared" si="182"/>
        <v>-21.612481809734778</v>
      </c>
      <c r="AK555" s="52">
        <f t="shared" si="183"/>
        <v>-8.0228178435455693</v>
      </c>
      <c r="AM555" s="52">
        <f t="shared" si="184"/>
        <v>119583.47136983827</v>
      </c>
      <c r="AN555" s="57">
        <f t="shared" si="185"/>
        <v>158186.63854079071</v>
      </c>
      <c r="AO555" s="57">
        <f t="shared" si="186"/>
        <v>150207.00186149543</v>
      </c>
    </row>
    <row r="556" spans="12:41" x14ac:dyDescent="0.25">
      <c r="L556" s="6">
        <v>553</v>
      </c>
      <c r="M556" s="52">
        <f t="shared" si="172"/>
        <v>15128.149676073823</v>
      </c>
      <c r="N556" s="52">
        <f t="shared" si="173"/>
        <v>6375.2447282806761</v>
      </c>
      <c r="P556" s="6">
        <v>553</v>
      </c>
      <c r="Q556" s="52">
        <f t="shared" si="187"/>
        <v>-23410.295226748323</v>
      </c>
      <c r="R556" s="52">
        <f t="shared" si="188"/>
        <v>9212.671309796473</v>
      </c>
      <c r="T556" s="6">
        <v>553</v>
      </c>
      <c r="U556" s="52">
        <f t="shared" si="174"/>
        <v>-9871.8503239261772</v>
      </c>
      <c r="V556" s="52">
        <f t="shared" si="175"/>
        <v>-16124.755271719323</v>
      </c>
      <c r="X556" s="6">
        <v>552</v>
      </c>
      <c r="Y556" s="55">
        <v>276</v>
      </c>
      <c r="Z556" s="52">
        <f t="shared" si="189"/>
        <v>135382.56116468934</v>
      </c>
      <c r="AA556" s="52">
        <f t="shared" si="190"/>
        <v>37702.719094661814</v>
      </c>
      <c r="AB556" s="52">
        <f t="shared" si="191"/>
        <v>-886.37648549302526</v>
      </c>
      <c r="AC556" s="52">
        <f t="shared" si="192"/>
        <v>854.30075989741476</v>
      </c>
      <c r="AD556" s="52">
        <f t="shared" si="176"/>
        <v>-63.96855794270629</v>
      </c>
      <c r="AE556" s="52">
        <f t="shared" si="177"/>
        <v>-18.615274923254006</v>
      </c>
      <c r="AF556" s="52">
        <f t="shared" si="178"/>
        <v>-35.235578402124943</v>
      </c>
      <c r="AG556" s="52">
        <f t="shared" si="179"/>
        <v>-9.2233199356558764</v>
      </c>
      <c r="AH556" s="52">
        <f t="shared" si="180"/>
        <v>-7.0765800466434774</v>
      </c>
      <c r="AI556" s="52">
        <f t="shared" si="181"/>
        <v>-1.2616635207555276</v>
      </c>
      <c r="AJ556" s="52">
        <f t="shared" si="182"/>
        <v>-21.656399493937869</v>
      </c>
      <c r="AK556" s="52">
        <f t="shared" si="183"/>
        <v>-8.1302914668426034</v>
      </c>
      <c r="AM556" s="52">
        <f t="shared" si="184"/>
        <v>119270.02834591064</v>
      </c>
      <c r="AN556" s="57">
        <f t="shared" si="185"/>
        <v>157832.76262974099</v>
      </c>
      <c r="AO556" s="57">
        <f t="shared" si="186"/>
        <v>149949.45841558938</v>
      </c>
    </row>
    <row r="557" spans="12:41" x14ac:dyDescent="0.25">
      <c r="L557" s="6">
        <v>554</v>
      </c>
      <c r="M557" s="52">
        <f t="shared" si="172"/>
        <v>15148.521368620019</v>
      </c>
      <c r="N557" s="52">
        <f t="shared" si="173"/>
        <v>6290.3905220016595</v>
      </c>
      <c r="P557" s="6">
        <v>554</v>
      </c>
      <c r="Q557" s="52">
        <f t="shared" si="187"/>
        <v>-23396.035041965988</v>
      </c>
      <c r="R557" s="52">
        <f t="shared" si="188"/>
        <v>9153.2733654011608</v>
      </c>
      <c r="T557" s="6">
        <v>554</v>
      </c>
      <c r="U557" s="52">
        <f t="shared" si="174"/>
        <v>-9851.4786313799814</v>
      </c>
      <c r="V557" s="52">
        <f t="shared" si="175"/>
        <v>-16209.60947799834</v>
      </c>
      <c r="X557" s="6">
        <v>553</v>
      </c>
      <c r="Y557" s="55">
        <v>276.5</v>
      </c>
      <c r="Z557" s="52">
        <f t="shared" si="189"/>
        <v>134931.37685219999</v>
      </c>
      <c r="AA557" s="52">
        <f t="shared" si="190"/>
        <v>38127.542565245116</v>
      </c>
      <c r="AB557" s="52">
        <f t="shared" si="191"/>
        <v>-918.36076446437835</v>
      </c>
      <c r="AC557" s="52">
        <f t="shared" si="192"/>
        <v>844.99312243578777</v>
      </c>
      <c r="AD557" s="52">
        <f t="shared" si="176"/>
        <v>-64.196508884853117</v>
      </c>
      <c r="AE557" s="52">
        <f t="shared" si="177"/>
        <v>-18.960452862719492</v>
      </c>
      <c r="AF557" s="52">
        <f t="shared" si="178"/>
        <v>-35.38668276357928</v>
      </c>
      <c r="AG557" s="52">
        <f t="shared" si="179"/>
        <v>-9.4300369687392642</v>
      </c>
      <c r="AH557" s="52">
        <f t="shared" si="180"/>
        <v>-7.1056321595759311</v>
      </c>
      <c r="AI557" s="52">
        <f t="shared" si="181"/>
        <v>-1.2900161031429482</v>
      </c>
      <c r="AJ557" s="52">
        <f t="shared" si="182"/>
        <v>-21.704193961697904</v>
      </c>
      <c r="AK557" s="52">
        <f t="shared" si="183"/>
        <v>-8.2403997908372819</v>
      </c>
      <c r="AM557" s="52">
        <f t="shared" si="184"/>
        <v>118942.2874705557</v>
      </c>
      <c r="AN557" s="57">
        <f t="shared" si="185"/>
        <v>157463.93296268859</v>
      </c>
      <c r="AO557" s="57">
        <f t="shared" si="186"/>
        <v>149677.40646728998</v>
      </c>
    </row>
    <row r="558" spans="12:41" x14ac:dyDescent="0.25">
      <c r="L558" s="6">
        <v>555</v>
      </c>
      <c r="M558" s="52">
        <f t="shared" si="172"/>
        <v>15170.370868554659</v>
      </c>
      <c r="N558" s="52">
        <f t="shared" si="173"/>
        <v>6205.9047744873906</v>
      </c>
      <c r="P558" s="6">
        <v>555</v>
      </c>
      <c r="Q558" s="52">
        <f t="shared" si="187"/>
        <v>-23380.740392011739</v>
      </c>
      <c r="R558" s="52">
        <f t="shared" si="188"/>
        <v>9094.1333421411728</v>
      </c>
      <c r="T558" s="6">
        <v>555</v>
      </c>
      <c r="U558" s="52">
        <f t="shared" si="174"/>
        <v>-9829.629131445341</v>
      </c>
      <c r="V558" s="52">
        <f t="shared" si="175"/>
        <v>-16294.095225512609</v>
      </c>
      <c r="X558" s="6">
        <v>554</v>
      </c>
      <c r="Y558" s="55">
        <v>277</v>
      </c>
      <c r="Z558" s="52">
        <f t="shared" si="189"/>
        <v>134464.17190635719</v>
      </c>
      <c r="AA558" s="52">
        <f t="shared" si="190"/>
        <v>38547.669069855168</v>
      </c>
      <c r="AB558" s="52">
        <f t="shared" si="191"/>
        <v>-950.45901890680489</v>
      </c>
      <c r="AC558" s="52">
        <f t="shared" si="192"/>
        <v>835.51289600442806</v>
      </c>
      <c r="AD558" s="52">
        <f t="shared" si="176"/>
        <v>-64.438602921241312</v>
      </c>
      <c r="AE558" s="52">
        <f t="shared" si="177"/>
        <v>-19.313899056967422</v>
      </c>
      <c r="AF558" s="52">
        <f t="shared" si="178"/>
        <v>-35.546523641574694</v>
      </c>
      <c r="AG558" s="52">
        <f t="shared" si="179"/>
        <v>-9.6417654906923733</v>
      </c>
      <c r="AH558" s="52">
        <f t="shared" si="180"/>
        <v>-7.1361636684493046</v>
      </c>
      <c r="AI558" s="52">
        <f t="shared" si="181"/>
        <v>-1.318887327209566</v>
      </c>
      <c r="AJ558" s="52">
        <f t="shared" si="182"/>
        <v>-21.755915611217304</v>
      </c>
      <c r="AK558" s="52">
        <f t="shared" si="183"/>
        <v>-8.3532462390654807</v>
      </c>
      <c r="AM558" s="52">
        <f t="shared" si="184"/>
        <v>118600.18720423392</v>
      </c>
      <c r="AN558" s="57">
        <f t="shared" si="185"/>
        <v>157080.07452264157</v>
      </c>
      <c r="AO558" s="57">
        <f t="shared" si="186"/>
        <v>149390.78990466808</v>
      </c>
    </row>
    <row r="559" spans="12:41" x14ac:dyDescent="0.25">
      <c r="L559" s="6">
        <v>556</v>
      </c>
      <c r="M559" s="52">
        <f t="shared" si="172"/>
        <v>15193.691520308406</v>
      </c>
      <c r="N559" s="52">
        <f t="shared" si="173"/>
        <v>6121.8132209150044</v>
      </c>
      <c r="P559" s="6">
        <v>556</v>
      </c>
      <c r="Q559" s="52">
        <f t="shared" si="187"/>
        <v>-23364.415935784116</v>
      </c>
      <c r="R559" s="52">
        <f t="shared" si="188"/>
        <v>9035.2692546405033</v>
      </c>
      <c r="T559" s="6">
        <v>556</v>
      </c>
      <c r="U559" s="52">
        <f t="shared" si="174"/>
        <v>-9806.3084796915937</v>
      </c>
      <c r="V559" s="52">
        <f t="shared" si="175"/>
        <v>-16378.186779084996</v>
      </c>
      <c r="X559" s="6">
        <v>555</v>
      </c>
      <c r="Y559" s="55">
        <v>277.5</v>
      </c>
      <c r="Z559" s="52">
        <f t="shared" si="189"/>
        <v>133980.88757153862</v>
      </c>
      <c r="AA559" s="52">
        <f t="shared" si="190"/>
        <v>38963.011280475257</v>
      </c>
      <c r="AB559" s="52">
        <f t="shared" si="191"/>
        <v>-982.6783203674255</v>
      </c>
      <c r="AC559" s="52">
        <f t="shared" si="192"/>
        <v>825.85594647594439</v>
      </c>
      <c r="AD559" s="52">
        <f t="shared" si="176"/>
        <v>-64.695130102304091</v>
      </c>
      <c r="AE559" s="52">
        <f t="shared" si="177"/>
        <v>-19.676008517245918</v>
      </c>
      <c r="AF559" s="52">
        <f t="shared" si="178"/>
        <v>-35.715301900064631</v>
      </c>
      <c r="AG559" s="52">
        <f t="shared" si="179"/>
        <v>-9.8587664169752163</v>
      </c>
      <c r="AH559" s="52">
        <f t="shared" si="180"/>
        <v>-7.1682091114966378</v>
      </c>
      <c r="AI559" s="52">
        <f t="shared" si="181"/>
        <v>-1.348303186397902</v>
      </c>
      <c r="AJ559" s="52">
        <f t="shared" si="182"/>
        <v>-21.81161909074282</v>
      </c>
      <c r="AK559" s="52">
        <f t="shared" si="183"/>
        <v>-8.4689389138728011</v>
      </c>
      <c r="AM559" s="52">
        <f t="shared" si="184"/>
        <v>118243.66287641398</v>
      </c>
      <c r="AN559" s="57">
        <f t="shared" si="185"/>
        <v>156681.10849669066</v>
      </c>
      <c r="AO559" s="57">
        <f t="shared" si="186"/>
        <v>149089.54925355889</v>
      </c>
    </row>
    <row r="560" spans="12:41" x14ac:dyDescent="0.25">
      <c r="L560" s="6">
        <v>557</v>
      </c>
      <c r="M560" s="52">
        <f t="shared" si="172"/>
        <v>15218.476220184824</v>
      </c>
      <c r="N560" s="52">
        <f t="shared" si="173"/>
        <v>6038.1414763863131</v>
      </c>
      <c r="P560" s="6">
        <v>557</v>
      </c>
      <c r="Q560" s="52">
        <f t="shared" si="187"/>
        <v>-23347.066645870626</v>
      </c>
      <c r="R560" s="52">
        <f t="shared" si="188"/>
        <v>8976.6990334704187</v>
      </c>
      <c r="T560" s="6">
        <v>557</v>
      </c>
      <c r="U560" s="52">
        <f t="shared" si="174"/>
        <v>-9781.5237798151757</v>
      </c>
      <c r="V560" s="52">
        <f t="shared" si="175"/>
        <v>-16461.858523613686</v>
      </c>
      <c r="X560" s="6">
        <v>556</v>
      </c>
      <c r="Y560" s="55">
        <v>278</v>
      </c>
      <c r="Z560" s="52">
        <f t="shared" si="189"/>
        <v>133481.46152009213</v>
      </c>
      <c r="AA560" s="52">
        <f t="shared" si="190"/>
        <v>39373.479752648571</v>
      </c>
      <c r="AB560" s="52">
        <f t="shared" si="191"/>
        <v>-1015.0258854185776</v>
      </c>
      <c r="AC560" s="52">
        <f t="shared" si="192"/>
        <v>816.01794221732143</v>
      </c>
      <c r="AD560" s="52">
        <f t="shared" si="176"/>
        <v>-64.966400269000374</v>
      </c>
      <c r="AE560" s="52">
        <f t="shared" si="177"/>
        <v>-20.047195159988114</v>
      </c>
      <c r="AF560" s="52">
        <f t="shared" si="178"/>
        <v>-35.893231683116376</v>
      </c>
      <c r="AG560" s="52">
        <f t="shared" si="179"/>
        <v>-10.081313528962427</v>
      </c>
      <c r="AH560" s="52">
        <f t="shared" si="180"/>
        <v>-7.201805147934051</v>
      </c>
      <c r="AI560" s="52">
        <f t="shared" si="181"/>
        <v>-1.3782907433916267</v>
      </c>
      <c r="AJ560" s="52">
        <f t="shared" si="182"/>
        <v>-21.871363437949949</v>
      </c>
      <c r="AK560" s="52">
        <f t="shared" si="183"/>
        <v>-8.5875908876340592</v>
      </c>
      <c r="AM560" s="52">
        <f t="shared" si="184"/>
        <v>117872.64661607733</v>
      </c>
      <c r="AN560" s="57">
        <f t="shared" si="185"/>
        <v>156266.95217838854</v>
      </c>
      <c r="AO560" s="57">
        <f t="shared" si="186"/>
        <v>148773.62160394041</v>
      </c>
    </row>
    <row r="561" spans="12:41" x14ac:dyDescent="0.25">
      <c r="L561" s="6">
        <v>558</v>
      </c>
      <c r="M561" s="52">
        <f t="shared" si="172"/>
        <v>15244.717418524233</v>
      </c>
      <c r="N561" s="52">
        <f t="shared" si="173"/>
        <v>5954.9150281252641</v>
      </c>
      <c r="P561" s="6">
        <v>558</v>
      </c>
      <c r="Q561" s="52">
        <f t="shared" si="187"/>
        <v>-23328.697807033037</v>
      </c>
      <c r="R561" s="52">
        <f t="shared" si="188"/>
        <v>8918.4405196876851</v>
      </c>
      <c r="T561" s="6">
        <v>558</v>
      </c>
      <c r="U561" s="52">
        <f t="shared" si="174"/>
        <v>-9755.2825814757671</v>
      </c>
      <c r="V561" s="52">
        <f t="shared" si="175"/>
        <v>-16545.084971874734</v>
      </c>
      <c r="X561" s="6">
        <v>557</v>
      </c>
      <c r="Y561" s="55">
        <v>278.5</v>
      </c>
      <c r="Z561" s="52">
        <f t="shared" si="189"/>
        <v>132965.82777734922</v>
      </c>
      <c r="AA561" s="52">
        <f t="shared" si="190"/>
        <v>39778.982824362232</v>
      </c>
      <c r="AB561" s="52">
        <f t="shared" si="191"/>
        <v>-1047.5090855530777</v>
      </c>
      <c r="AC561" s="52">
        <f t="shared" si="192"/>
        <v>805.99434463732734</v>
      </c>
      <c r="AD561" s="52">
        <f t="shared" si="176"/>
        <v>-65.252743968117841</v>
      </c>
      <c r="AE561" s="52">
        <f t="shared" si="177"/>
        <v>-20.427893148943845</v>
      </c>
      <c r="AF561" s="52">
        <f t="shared" si="178"/>
        <v>-36.080541069956169</v>
      </c>
      <c r="AG561" s="52">
        <f t="shared" si="179"/>
        <v>-10.309694430658029</v>
      </c>
      <c r="AH561" s="52">
        <f t="shared" si="180"/>
        <v>-7.2369906663651768</v>
      </c>
      <c r="AI561" s="52">
        <f t="shared" si="181"/>
        <v>-1.4088782042708667</v>
      </c>
      <c r="AJ561" s="52">
        <f t="shared" si="182"/>
        <v>-21.935212231796498</v>
      </c>
      <c r="AK561" s="52">
        <f t="shared" si="183"/>
        <v>-8.7093205140149479</v>
      </c>
      <c r="AM561" s="52">
        <f t="shared" si="184"/>
        <v>117487.06727805064</v>
      </c>
      <c r="AN561" s="57">
        <f t="shared" si="185"/>
        <v>155837.51886392225</v>
      </c>
      <c r="AO561" s="57">
        <f t="shared" si="186"/>
        <v>148442.940531239</v>
      </c>
    </row>
    <row r="562" spans="12:41" x14ac:dyDescent="0.25">
      <c r="L562" s="6">
        <v>559</v>
      </c>
      <c r="M562" s="52">
        <f t="shared" si="172"/>
        <v>15272.407122003417</v>
      </c>
      <c r="N562" s="52">
        <f t="shared" si="173"/>
        <v>5872.1592277142154</v>
      </c>
      <c r="P562" s="6">
        <v>559</v>
      </c>
      <c r="Q562" s="52">
        <f t="shared" si="187"/>
        <v>-23309.315014597611</v>
      </c>
      <c r="R562" s="52">
        <f t="shared" si="188"/>
        <v>8860.5114593999497</v>
      </c>
      <c r="T562" s="6">
        <v>559</v>
      </c>
      <c r="U562" s="52">
        <f t="shared" si="174"/>
        <v>-9727.5928779965834</v>
      </c>
      <c r="V562" s="52">
        <f t="shared" si="175"/>
        <v>-16627.840772285785</v>
      </c>
      <c r="X562" s="6">
        <v>558</v>
      </c>
      <c r="Y562" s="55">
        <v>279</v>
      </c>
      <c r="Z562" s="52">
        <f t="shared" si="189"/>
        <v>132433.91664157668</v>
      </c>
      <c r="AA562" s="52">
        <f t="shared" si="190"/>
        <v>40179.426510037272</v>
      </c>
      <c r="AB562" s="52">
        <f t="shared" si="191"/>
        <v>-1080.1354575371367</v>
      </c>
      <c r="AC562" s="52">
        <f t="shared" si="192"/>
        <v>795.7803980628554</v>
      </c>
      <c r="AD562" s="52">
        <f t="shared" si="176"/>
        <v>-65.554513441858944</v>
      </c>
      <c r="AE562" s="52">
        <f t="shared" si="177"/>
        <v>-20.818558338087769</v>
      </c>
      <c r="AF562" s="52">
        <f t="shared" si="178"/>
        <v>-36.277472782570221</v>
      </c>
      <c r="AG562" s="52">
        <f t="shared" si="179"/>
        <v>-10.544211579386424</v>
      </c>
      <c r="AH562" s="52">
        <f t="shared" si="180"/>
        <v>-7.2738069017112599</v>
      </c>
      <c r="AI562" s="52">
        <f t="shared" si="181"/>
        <v>-1.4400949977199662</v>
      </c>
      <c r="AJ562" s="52">
        <f t="shared" si="182"/>
        <v>-22.003233757577469</v>
      </c>
      <c r="AK562" s="52">
        <f t="shared" si="183"/>
        <v>-8.8342517609813811</v>
      </c>
      <c r="AM562" s="52">
        <f t="shared" si="184"/>
        <v>117086.85036497455</v>
      </c>
      <c r="AN562" s="57">
        <f t="shared" si="185"/>
        <v>155392.71774174582</v>
      </c>
      <c r="AO562" s="57">
        <f t="shared" si="186"/>
        <v>148097.43601231067</v>
      </c>
    </row>
    <row r="563" spans="12:41" x14ac:dyDescent="0.25">
      <c r="L563" s="6">
        <v>560</v>
      </c>
      <c r="M563" s="52">
        <f t="shared" si="172"/>
        <v>15301.536896070456</v>
      </c>
      <c r="N563" s="52">
        <f t="shared" si="173"/>
        <v>5789.8992833716602</v>
      </c>
      <c r="P563" s="6">
        <v>560</v>
      </c>
      <c r="Q563" s="52">
        <f t="shared" si="187"/>
        <v>-23288.924172750681</v>
      </c>
      <c r="R563" s="52">
        <f t="shared" si="188"/>
        <v>8802.9294983601612</v>
      </c>
      <c r="T563" s="6">
        <v>560</v>
      </c>
      <c r="U563" s="52">
        <f t="shared" si="174"/>
        <v>-9698.4631039295436</v>
      </c>
      <c r="V563" s="52">
        <f t="shared" si="175"/>
        <v>-16710.100716628342</v>
      </c>
      <c r="X563" s="6">
        <v>559</v>
      </c>
      <c r="Y563" s="55">
        <v>279.5</v>
      </c>
      <c r="Z563" s="52">
        <f t="shared" si="189"/>
        <v>131885.65459862788</v>
      </c>
      <c r="AA563" s="52">
        <f t="shared" si="190"/>
        <v>40574.714389276436</v>
      </c>
      <c r="AB563" s="52">
        <f t="shared" si="191"/>
        <v>-1112.9127142580662</v>
      </c>
      <c r="AC563" s="52">
        <f t="shared" si="192"/>
        <v>785.37111889381151</v>
      </c>
      <c r="AD563" s="52">
        <f t="shared" si="176"/>
        <v>-65.87208369722677</v>
      </c>
      <c r="AE563" s="52">
        <f t="shared" si="177"/>
        <v>-21.219669824833943</v>
      </c>
      <c r="AF563" s="52">
        <f t="shared" si="178"/>
        <v>-36.484284949890728</v>
      </c>
      <c r="AG563" s="52">
        <f t="shared" si="179"/>
        <v>-10.78518339767046</v>
      </c>
      <c r="AH563" s="52">
        <f t="shared" si="180"/>
        <v>-7.312297561353029</v>
      </c>
      <c r="AI563" s="52">
        <f t="shared" si="181"/>
        <v>-1.4719718597426459</v>
      </c>
      <c r="AJ563" s="52">
        <f t="shared" si="182"/>
        <v>-22.075501185983011</v>
      </c>
      <c r="AK563" s="52">
        <f t="shared" si="183"/>
        <v>-8.9625145674208344</v>
      </c>
      <c r="AM563" s="52">
        <f t="shared" si="184"/>
        <v>116671.91794470369</v>
      </c>
      <c r="AN563" s="57">
        <f t="shared" si="185"/>
        <v>154932.45377531307</v>
      </c>
      <c r="AO563" s="57">
        <f t="shared" si="186"/>
        <v>147737.03433582422</v>
      </c>
    </row>
    <row r="564" spans="12:41" x14ac:dyDescent="0.25">
      <c r="L564" s="6">
        <v>561</v>
      </c>
      <c r="M564" s="52">
        <f t="shared" si="172"/>
        <v>15332.097867513992</v>
      </c>
      <c r="N564" s="52">
        <f t="shared" si="173"/>
        <v>5708.1602522734993</v>
      </c>
      <c r="P564" s="6">
        <v>561</v>
      </c>
      <c r="Q564" s="52">
        <f t="shared" si="187"/>
        <v>-23267.531492740207</v>
      </c>
      <c r="R564" s="52">
        <f t="shared" si="188"/>
        <v>8745.712176591449</v>
      </c>
      <c r="T564" s="6">
        <v>561</v>
      </c>
      <c r="U564" s="52">
        <f t="shared" si="174"/>
        <v>-9667.9021324860078</v>
      </c>
      <c r="V564" s="52">
        <f t="shared" si="175"/>
        <v>-16791.839747726503</v>
      </c>
      <c r="X564" s="6">
        <v>560</v>
      </c>
      <c r="Y564" s="55">
        <v>280</v>
      </c>
      <c r="Z564" s="52">
        <f t="shared" si="189"/>
        <v>131320.96423103669</v>
      </c>
      <c r="AA564" s="52">
        <f t="shared" si="190"/>
        <v>40964.747489995243</v>
      </c>
      <c r="AB564" s="52">
        <f t="shared" si="191"/>
        <v>-1145.8487561066795</v>
      </c>
      <c r="AC564" s="52">
        <f t="shared" si="192"/>
        <v>774.76128398139451</v>
      </c>
      <c r="AD564" s="52">
        <f t="shared" si="176"/>
        <v>-66.205853661266573</v>
      </c>
      <c r="AE564" s="52">
        <f t="shared" si="177"/>
        <v>-21.63173162406963</v>
      </c>
      <c r="AF564" s="52">
        <f t="shared" si="178"/>
        <v>-36.701251932981044</v>
      </c>
      <c r="AG564" s="52">
        <f t="shared" si="179"/>
        <v>-11.0329454742675</v>
      </c>
      <c r="AH564" s="52">
        <f t="shared" si="180"/>
        <v>-7.3525089612416048</v>
      </c>
      <c r="AI564" s="52">
        <f t="shared" si="181"/>
        <v>-1.5045409243835464</v>
      </c>
      <c r="AJ564" s="52">
        <f t="shared" si="182"/>
        <v>-22.152092767043921</v>
      </c>
      <c r="AK564" s="52">
        <f t="shared" si="183"/>
        <v>-9.0942452254185842</v>
      </c>
      <c r="AM564" s="52">
        <f t="shared" si="184"/>
        <v>116242.18856291761</v>
      </c>
      <c r="AN564" s="57">
        <f t="shared" si="185"/>
        <v>154456.62757852074</v>
      </c>
      <c r="AO564" s="57">
        <f t="shared" si="186"/>
        <v>147361.65800675057</v>
      </c>
    </row>
    <row r="565" spans="12:41" x14ac:dyDescent="0.25">
      <c r="L565" s="6">
        <v>562</v>
      </c>
      <c r="M565" s="52">
        <f t="shared" si="172"/>
        <v>15364.08072716606</v>
      </c>
      <c r="N565" s="52">
        <f t="shared" si="173"/>
        <v>5626.9670329204455</v>
      </c>
      <c r="P565" s="6">
        <v>562</v>
      </c>
      <c r="Q565" s="52">
        <f t="shared" si="187"/>
        <v>-23245.143490983759</v>
      </c>
      <c r="R565" s="52">
        <f t="shared" si="188"/>
        <v>8688.8769230443122</v>
      </c>
      <c r="T565" s="6">
        <v>562</v>
      </c>
      <c r="U565" s="52">
        <f t="shared" si="174"/>
        <v>-9635.9192728339403</v>
      </c>
      <c r="V565" s="52">
        <f t="shared" si="175"/>
        <v>-16873.032967079555</v>
      </c>
      <c r="X565" s="6">
        <v>561</v>
      </c>
      <c r="Y565" s="55">
        <v>280.5</v>
      </c>
      <c r="Z565" s="52">
        <f t="shared" si="189"/>
        <v>130739.76412127569</v>
      </c>
      <c r="AA565" s="52">
        <f t="shared" si="190"/>
        <v>41349.424165532932</v>
      </c>
      <c r="AB565" s="52">
        <f t="shared" si="191"/>
        <v>-1178.9516829373129</v>
      </c>
      <c r="AC565" s="52">
        <f t="shared" si="192"/>
        <v>763.94541816935975</v>
      </c>
      <c r="AD565" s="52">
        <f t="shared" si="176"/>
        <v>-66.55624742881858</v>
      </c>
      <c r="AE565" s="52">
        <f t="shared" si="177"/>
        <v>-22.055274474624341</v>
      </c>
      <c r="AF565" s="52">
        <f t="shared" si="178"/>
        <v>-36.928665216072275</v>
      </c>
      <c r="AG565" s="52">
        <f t="shared" si="179"/>
        <v>-11.287851863192072</v>
      </c>
      <c r="AH565" s="52">
        <f t="shared" si="180"/>
        <v>-7.3944901728112118</v>
      </c>
      <c r="AI565" s="52">
        <f t="shared" si="181"/>
        <v>-1.5378358210035508</v>
      </c>
      <c r="AJ565" s="52">
        <f t="shared" si="182"/>
        <v>-22.233092039935094</v>
      </c>
      <c r="AK565" s="52">
        <f t="shared" si="183"/>
        <v>-9.2295867904287192</v>
      </c>
      <c r="AM565" s="52">
        <f t="shared" si="184"/>
        <v>115797.57715070702</v>
      </c>
      <c r="AN565" s="57">
        <f t="shared" si="185"/>
        <v>153965.13528344114</v>
      </c>
      <c r="AO565" s="57">
        <f t="shared" si="186"/>
        <v>146971.22564463667</v>
      </c>
    </row>
    <row r="566" spans="12:41" x14ac:dyDescent="0.25">
      <c r="L566" s="6">
        <v>563</v>
      </c>
      <c r="M566" s="52">
        <f t="shared" si="172"/>
        <v>15397.475732737797</v>
      </c>
      <c r="N566" s="52">
        <f t="shared" si="173"/>
        <v>5546.344357553633</v>
      </c>
      <c r="P566" s="6">
        <v>563</v>
      </c>
      <c r="Q566" s="52">
        <f t="shared" si="187"/>
        <v>-23221.766987083542</v>
      </c>
      <c r="R566" s="52">
        <f t="shared" si="188"/>
        <v>8632.4410502875435</v>
      </c>
      <c r="T566" s="6">
        <v>563</v>
      </c>
      <c r="U566" s="52">
        <f t="shared" si="174"/>
        <v>-9602.5242672622026</v>
      </c>
      <c r="V566" s="52">
        <f t="shared" si="175"/>
        <v>-16953.655642446367</v>
      </c>
      <c r="X566" s="6">
        <v>562</v>
      </c>
      <c r="Y566" s="55">
        <v>281</v>
      </c>
      <c r="Z566" s="52">
        <f t="shared" si="189"/>
        <v>130141.96874887843</v>
      </c>
      <c r="AA566" s="52">
        <f t="shared" si="190"/>
        <v>41728.639965308284</v>
      </c>
      <c r="AB566" s="52">
        <f t="shared" si="191"/>
        <v>-1212.2298066517221</v>
      </c>
      <c r="AC566" s="52">
        <f t="shared" si="192"/>
        <v>752.91778093204755</v>
      </c>
      <c r="AD566" s="52">
        <f t="shared" si="176"/>
        <v>-66.923715610089658</v>
      </c>
      <c r="AE566" s="52">
        <f t="shared" si="177"/>
        <v>-22.490857791023029</v>
      </c>
      <c r="AF566" s="52">
        <f t="shared" si="178"/>
        <v>-37.166834368775561</v>
      </c>
      <c r="AG566" s="52">
        <f t="shared" si="179"/>
        <v>-11.550276490513696</v>
      </c>
      <c r="AH566" s="52">
        <f t="shared" si="180"/>
        <v>-7.4382931816116438</v>
      </c>
      <c r="AI566" s="52">
        <f t="shared" si="181"/>
        <v>-1.57189177871045</v>
      </c>
      <c r="AJ566" s="52">
        <f t="shared" si="182"/>
        <v>-22.318588059702464</v>
      </c>
      <c r="AK566" s="52">
        <f t="shared" si="183"/>
        <v>-9.368689521798883</v>
      </c>
      <c r="AM566" s="52">
        <f t="shared" si="184"/>
        <v>115337.99492688267</v>
      </c>
      <c r="AN566" s="57">
        <f t="shared" si="185"/>
        <v>153457.86839988799</v>
      </c>
      <c r="AO566" s="57">
        <f t="shared" si="186"/>
        <v>146565.65187531628</v>
      </c>
    </row>
    <row r="567" spans="12:41" x14ac:dyDescent="0.25">
      <c r="L567" s="6">
        <v>564</v>
      </c>
      <c r="M567" s="52">
        <f t="shared" si="172"/>
        <v>15432.272711786993</v>
      </c>
      <c r="N567" s="52">
        <f t="shared" si="173"/>
        <v>5466.3167846210063</v>
      </c>
      <c r="P567" s="6">
        <v>564</v>
      </c>
      <c r="Q567" s="52">
        <f t="shared" si="187"/>
        <v>-23197.409101749105</v>
      </c>
      <c r="R567" s="52">
        <f t="shared" si="188"/>
        <v>8576.4217492347052</v>
      </c>
      <c r="T567" s="6">
        <v>564</v>
      </c>
      <c r="U567" s="52">
        <f t="shared" si="174"/>
        <v>-9567.7272882130073</v>
      </c>
      <c r="V567" s="52">
        <f t="shared" si="175"/>
        <v>-17033.683215378995</v>
      </c>
      <c r="X567" s="6">
        <v>563</v>
      </c>
      <c r="Y567" s="55">
        <v>281.5</v>
      </c>
      <c r="Z567" s="52">
        <f t="shared" si="189"/>
        <v>129527.48838110131</v>
      </c>
      <c r="AA567" s="52">
        <f t="shared" si="190"/>
        <v>42102.287498550431</v>
      </c>
      <c r="AB567" s="52">
        <f t="shared" si="191"/>
        <v>-1245.6916644567671</v>
      </c>
      <c r="AC567" s="52">
        <f t="shared" si="192"/>
        <v>741.67235203653604</v>
      </c>
      <c r="AD567" s="52">
        <f t="shared" si="176"/>
        <v>-67.308736786087266</v>
      </c>
      <c r="AE567" s="52">
        <f t="shared" si="177"/>
        <v>-22.939071774762382</v>
      </c>
      <c r="AF567" s="52">
        <f t="shared" si="178"/>
        <v>-37.416088085329939</v>
      </c>
      <c r="AG567" s="52">
        <f t="shared" si="179"/>
        <v>-11.820614679803686</v>
      </c>
      <c r="AH567" s="52">
        <f t="shared" si="180"/>
        <v>-7.4839730586750433</v>
      </c>
      <c r="AI567" s="52">
        <f t="shared" si="181"/>
        <v>-1.6067457386073334</v>
      </c>
      <c r="AJ567" s="52">
        <f t="shared" si="182"/>
        <v>-22.40867564208229</v>
      </c>
      <c r="AK567" s="52">
        <f t="shared" si="183"/>
        <v>-9.5117113563513627</v>
      </c>
      <c r="AM567" s="52">
        <f t="shared" si="184"/>
        <v>114863.3492947364</v>
      </c>
      <c r="AN567" s="57">
        <f t="shared" si="185"/>
        <v>152934.71366632226</v>
      </c>
      <c r="AO567" s="57">
        <f t="shared" si="186"/>
        <v>146144.84721568003</v>
      </c>
    </row>
    <row r="568" spans="12:41" x14ac:dyDescent="0.25">
      <c r="L568" s="6">
        <v>565</v>
      </c>
      <c r="M568" s="52">
        <f t="shared" si="172"/>
        <v>15468.461064816747</v>
      </c>
      <c r="N568" s="52">
        <f t="shared" si="173"/>
        <v>5386.9086912965067</v>
      </c>
      <c r="P568" s="6">
        <v>565</v>
      </c>
      <c r="Q568" s="52">
        <f t="shared" si="187"/>
        <v>-23172.077254628275</v>
      </c>
      <c r="R568" s="52">
        <f t="shared" si="188"/>
        <v>8520.836083907554</v>
      </c>
      <c r="T568" s="6">
        <v>565</v>
      </c>
      <c r="U568" s="52">
        <f t="shared" si="174"/>
        <v>-9531.5389351832528</v>
      </c>
      <c r="V568" s="52">
        <f t="shared" si="175"/>
        <v>-17113.091308703493</v>
      </c>
      <c r="X568" s="6">
        <v>564</v>
      </c>
      <c r="Y568" s="55">
        <v>282</v>
      </c>
      <c r="Z568" s="52">
        <f t="shared" si="189"/>
        <v>128896.22895677466</v>
      </c>
      <c r="AA568" s="52">
        <f t="shared" si="190"/>
        <v>42470.256290596852</v>
      </c>
      <c r="AB568" s="52">
        <f t="shared" si="191"/>
        <v>-1279.3460328498106</v>
      </c>
      <c r="AC568" s="52">
        <f t="shared" si="192"/>
        <v>730.20281614915484</v>
      </c>
      <c r="AD568" s="52">
        <f t="shared" si="176"/>
        <v>-67.711819080756001</v>
      </c>
      <c r="AE568" s="52">
        <f t="shared" si="177"/>
        <v>-23.400539700906187</v>
      </c>
      <c r="AF568" s="52">
        <f t="shared" si="178"/>
        <v>-37.676775307324306</v>
      </c>
      <c r="AG568" s="52">
        <f t="shared" si="179"/>
        <v>-12.099284808322956</v>
      </c>
      <c r="AH568" s="52">
        <f t="shared" si="180"/>
        <v>-7.5315881457358005</v>
      </c>
      <c r="AI568" s="52">
        <f t="shared" si="181"/>
        <v>-1.6424364745883353</v>
      </c>
      <c r="AJ568" s="52">
        <f t="shared" si="182"/>
        <v>-22.503455627695889</v>
      </c>
      <c r="AK568" s="52">
        <f t="shared" si="183"/>
        <v>-9.6588184179948975</v>
      </c>
      <c r="AM568" s="52">
        <f t="shared" si="184"/>
        <v>114373.54373296439</v>
      </c>
      <c r="AN568" s="57">
        <f t="shared" si="185"/>
        <v>152395.55289156342</v>
      </c>
      <c r="AO568" s="57">
        <f t="shared" si="186"/>
        <v>145708.71795109552</v>
      </c>
    </row>
    <row r="569" spans="12:41" x14ac:dyDescent="0.25">
      <c r="L569" s="6">
        <v>566</v>
      </c>
      <c r="M569" s="52">
        <f t="shared" si="172"/>
        <v>15506.029768504166</v>
      </c>
      <c r="N569" s="52">
        <f t="shared" si="173"/>
        <v>5308.1442660546145</v>
      </c>
      <c r="P569" s="6">
        <v>566</v>
      </c>
      <c r="Q569" s="52">
        <f t="shared" si="187"/>
        <v>-23145.779162047085</v>
      </c>
      <c r="R569" s="52">
        <f t="shared" si="188"/>
        <v>8465.7009862382292</v>
      </c>
      <c r="T569" s="6">
        <v>566</v>
      </c>
      <c r="U569" s="52">
        <f t="shared" si="174"/>
        <v>-9493.970231495834</v>
      </c>
      <c r="V569" s="52">
        <f t="shared" si="175"/>
        <v>-17191.855733945387</v>
      </c>
      <c r="X569" s="6">
        <v>565</v>
      </c>
      <c r="Y569" s="55">
        <v>282.5</v>
      </c>
      <c r="Z569" s="52">
        <f t="shared" si="189"/>
        <v>128248.09196296467</v>
      </c>
      <c r="AA569" s="52">
        <f t="shared" si="190"/>
        <v>42832.432631208816</v>
      </c>
      <c r="AB569" s="52">
        <f t="shared" si="191"/>
        <v>-1313.2019423901886</v>
      </c>
      <c r="AC569" s="52">
        <f t="shared" si="192"/>
        <v>718.50254629870176</v>
      </c>
      <c r="AD569" s="52">
        <f t="shared" si="176"/>
        <v>-68.133501859542832</v>
      </c>
      <c r="AE569" s="52">
        <f t="shared" si="177"/>
        <v>-23.875920397549084</v>
      </c>
      <c r="AF569" s="52">
        <f t="shared" si="178"/>
        <v>-37.949266436974071</v>
      </c>
      <c r="AG569" s="52">
        <f t="shared" si="179"/>
        <v>-12.386730107417755</v>
      </c>
      <c r="AH569" s="52">
        <f t="shared" si="180"/>
        <v>-7.5812002555411562</v>
      </c>
      <c r="AI569" s="52">
        <f t="shared" si="181"/>
        <v>-1.6790047234870351</v>
      </c>
      <c r="AJ569" s="52">
        <f t="shared" si="182"/>
        <v>-22.603035167027606</v>
      </c>
      <c r="AK569" s="52">
        <f t="shared" si="183"/>
        <v>-9.8101855666442948</v>
      </c>
      <c r="AM569" s="52">
        <f t="shared" si="184"/>
        <v>113868.47768044221</v>
      </c>
      <c r="AN569" s="57">
        <f t="shared" si="185"/>
        <v>151840.2627867276</v>
      </c>
      <c r="AO569" s="57">
        <f t="shared" si="186"/>
        <v>145257.166005034</v>
      </c>
    </row>
    <row r="570" spans="12:41" x14ac:dyDescent="0.25">
      <c r="L570" s="6">
        <v>567</v>
      </c>
      <c r="M570" s="52">
        <f t="shared" si="172"/>
        <v>15544.967379058158</v>
      </c>
      <c r="N570" s="52">
        <f t="shared" si="173"/>
        <v>5230.0475013022715</v>
      </c>
      <c r="P570" s="6">
        <v>567</v>
      </c>
      <c r="Q570" s="52">
        <f t="shared" si="187"/>
        <v>-23118.522834659288</v>
      </c>
      <c r="R570" s="52">
        <f t="shared" si="188"/>
        <v>8411.0332509115906</v>
      </c>
      <c r="T570" s="6">
        <v>567</v>
      </c>
      <c r="U570" s="52">
        <f t="shared" si="174"/>
        <v>-9455.0326209418417</v>
      </c>
      <c r="V570" s="52">
        <f t="shared" si="175"/>
        <v>-17269.952498697727</v>
      </c>
      <c r="X570" s="6">
        <v>566</v>
      </c>
      <c r="Y570" s="55">
        <v>283</v>
      </c>
      <c r="Z570" s="52">
        <f t="shared" si="189"/>
        <v>127582.97430403714</v>
      </c>
      <c r="AA570" s="52">
        <f t="shared" si="190"/>
        <v>43188.699414308474</v>
      </c>
      <c r="AB570" s="52">
        <f t="shared" si="191"/>
        <v>-1347.26869331996</v>
      </c>
      <c r="AC570" s="52">
        <f t="shared" si="192"/>
        <v>706.56458609992717</v>
      </c>
      <c r="AD570" s="52">
        <f t="shared" si="176"/>
        <v>-68.574357565110162</v>
      </c>
      <c r="AE570" s="52">
        <f t="shared" si="177"/>
        <v>-24.365910937677882</v>
      </c>
      <c r="AF570" s="52">
        <f t="shared" si="178"/>
        <v>-38.23395464875572</v>
      </c>
      <c r="AG570" s="52">
        <f t="shared" si="179"/>
        <v>-12.683420622147088</v>
      </c>
      <c r="AH570" s="52">
        <f t="shared" si="180"/>
        <v>-7.6328748886225402</v>
      </c>
      <c r="AI570" s="52">
        <f t="shared" si="181"/>
        <v>-1.716493325467469</v>
      </c>
      <c r="AJ570" s="52">
        <f t="shared" si="182"/>
        <v>-22.707528027731907</v>
      </c>
      <c r="AK570" s="52">
        <f t="shared" si="183"/>
        <v>-9.9659969900633225</v>
      </c>
      <c r="AM570" s="52">
        <f t="shared" si="184"/>
        <v>113348.04641451909</v>
      </c>
      <c r="AN570" s="57">
        <f t="shared" si="185"/>
        <v>151268.71478676418</v>
      </c>
      <c r="AO570" s="57">
        <f t="shared" si="186"/>
        <v>144790.08880042072</v>
      </c>
    </row>
    <row r="571" spans="12:41" x14ac:dyDescent="0.25">
      <c r="L571" s="6">
        <v>568</v>
      </c>
      <c r="M571" s="52">
        <f t="shared" si="172"/>
        <v>15585.262035705364</v>
      </c>
      <c r="N571" s="52">
        <f t="shared" si="173"/>
        <v>5152.6421860705486</v>
      </c>
      <c r="P571" s="6">
        <v>568</v>
      </c>
      <c r="Q571" s="52">
        <f t="shared" si="187"/>
        <v>-23090.316575006247</v>
      </c>
      <c r="R571" s="52">
        <f t="shared" si="188"/>
        <v>8356.8495302493848</v>
      </c>
      <c r="T571" s="6">
        <v>568</v>
      </c>
      <c r="U571" s="52">
        <f t="shared" si="174"/>
        <v>-9414.7379642946362</v>
      </c>
      <c r="V571" s="52">
        <f t="shared" si="175"/>
        <v>-17347.357813929451</v>
      </c>
      <c r="X571" s="6">
        <v>567</v>
      </c>
      <c r="Y571" s="55">
        <v>283.5</v>
      </c>
      <c r="Z571" s="52">
        <f t="shared" si="189"/>
        <v>126900.76816268152</v>
      </c>
      <c r="AA571" s="52">
        <f t="shared" si="190"/>
        <v>43538.935968491227</v>
      </c>
      <c r="AB571" s="52">
        <f t="shared" si="191"/>
        <v>-1381.555872102515</v>
      </c>
      <c r="AC571" s="52">
        <f t="shared" si="192"/>
        <v>694.38163063108823</v>
      </c>
      <c r="AD571" s="52">
        <f t="shared" si="176"/>
        <v>-69.034993701994139</v>
      </c>
      <c r="AE571" s="52">
        <f t="shared" si="177"/>
        <v>-24.871249565185945</v>
      </c>
      <c r="AF571" s="52">
        <f t="shared" si="178"/>
        <v>-38.531257307987119</v>
      </c>
      <c r="AG571" s="52">
        <f t="shared" si="179"/>
        <v>-12.989855346921344</v>
      </c>
      <c r="AH571" s="52">
        <f t="shared" si="180"/>
        <v>-7.6866814680452693</v>
      </c>
      <c r="AI571" s="52">
        <f t="shared" si="181"/>
        <v>-1.7549473756424536</v>
      </c>
      <c r="AJ571" s="52">
        <f t="shared" si="182"/>
        <v>-22.817054925961749</v>
      </c>
      <c r="AK571" s="52">
        <f t="shared" si="183"/>
        <v>-10.126446842622148</v>
      </c>
      <c r="AM571" s="52">
        <f t="shared" si="184"/>
        <v>112812.14092247516</v>
      </c>
      <c r="AN571" s="57">
        <f t="shared" si="185"/>
        <v>150680.77486091069</v>
      </c>
      <c r="AO571" s="57">
        <f t="shared" si="186"/>
        <v>144307.37911218737</v>
      </c>
    </row>
    <row r="572" spans="12:41" x14ac:dyDescent="0.25">
      <c r="L572" s="6">
        <v>569</v>
      </c>
      <c r="M572" s="52">
        <f t="shared" si="172"/>
        <v>15626.90146430302</v>
      </c>
      <c r="N572" s="52">
        <f t="shared" si="173"/>
        <v>5075.951898768315</v>
      </c>
      <c r="P572" s="6">
        <v>569</v>
      </c>
      <c r="Q572" s="52">
        <f t="shared" si="187"/>
        <v>-23061.168974987886</v>
      </c>
      <c r="R572" s="52">
        <f t="shared" si="188"/>
        <v>8303.1663291378209</v>
      </c>
      <c r="T572" s="6">
        <v>569</v>
      </c>
      <c r="U572" s="52">
        <f t="shared" si="174"/>
        <v>-9373.0985356969795</v>
      </c>
      <c r="V572" s="52">
        <f t="shared" si="175"/>
        <v>-17424.048101231685</v>
      </c>
      <c r="X572" s="6">
        <v>568</v>
      </c>
      <c r="Y572" s="55">
        <v>284</v>
      </c>
      <c r="Z572" s="52">
        <f t="shared" si="189"/>
        <v>126201.36085241752</v>
      </c>
      <c r="AA572" s="52">
        <f t="shared" si="190"/>
        <v>43883.017877611121</v>
      </c>
      <c r="AB572" s="52">
        <f t="shared" si="191"/>
        <v>-1416.073368953512</v>
      </c>
      <c r="AC572" s="52">
        <f t="shared" si="192"/>
        <v>681.94600584849525</v>
      </c>
      <c r="AD572" s="52">
        <f t="shared" si="176"/>
        <v>-69.516054983229964</v>
      </c>
      <c r="AE572" s="52">
        <f t="shared" si="177"/>
        <v>-25.392718879321926</v>
      </c>
      <c r="AF572" s="52">
        <f t="shared" si="178"/>
        <v>-38.841617505824345</v>
      </c>
      <c r="AG572" s="52">
        <f t="shared" si="179"/>
        <v>-13.306564555924631</v>
      </c>
      <c r="AH572" s="52">
        <f t="shared" si="180"/>
        <v>-7.7426935938210502</v>
      </c>
      <c r="AI572" s="52">
        <f t="shared" si="181"/>
        <v>-1.7944143880105727</v>
      </c>
      <c r="AJ572" s="52">
        <f t="shared" si="182"/>
        <v>-22.93174388358457</v>
      </c>
      <c r="AK572" s="52">
        <f t="shared" si="183"/>
        <v>-10.291739935386721</v>
      </c>
      <c r="AM572" s="52">
        <f t="shared" si="184"/>
        <v>112260.64776575971</v>
      </c>
      <c r="AN572" s="57">
        <f t="shared" si="185"/>
        <v>150076.30331132669</v>
      </c>
      <c r="AO572" s="57">
        <f t="shared" si="186"/>
        <v>143808.92491045661</v>
      </c>
    </row>
    <row r="573" spans="12:41" x14ac:dyDescent="0.25">
      <c r="L573" s="6">
        <v>570</v>
      </c>
      <c r="M573" s="52">
        <f t="shared" si="172"/>
        <v>15669.87298107781</v>
      </c>
      <c r="N573" s="52">
        <f t="shared" si="173"/>
        <v>4999.9999999999964</v>
      </c>
      <c r="P573" s="6">
        <v>570</v>
      </c>
      <c r="Q573" s="52">
        <f t="shared" si="187"/>
        <v>-23031.088913245534</v>
      </c>
      <c r="R573" s="52">
        <f t="shared" si="188"/>
        <v>8249.9999999999982</v>
      </c>
      <c r="T573" s="6">
        <v>570</v>
      </c>
      <c r="U573" s="52">
        <f t="shared" si="174"/>
        <v>-9330.1270189221905</v>
      </c>
      <c r="V573" s="52">
        <f t="shared" si="175"/>
        <v>-17500.000000000004</v>
      </c>
      <c r="X573" s="6">
        <v>569</v>
      </c>
      <c r="Y573" s="55">
        <v>284.5</v>
      </c>
      <c r="Z573" s="52">
        <f t="shared" si="189"/>
        <v>125484.63466106786</v>
      </c>
      <c r="AA573" s="52">
        <f t="shared" si="190"/>
        <v>44220.816790675453</v>
      </c>
      <c r="AB573" s="52">
        <f t="shared" si="191"/>
        <v>-1450.831396445127</v>
      </c>
      <c r="AC573" s="52">
        <f t="shared" si="192"/>
        <v>669.24964640883434</v>
      </c>
      <c r="AD573" s="52">
        <f t="shared" si="176"/>
        <v>-70.018225653308761</v>
      </c>
      <c r="AE573" s="52">
        <f t="shared" si="177"/>
        <v>-25.931149304705919</v>
      </c>
      <c r="AF573" s="52">
        <f t="shared" si="178"/>
        <v>-39.165505721127047</v>
      </c>
      <c r="AG573" s="52">
        <f t="shared" si="179"/>
        <v>-13.634112349354924</v>
      </c>
      <c r="AH573" s="52">
        <f t="shared" si="180"/>
        <v>-7.8009893188518058</v>
      </c>
      <c r="AI573" s="52">
        <f t="shared" si="181"/>
        <v>-1.8349444729222808</v>
      </c>
      <c r="AJ573" s="52">
        <f t="shared" si="182"/>
        <v>-23.051730613329905</v>
      </c>
      <c r="AK573" s="52">
        <f t="shared" si="183"/>
        <v>-10.462092482428712</v>
      </c>
      <c r="AM573" s="52">
        <f t="shared" si="184"/>
        <v>111693.44893660197</v>
      </c>
      <c r="AN573" s="57">
        <f t="shared" si="185"/>
        <v>149455.15455910299</v>
      </c>
      <c r="AO573" s="57">
        <f t="shared" si="186"/>
        <v>143294.60919374146</v>
      </c>
    </row>
    <row r="574" spans="12:41" x14ac:dyDescent="0.25">
      <c r="L574" s="6">
        <v>571</v>
      </c>
      <c r="M574" s="52">
        <f t="shared" si="172"/>
        <v>15714.163496489437</v>
      </c>
      <c r="N574" s="52">
        <f t="shared" si="173"/>
        <v>4924.8096254497304</v>
      </c>
      <c r="P574" s="6">
        <v>571</v>
      </c>
      <c r="Q574" s="52">
        <f t="shared" si="187"/>
        <v>-23000.085552457393</v>
      </c>
      <c r="R574" s="52">
        <f t="shared" si="188"/>
        <v>8197.3667378148111</v>
      </c>
      <c r="T574" s="6">
        <v>571</v>
      </c>
      <c r="U574" s="52">
        <f t="shared" si="174"/>
        <v>-9285.8365035105635</v>
      </c>
      <c r="V574" s="52">
        <f t="shared" si="175"/>
        <v>-17575.190374550271</v>
      </c>
      <c r="X574" s="6">
        <v>570</v>
      </c>
      <c r="Y574" s="55">
        <v>285</v>
      </c>
      <c r="Z574" s="52">
        <f t="shared" si="189"/>
        <v>124750.46668463862</v>
      </c>
      <c r="AA574" s="52">
        <f t="shared" si="190"/>
        <v>44552.200220216779</v>
      </c>
      <c r="AB574" s="52">
        <f t="shared" si="191"/>
        <v>-1485.8405092717815</v>
      </c>
      <c r="AC574" s="52">
        <f t="shared" si="192"/>
        <v>656.28407175648135</v>
      </c>
      <c r="AD574" s="52">
        <f t="shared" si="176"/>
        <v>-70.542232003322709</v>
      </c>
      <c r="AE574" s="52">
        <f t="shared" si="177"/>
        <v>-26.487422877278075</v>
      </c>
      <c r="AF574" s="52">
        <f t="shared" si="178"/>
        <v>-39.503421620720005</v>
      </c>
      <c r="AG574" s="52">
        <f t="shared" si="179"/>
        <v>-13.973099439080627</v>
      </c>
      <c r="AH574" s="52">
        <f t="shared" si="180"/>
        <v>-7.8616514484861977</v>
      </c>
      <c r="AI574" s="52">
        <f t="shared" si="181"/>
        <v>-1.8765905294209277</v>
      </c>
      <c r="AJ574" s="52">
        <f t="shared" si="182"/>
        <v>-23.177158934116498</v>
      </c>
      <c r="AK574" s="52">
        <f t="shared" si="183"/>
        <v>-10.63773290877652</v>
      </c>
      <c r="AM574" s="52">
        <f t="shared" si="184"/>
        <v>111110.42170655559</v>
      </c>
      <c r="AN574" s="57">
        <f t="shared" si="185"/>
        <v>148817.17691677474</v>
      </c>
      <c r="AO574" s="57">
        <f t="shared" si="186"/>
        <v>142764.30981148721</v>
      </c>
    </row>
    <row r="575" spans="12:41" x14ac:dyDescent="0.25">
      <c r="L575" s="6">
        <v>572</v>
      </c>
      <c r="M575" s="52">
        <f t="shared" si="172"/>
        <v>15759.759519217871</v>
      </c>
      <c r="N575" s="52">
        <f t="shared" si="173"/>
        <v>4850.4036788339727</v>
      </c>
      <c r="P575" s="6">
        <v>572</v>
      </c>
      <c r="Q575" s="52">
        <f t="shared" si="187"/>
        <v>-22968.168336547489</v>
      </c>
      <c r="R575" s="52">
        <f t="shared" si="188"/>
        <v>8145.2825751837809</v>
      </c>
      <c r="T575" s="6">
        <v>572</v>
      </c>
      <c r="U575" s="52">
        <f t="shared" si="174"/>
        <v>-9240.2404807821295</v>
      </c>
      <c r="V575" s="52">
        <f t="shared" si="175"/>
        <v>-17649.596321166027</v>
      </c>
      <c r="X575" s="6">
        <v>571</v>
      </c>
      <c r="Y575" s="55">
        <v>285.5</v>
      </c>
      <c r="Z575" s="52">
        <f t="shared" si="189"/>
        <v>123998.72865100233</v>
      </c>
      <c r="AA575" s="52">
        <f t="shared" si="190"/>
        <v>44877.03132823536</v>
      </c>
      <c r="AB575" s="52">
        <f t="shared" si="191"/>
        <v>-1521.1116252734428</v>
      </c>
      <c r="AC575" s="52">
        <f t="shared" si="192"/>
        <v>643.04036031784233</v>
      </c>
      <c r="AD575" s="52">
        <f t="shared" si="176"/>
        <v>-71.088845095836291</v>
      </c>
      <c r="AE575" s="52">
        <f t="shared" si="177"/>
        <v>-27.062477380221296</v>
      </c>
      <c r="AF575" s="52">
        <f t="shared" si="178"/>
        <v>-39.855896010797608</v>
      </c>
      <c r="AG575" s="52">
        <f t="shared" si="179"/>
        <v>-14.324166200238595</v>
      </c>
      <c r="AH575" s="52">
        <f t="shared" si="180"/>
        <v>-7.9247678660035392</v>
      </c>
      <c r="AI575" s="52">
        <f t="shared" si="181"/>
        <v>-1.9194084539556413</v>
      </c>
      <c r="AJ575" s="52">
        <f t="shared" si="182"/>
        <v>-23.308181219035134</v>
      </c>
      <c r="AK575" s="52">
        <f t="shared" si="183"/>
        <v>-10.818902726027057</v>
      </c>
      <c r="AM575" s="52">
        <f t="shared" si="184"/>
        <v>110511.43846650762</v>
      </c>
      <c r="AN575" s="57">
        <f t="shared" si="185"/>
        <v>148162.21234638646</v>
      </c>
      <c r="AO575" s="57">
        <f t="shared" si="186"/>
        <v>142217.89927522276</v>
      </c>
    </row>
    <row r="576" spans="12:41" x14ac:dyDescent="0.25">
      <c r="L576" s="6">
        <v>573</v>
      </c>
      <c r="M576" s="52">
        <f t="shared" si="172"/>
        <v>15806.647160272878</v>
      </c>
      <c r="N576" s="52">
        <f t="shared" si="173"/>
        <v>4776.8048249248677</v>
      </c>
      <c r="P576" s="6">
        <v>573</v>
      </c>
      <c r="Q576" s="52">
        <f t="shared" si="187"/>
        <v>-22935.346987808985</v>
      </c>
      <c r="R576" s="52">
        <f t="shared" si="188"/>
        <v>8093.763377447407</v>
      </c>
      <c r="T576" s="6">
        <v>573</v>
      </c>
      <c r="U576" s="52">
        <f t="shared" si="174"/>
        <v>-9193.352839727122</v>
      </c>
      <c r="V576" s="52">
        <f t="shared" si="175"/>
        <v>-17723.195175075132</v>
      </c>
      <c r="X576" s="6">
        <v>572</v>
      </c>
      <c r="Y576" s="55">
        <v>286</v>
      </c>
      <c r="Z576" s="52">
        <f t="shared" si="189"/>
        <v>123229.28673272862</v>
      </c>
      <c r="AA576" s="52">
        <f t="shared" si="190"/>
        <v>45195.168698721754</v>
      </c>
      <c r="AB576" s="52">
        <f t="shared" si="191"/>
        <v>-1556.656047821361</v>
      </c>
      <c r="AC576" s="52">
        <f t="shared" si="192"/>
        <v>629.5091216277317</v>
      </c>
      <c r="AD576" s="52">
        <f t="shared" si="176"/>
        <v>-71.658883718882379</v>
      </c>
      <c r="AE576" s="52">
        <f t="shared" si="177"/>
        <v>-27.657310868074816</v>
      </c>
      <c r="AF576" s="52">
        <f t="shared" si="178"/>
        <v>-40.223492953564445</v>
      </c>
      <c r="AG576" s="52">
        <f t="shared" si="179"/>
        <v>-14.68799601863121</v>
      </c>
      <c r="AH576" s="52">
        <f t="shared" si="180"/>
        <v>-7.9904318866078263</v>
      </c>
      <c r="AI576" s="52">
        <f t="shared" si="181"/>
        <v>-1.9634573671345859</v>
      </c>
      <c r="AJ576" s="52">
        <f t="shared" si="182"/>
        <v>-23.444958878710114</v>
      </c>
      <c r="AK576" s="52">
        <f t="shared" si="183"/>
        <v>-11.005857482309017</v>
      </c>
      <c r="AM576" s="52">
        <f t="shared" si="184"/>
        <v>109896.36655764827</v>
      </c>
      <c r="AN576" s="57">
        <f t="shared" si="185"/>
        <v>147490.09620207615</v>
      </c>
      <c r="AO576" s="57">
        <f t="shared" si="186"/>
        <v>141655.2445575239</v>
      </c>
    </row>
    <row r="577" spans="12:41" x14ac:dyDescent="0.25">
      <c r="L577" s="6">
        <v>574</v>
      </c>
      <c r="M577" s="52">
        <f t="shared" si="172"/>
        <v>15854.812137224792</v>
      </c>
      <c r="N577" s="52">
        <f t="shared" si="173"/>
        <v>4704.0354826462662</v>
      </c>
      <c r="P577" s="6">
        <v>574</v>
      </c>
      <c r="Q577" s="52">
        <f t="shared" si="187"/>
        <v>-22901.631503942644</v>
      </c>
      <c r="R577" s="52">
        <f t="shared" si="188"/>
        <v>8042.8248378523858</v>
      </c>
      <c r="T577" s="6">
        <v>574</v>
      </c>
      <c r="U577" s="52">
        <f t="shared" si="174"/>
        <v>-9145.1878627752085</v>
      </c>
      <c r="V577" s="52">
        <f t="shared" si="175"/>
        <v>-17795.964517353736</v>
      </c>
      <c r="X577" s="6">
        <v>573</v>
      </c>
      <c r="Y577" s="55">
        <v>286.5</v>
      </c>
      <c r="Z577" s="52">
        <f t="shared" si="189"/>
        <v>122442.00134835308</v>
      </c>
      <c r="AA577" s="52">
        <f t="shared" si="190"/>
        <v>45506.466095677111</v>
      </c>
      <c r="AB577" s="52">
        <f t="shared" si="191"/>
        <v>-1592.4854896808022</v>
      </c>
      <c r="AC577" s="52">
        <f t="shared" si="192"/>
        <v>615.68046619369431</v>
      </c>
      <c r="AD577" s="52">
        <f t="shared" si="176"/>
        <v>-72.25321759055285</v>
      </c>
      <c r="AE577" s="52">
        <f t="shared" si="177"/>
        <v>-28.272986622009675</v>
      </c>
      <c r="AF577" s="52">
        <f t="shared" si="178"/>
        <v>-40.606812064697998</v>
      </c>
      <c r="AG577" s="52">
        <f t="shared" si="179"/>
        <v>-15.065318967582703</v>
      </c>
      <c r="AH577" s="52">
        <f t="shared" si="180"/>
        <v>-8.0587426428157034</v>
      </c>
      <c r="AI577" s="52">
        <f t="shared" si="181"/>
        <v>-2.0087998603807278</v>
      </c>
      <c r="AJ577" s="52">
        <f t="shared" si="182"/>
        <v>-23.587662883039144</v>
      </c>
      <c r="AK577" s="52">
        <f t="shared" si="183"/>
        <v>-11.198867794046246</v>
      </c>
      <c r="AM577" s="52">
        <f t="shared" si="184"/>
        <v>109265.06809286226</v>
      </c>
      <c r="AN577" s="57">
        <f t="shared" si="185"/>
        <v>146800.65695604938</v>
      </c>
      <c r="AO577" s="57">
        <f t="shared" si="186"/>
        <v>141076.2068779174</v>
      </c>
    </row>
    <row r="578" spans="12:41" x14ac:dyDescent="0.25">
      <c r="L578" s="6">
        <v>575</v>
      </c>
      <c r="M578" s="52">
        <f t="shared" si="172"/>
        <v>15904.239778555038</v>
      </c>
      <c r="N578" s="52">
        <f t="shared" si="173"/>
        <v>4632.1178182447748</v>
      </c>
      <c r="P578" s="6">
        <v>575</v>
      </c>
      <c r="Q578" s="52">
        <f t="shared" si="187"/>
        <v>-22867.032155011475</v>
      </c>
      <c r="R578" s="52">
        <f t="shared" si="188"/>
        <v>7992.4824727713421</v>
      </c>
      <c r="T578" s="6">
        <v>575</v>
      </c>
      <c r="U578" s="52">
        <f t="shared" si="174"/>
        <v>-9095.7602214449616</v>
      </c>
      <c r="V578" s="52">
        <f t="shared" si="175"/>
        <v>-17867.882181755227</v>
      </c>
      <c r="X578" s="6">
        <v>574</v>
      </c>
      <c r="Y578" s="55">
        <v>287</v>
      </c>
      <c r="Z578" s="52">
        <f t="shared" si="189"/>
        <v>121636.72695131386</v>
      </c>
      <c r="AA578" s="52">
        <f t="shared" si="190"/>
        <v>45810.772205446206</v>
      </c>
      <c r="AB578" s="52">
        <f t="shared" si="191"/>
        <v>-1628.6120984760787</v>
      </c>
      <c r="AC578" s="52">
        <f t="shared" si="192"/>
        <v>601.54397288268945</v>
      </c>
      <c r="AD578" s="52">
        <f t="shared" si="176"/>
        <v>-72.872770837993755</v>
      </c>
      <c r="AE578" s="52">
        <f t="shared" si="177"/>
        <v>-28.910638584671574</v>
      </c>
      <c r="AF578" s="52">
        <f t="shared" si="178"/>
        <v>-41.006491008909187</v>
      </c>
      <c r="AG578" s="52">
        <f t="shared" si="179"/>
        <v>-15.456915852273909</v>
      </c>
      <c r="AH578" s="52">
        <f t="shared" si="180"/>
        <v>-8.1298055044627802</v>
      </c>
      <c r="AI578" s="52">
        <f t="shared" si="181"/>
        <v>-2.0555022645713481</v>
      </c>
      <c r="AJ578" s="52">
        <f t="shared" si="182"/>
        <v>-23.736474324621788</v>
      </c>
      <c r="AK578" s="52">
        <f t="shared" si="183"/>
        <v>-11.398220467826317</v>
      </c>
      <c r="AM578" s="52">
        <f t="shared" si="184"/>
        <v>108617.39976796314</v>
      </c>
      <c r="AN578" s="57">
        <f t="shared" si="185"/>
        <v>146093.7159067131</v>
      </c>
      <c r="AO578" s="57">
        <f t="shared" si="186"/>
        <v>140480.64147477507</v>
      </c>
    </row>
    <row r="579" spans="12:41" x14ac:dyDescent="0.25">
      <c r="L579" s="6">
        <v>576</v>
      </c>
      <c r="M579" s="52">
        <f t="shared" si="172"/>
        <v>15954.915028125262</v>
      </c>
      <c r="N579" s="52">
        <f t="shared" si="173"/>
        <v>4561.073738537636</v>
      </c>
      <c r="P579" s="6">
        <v>576</v>
      </c>
      <c r="Q579" s="52">
        <f t="shared" si="187"/>
        <v>-22831.559480312317</v>
      </c>
      <c r="R579" s="52">
        <f t="shared" si="188"/>
        <v>7942.7516169763458</v>
      </c>
      <c r="T579" s="6">
        <v>576</v>
      </c>
      <c r="U579" s="52">
        <f t="shared" si="174"/>
        <v>-9045.0849718747377</v>
      </c>
      <c r="V579" s="52">
        <f t="shared" si="175"/>
        <v>-17938.926261462366</v>
      </c>
      <c r="X579" s="6">
        <v>575</v>
      </c>
      <c r="Y579" s="55">
        <v>287.5</v>
      </c>
      <c r="Z579" s="52">
        <f t="shared" si="189"/>
        <v>120813.31180572107</v>
      </c>
      <c r="AA579" s="52">
        <f t="shared" si="190"/>
        <v>46107.930362064464</v>
      </c>
      <c r="AB579" s="52">
        <f t="shared" si="191"/>
        <v>-1665.0484838950756</v>
      </c>
      <c r="AC579" s="52">
        <f t="shared" si="192"/>
        <v>587.08865359035372</v>
      </c>
      <c r="AD579" s="52">
        <f t="shared" si="176"/>
        <v>-73.518525777204246</v>
      </c>
      <c r="AE579" s="52">
        <f t="shared" si="177"/>
        <v>-29.571477329197506</v>
      </c>
      <c r="AF579" s="52">
        <f t="shared" si="178"/>
        <v>-41.423208212734437</v>
      </c>
      <c r="AG579" s="52">
        <f t="shared" si="179"/>
        <v>-15.863622664559573</v>
      </c>
      <c r="AH579" s="52">
        <f t="shared" si="180"/>
        <v>-8.2037325369399099</v>
      </c>
      <c r="AI579" s="52">
        <f t="shared" si="181"/>
        <v>-2.10363494299119</v>
      </c>
      <c r="AJ579" s="52">
        <f t="shared" si="182"/>
        <v>-23.891585027529906</v>
      </c>
      <c r="AK579" s="52">
        <f t="shared" si="183"/>
        <v>-11.604219721646743</v>
      </c>
      <c r="AM579" s="52">
        <f t="shared" si="184"/>
        <v>107953.21266215082</v>
      </c>
      <c r="AN579" s="57">
        <f t="shared" si="185"/>
        <v>145369.0868676244</v>
      </c>
      <c r="AO579" s="57">
        <f t="shared" si="186"/>
        <v>139868.39736215794</v>
      </c>
    </row>
    <row r="580" spans="12:41" x14ac:dyDescent="0.25">
      <c r="L580" s="6">
        <v>577</v>
      </c>
      <c r="M580" s="52">
        <f t="shared" si="172"/>
        <v>16006.822449763536</v>
      </c>
      <c r="N580" s="52">
        <f t="shared" si="173"/>
        <v>4490.9248842397574</v>
      </c>
      <c r="P580" s="6">
        <v>577</v>
      </c>
      <c r="Q580" s="52">
        <f t="shared" si="187"/>
        <v>-22795.224285165525</v>
      </c>
      <c r="R580" s="52">
        <f t="shared" si="188"/>
        <v>7893.6474189678302</v>
      </c>
      <c r="T580" s="6">
        <v>577</v>
      </c>
      <c r="U580" s="52">
        <f t="shared" si="174"/>
        <v>-8993.1775502364635</v>
      </c>
      <c r="V580" s="52">
        <f t="shared" si="175"/>
        <v>-18009.075115760243</v>
      </c>
      <c r="X580" s="6">
        <v>576</v>
      </c>
      <c r="Y580" s="55">
        <v>288</v>
      </c>
      <c r="Z580" s="52">
        <f t="shared" si="189"/>
        <v>119971.59774805138</v>
      </c>
      <c r="AA580" s="52">
        <f t="shared" si="190"/>
        <v>46397.778254193494</v>
      </c>
      <c r="AB580" s="52">
        <f t="shared" si="191"/>
        <v>-1701.8077467836777</v>
      </c>
      <c r="AC580" s="52">
        <f t="shared" si="192"/>
        <v>572.30291492575498</v>
      </c>
      <c r="AD580" s="52">
        <f t="shared" si="176"/>
        <v>-74.191527022957544</v>
      </c>
      <c r="AE580" s="52">
        <f t="shared" si="177"/>
        <v>-30.256796624121954</v>
      </c>
      <c r="AF580" s="52">
        <f t="shared" si="178"/>
        <v>-41.857685815793552</v>
      </c>
      <c r="AG580" s="52">
        <f t="shared" si="179"/>
        <v>-16.286335497005439</v>
      </c>
      <c r="AH580" s="52">
        <f t="shared" si="180"/>
        <v>-8.2806430017115389</v>
      </c>
      <c r="AI580" s="52">
        <f t="shared" si="181"/>
        <v>-2.1532726112118108</v>
      </c>
      <c r="AJ580" s="52">
        <f t="shared" si="182"/>
        <v>-24.053198205452457</v>
      </c>
      <c r="AK580" s="52">
        <f t="shared" si="183"/>
        <v>-11.817188515904704</v>
      </c>
      <c r="AM580" s="52">
        <f t="shared" si="184"/>
        <v>107272.35202702791</v>
      </c>
      <c r="AN580" s="57">
        <f t="shared" si="185"/>
        <v>144626.57583578388</v>
      </c>
      <c r="AO580" s="57">
        <f t="shared" si="186"/>
        <v>139239.3170704736</v>
      </c>
    </row>
    <row r="581" spans="12:41" x14ac:dyDescent="0.25">
      <c r="L581" s="6">
        <v>578</v>
      </c>
      <c r="M581" s="52">
        <f t="shared" ref="M581:M644" si="193">$G$20*COS(L581*PI()/180)+$G$19</f>
        <v>16059.946231966387</v>
      </c>
      <c r="N581" s="52">
        <f t="shared" ref="N581:N644" si="194">$G$20*SIN(L581*PI()/180)+$H$19</f>
        <v>4421.6926233717113</v>
      </c>
      <c r="P581" s="6">
        <v>578</v>
      </c>
      <c r="Q581" s="52">
        <f t="shared" si="187"/>
        <v>-22758.037637623529</v>
      </c>
      <c r="R581" s="52">
        <f t="shared" si="188"/>
        <v>7845.1848363601985</v>
      </c>
      <c r="T581" s="6">
        <v>578</v>
      </c>
      <c r="U581" s="52">
        <f t="shared" ref="U581:U644" si="195">$G$40*COS(T581*PI()/180)+$G$39</f>
        <v>-8940.0537680336129</v>
      </c>
      <c r="V581" s="52">
        <f t="shared" ref="V581:V644" si="196">$G$40*SIN(T581*PI()/180)+$H$39</f>
        <v>-18078.307376628287</v>
      </c>
      <c r="X581" s="6">
        <v>577</v>
      </c>
      <c r="Y581" s="55">
        <v>288.5</v>
      </c>
      <c r="Z581" s="52">
        <f t="shared" si="189"/>
        <v>119111.41993378167</v>
      </c>
      <c r="AA581" s="52">
        <f t="shared" si="190"/>
        <v>46680.147612078355</v>
      </c>
      <c r="AB581" s="52">
        <f t="shared" si="191"/>
        <v>-1738.9035102951564</v>
      </c>
      <c r="AC581" s="52">
        <f t="shared" si="192"/>
        <v>557.17451661369398</v>
      </c>
      <c r="AD581" s="52">
        <f t="shared" ref="AD581:AD644" si="197">AF581+AH581+AJ581</f>
        <v>-74.892885961425904</v>
      </c>
      <c r="AE581" s="52">
        <f t="shared" ref="AE581:AE644" si="198">AG581+AI581+AK581</f>
        <v>-30.967980664042006</v>
      </c>
      <c r="AF581" s="52">
        <f t="shared" ref="AF581:AF644" si="199">(($G$19-Z581)/(AM581^2+$G$24^2)^(3/2))*$G$23</f>
        <v>-42.310692884078094</v>
      </c>
      <c r="AG581" s="52">
        <f t="shared" ref="AG581:AG644" si="200">(($H$19-AA581)/(AM581^2+$G$24^2)^(3/2))*$G$23</f>
        <v>-16.726015971469906</v>
      </c>
      <c r="AH581" s="52">
        <f t="shared" ref="AH581:AH644" si="201">(($G$29-Z581)/(AN581^2+$G$34^2)^(3/2))*$G$33</f>
        <v>-8.3606639036673069</v>
      </c>
      <c r="AI581" s="52">
        <f t="shared" ref="AI581:AI644" si="202">(($H$29-AA581)/(AN581^2+$G$34^2)^(3/2))*$G$33</f>
        <v>-2.2044946868306714</v>
      </c>
      <c r="AJ581" s="52">
        <f t="shared" ref="AJ581:AJ644" si="203">(($G$39-Z581)/(AO581^2+$G$44^2)^(3/2))*$G$43</f>
        <v>-24.221529173680505</v>
      </c>
      <c r="AK581" s="52">
        <f t="shared" ref="AK581:AK644" si="204">(($H$39-AA581)/(AO581^2+$G$44^2)^(3/2))*$G$43</f>
        <v>-12.037470005741429</v>
      </c>
      <c r="AM581" s="52">
        <f t="shared" ref="AM581:AM644" si="205">SQRT(($G$19-Z581)^2+($H$19-AA581)^2)</f>
        <v>106574.65706346263</v>
      </c>
      <c r="AN581" s="57">
        <f t="shared" ref="AN581:AN644" si="206">SQRT(($G$29-Z581)^2+($H$29-AA581)^2)</f>
        <v>143865.98063766432</v>
      </c>
      <c r="AO581" s="57">
        <f t="shared" ref="AO581:AO644" si="207">SQRT(($G$39-Z581)^2+($H$39-AA581)^2)</f>
        <v>138593.23636969907</v>
      </c>
    </row>
    <row r="582" spans="12:41" x14ac:dyDescent="0.25">
      <c r="L582" s="6">
        <v>579</v>
      </c>
      <c r="M582" s="52">
        <f t="shared" si="193"/>
        <v>16114.270192715147</v>
      </c>
      <c r="N582" s="52">
        <f t="shared" si="194"/>
        <v>4353.3980447508129</v>
      </c>
      <c r="P582" s="6">
        <v>579</v>
      </c>
      <c r="Q582" s="52">
        <f t="shared" ref="Q582:Q645" si="208">$G$30*COS(P582*PI()/180)+$G$29</f>
        <v>-22720.010865099397</v>
      </c>
      <c r="R582" s="52">
        <f t="shared" ref="R582:R645" si="209">$G$30*SIN(P582*PI()/180)+$H$29</f>
        <v>7797.3786313255696</v>
      </c>
      <c r="T582" s="6">
        <v>579</v>
      </c>
      <c r="U582" s="52">
        <f t="shared" si="195"/>
        <v>-8885.7298072848535</v>
      </c>
      <c r="V582" s="52">
        <f t="shared" si="196"/>
        <v>-18146.601955249185</v>
      </c>
      <c r="X582" s="6">
        <v>578</v>
      </c>
      <c r="Y582" s="55">
        <v>289</v>
      </c>
      <c r="Z582" s="52">
        <f t="shared" ref="Z582:Z645" si="210">Z581+AB581*$G$4+((1/2)*AD581)*$G$4^2</f>
        <v>118232.60656788891</v>
      </c>
      <c r="AA582" s="52">
        <f t="shared" ref="AA582:AA645" si="211">AA581+AC581*$G$4+((1/2)*AE581)*$G$4^2</f>
        <v>46954.863872802198</v>
      </c>
      <c r="AB582" s="52">
        <f t="shared" ref="AB582:AB645" si="212">AB581+AD581*$G$4</f>
        <v>-1776.3499532758692</v>
      </c>
      <c r="AC582" s="52">
        <f t="shared" ref="AC582:AC645" si="213">AC581+AE581*$G$4</f>
        <v>541.69052628167299</v>
      </c>
      <c r="AD582" s="52">
        <f t="shared" si="197"/>
        <v>-75.623785621763886</v>
      </c>
      <c r="AE582" s="52">
        <f t="shared" si="198"/>
        <v>-31.706512045288559</v>
      </c>
      <c r="AF582" s="52">
        <f t="shared" si="199"/>
        <v>-42.783048911459133</v>
      </c>
      <c r="AG582" s="52">
        <f t="shared" si="200"/>
        <v>-17.183697245155312</v>
      </c>
      <c r="AH582" s="52">
        <f t="shared" si="201"/>
        <v>-8.4439305904310853</v>
      </c>
      <c r="AI582" s="52">
        <f t="shared" si="202"/>
        <v>-2.2573856723704293</v>
      </c>
      <c r="AJ582" s="52">
        <f t="shared" si="203"/>
        <v>-24.396806119873659</v>
      </c>
      <c r="AK582" s="52">
        <f t="shared" si="204"/>
        <v>-12.265429127762818</v>
      </c>
      <c r="AM582" s="52">
        <f t="shared" si="205"/>
        <v>105859.96068553494</v>
      </c>
      <c r="AN582" s="57">
        <f t="shared" si="206"/>
        <v>143087.09055120978</v>
      </c>
      <c r="AO582" s="57">
        <f t="shared" si="207"/>
        <v>137929.983973803</v>
      </c>
    </row>
    <row r="583" spans="12:41" x14ac:dyDescent="0.25">
      <c r="L583" s="6">
        <v>580</v>
      </c>
      <c r="M583" s="52">
        <f t="shared" si="193"/>
        <v>16169.777784405105</v>
      </c>
      <c r="N583" s="52">
        <f t="shared" si="194"/>
        <v>4286.0619515673079</v>
      </c>
      <c r="P583" s="6">
        <v>580</v>
      </c>
      <c r="Q583" s="52">
        <f t="shared" si="208"/>
        <v>-22681.155550916425</v>
      </c>
      <c r="R583" s="52">
        <f t="shared" si="209"/>
        <v>7750.2433660971155</v>
      </c>
      <c r="T583" s="6">
        <v>580</v>
      </c>
      <c r="U583" s="52">
        <f t="shared" si="195"/>
        <v>-8830.2222155948948</v>
      </c>
      <c r="V583" s="52">
        <f t="shared" si="196"/>
        <v>-18213.93804843269</v>
      </c>
      <c r="X583" s="6">
        <v>579</v>
      </c>
      <c r="Y583" s="55">
        <v>289.5</v>
      </c>
      <c r="Z583" s="52">
        <f t="shared" si="210"/>
        <v>117334.97861804826</v>
      </c>
      <c r="AA583" s="52">
        <f t="shared" si="211"/>
        <v>47221.745821937373</v>
      </c>
      <c r="AB583" s="52">
        <f t="shared" si="212"/>
        <v>-1814.1618460867512</v>
      </c>
      <c r="AC583" s="52">
        <f t="shared" si="213"/>
        <v>525.83727025902874</v>
      </c>
      <c r="AD583" s="52">
        <f t="shared" si="197"/>
        <v>-76.385485987006291</v>
      </c>
      <c r="AE583" s="52">
        <f t="shared" si="198"/>
        <v>-32.47398057664374</v>
      </c>
      <c r="AF583" s="52">
        <f t="shared" si="199"/>
        <v>-43.275627638520433</v>
      </c>
      <c r="AG583" s="52">
        <f t="shared" si="200"/>
        <v>-17.660490665822937</v>
      </c>
      <c r="AH583" s="52">
        <f t="shared" si="201"/>
        <v>-8.53058740940204</v>
      </c>
      <c r="AI583" s="52">
        <f t="shared" si="202"/>
        <v>-2.3120355750567225</v>
      </c>
      <c r="AJ583" s="52">
        <f t="shared" si="203"/>
        <v>-24.579270939083816</v>
      </c>
      <c r="AK583" s="52">
        <f t="shared" si="204"/>
        <v>-12.501454335764079</v>
      </c>
      <c r="AM583" s="52">
        <f t="shared" si="205"/>
        <v>105128.08927074872</v>
      </c>
      <c r="AN583" s="57">
        <f t="shared" si="206"/>
        <v>142289.6859018695</v>
      </c>
      <c r="AO583" s="57">
        <f t="shared" si="207"/>
        <v>137249.38122486419</v>
      </c>
    </row>
    <row r="584" spans="12:41" x14ac:dyDescent="0.25">
      <c r="L584" s="6">
        <v>581</v>
      </c>
      <c r="M584" s="52">
        <f t="shared" si="193"/>
        <v>16226.452098886139</v>
      </c>
      <c r="N584" s="52">
        <f t="shared" si="194"/>
        <v>4219.7048550474647</v>
      </c>
      <c r="P584" s="6">
        <v>581</v>
      </c>
      <c r="Q584" s="52">
        <f t="shared" si="208"/>
        <v>-22641.483530779704</v>
      </c>
      <c r="R584" s="52">
        <f t="shared" si="209"/>
        <v>7703.7933985332256</v>
      </c>
      <c r="T584" s="6">
        <v>581</v>
      </c>
      <c r="U584" s="52">
        <f t="shared" si="195"/>
        <v>-8773.5479011138614</v>
      </c>
      <c r="V584" s="52">
        <f t="shared" si="196"/>
        <v>-18280.295144952535</v>
      </c>
      <c r="X584" s="6">
        <v>580</v>
      </c>
      <c r="Y584" s="55">
        <v>290</v>
      </c>
      <c r="Z584" s="52">
        <f t="shared" si="210"/>
        <v>116418.3495092565</v>
      </c>
      <c r="AA584" s="52">
        <f t="shared" si="211"/>
        <v>47480.60520949481</v>
      </c>
      <c r="AB584" s="52">
        <f t="shared" si="212"/>
        <v>-1852.3545890802543</v>
      </c>
      <c r="AC584" s="52">
        <f t="shared" si="213"/>
        <v>509.60027997070688</v>
      </c>
      <c r="AD584" s="52">
        <f t="shared" si="197"/>
        <v>-77.17932978927891</v>
      </c>
      <c r="AE584" s="52">
        <f t="shared" si="198"/>
        <v>-33.272093027615853</v>
      </c>
      <c r="AF584" s="52">
        <f t="shared" si="199"/>
        <v>-43.789361221108663</v>
      </c>
      <c r="AG584" s="52">
        <f t="shared" si="200"/>
        <v>-18.157593158022596</v>
      </c>
      <c r="AH584" s="52">
        <f t="shared" si="201"/>
        <v>-8.6207884290526433</v>
      </c>
      <c r="AI584" s="52">
        <f t="shared" si="202"/>
        <v>-2.3685403676723031</v>
      </c>
      <c r="AJ584" s="52">
        <f t="shared" si="203"/>
        <v>-24.769180139117601</v>
      </c>
      <c r="AK584" s="52">
        <f t="shared" si="204"/>
        <v>-12.74595950192095</v>
      </c>
      <c r="AM584" s="52">
        <f t="shared" si="205"/>
        <v>104378.86239563367</v>
      </c>
      <c r="AN584" s="57">
        <f t="shared" si="206"/>
        <v>141473.53763053947</v>
      </c>
      <c r="AO584" s="57">
        <f t="shared" si="207"/>
        <v>136551.2417552353</v>
      </c>
    </row>
    <row r="585" spans="12:41" x14ac:dyDescent="0.25">
      <c r="L585" s="6">
        <v>582</v>
      </c>
      <c r="M585" s="52">
        <f t="shared" si="193"/>
        <v>16284.275872613023</v>
      </c>
      <c r="N585" s="52">
        <f t="shared" si="194"/>
        <v>4154.3469682057148</v>
      </c>
      <c r="P585" s="6">
        <v>582</v>
      </c>
      <c r="Q585" s="52">
        <f t="shared" si="208"/>
        <v>-22601.006889170883</v>
      </c>
      <c r="R585" s="52">
        <f t="shared" si="209"/>
        <v>7658.0428777440011</v>
      </c>
      <c r="T585" s="6">
        <v>582</v>
      </c>
      <c r="U585" s="52">
        <f t="shared" si="195"/>
        <v>-8715.7241273869768</v>
      </c>
      <c r="V585" s="52">
        <f t="shared" si="196"/>
        <v>-18345.653031794285</v>
      </c>
      <c r="X585" s="6">
        <v>581</v>
      </c>
      <c r="Y585" s="55">
        <v>290.5</v>
      </c>
      <c r="Z585" s="52">
        <f t="shared" si="210"/>
        <v>115482.52479849271</v>
      </c>
      <c r="AA585" s="52">
        <f t="shared" si="211"/>
        <v>47731.246337851713</v>
      </c>
      <c r="AB585" s="52">
        <f t="shared" si="212"/>
        <v>-1890.9442539748939</v>
      </c>
      <c r="AC585" s="52">
        <f t="shared" si="213"/>
        <v>492.96423345689897</v>
      </c>
      <c r="AD585" s="52">
        <f t="shared" si="197"/>
        <v>-78.006748839508916</v>
      </c>
      <c r="AE585" s="52">
        <f t="shared" si="198"/>
        <v>-34.102683931194832</v>
      </c>
      <c r="AF585" s="52">
        <f t="shared" si="199"/>
        <v>-44.325244784656277</v>
      </c>
      <c r="AG585" s="52">
        <f t="shared" si="200"/>
        <v>-18.676295433960227</v>
      </c>
      <c r="AH585" s="52">
        <f t="shared" si="201"/>
        <v>-8.7146982318624833</v>
      </c>
      <c r="AI585" s="52">
        <f t="shared" si="202"/>
        <v>-2.4270024952332618</v>
      </c>
      <c r="AJ585" s="52">
        <f t="shared" si="203"/>
        <v>-24.966805822990153</v>
      </c>
      <c r="AK585" s="52">
        <f t="shared" si="204"/>
        <v>-12.999386002001343</v>
      </c>
      <c r="AM585" s="52">
        <f t="shared" si="205"/>
        <v>103612.09255580009</v>
      </c>
      <c r="AN585" s="57">
        <f t="shared" si="206"/>
        <v>140638.40683107101</v>
      </c>
      <c r="AO585" s="57">
        <f t="shared" si="207"/>
        <v>135835.37112593185</v>
      </c>
    </row>
    <row r="586" spans="12:41" x14ac:dyDescent="0.25">
      <c r="L586" s="6">
        <v>583</v>
      </c>
      <c r="M586" s="52">
        <f t="shared" si="193"/>
        <v>16343.231491904144</v>
      </c>
      <c r="N586" s="52">
        <f t="shared" si="194"/>
        <v>4090.008199687511</v>
      </c>
      <c r="P586" s="6">
        <v>583</v>
      </c>
      <c r="Q586" s="52">
        <f t="shared" si="208"/>
        <v>-22559.7379556671</v>
      </c>
      <c r="R586" s="52">
        <f t="shared" si="209"/>
        <v>7613.0057397812579</v>
      </c>
      <c r="T586" s="6">
        <v>583</v>
      </c>
      <c r="U586" s="52">
        <f t="shared" si="195"/>
        <v>-8656.7685080958563</v>
      </c>
      <c r="V586" s="52">
        <f t="shared" si="196"/>
        <v>-18409.991800312488</v>
      </c>
      <c r="X586" s="6">
        <v>582</v>
      </c>
      <c r="Y586" s="55">
        <v>291</v>
      </c>
      <c r="Z586" s="52">
        <f t="shared" si="210"/>
        <v>114527.30182790033</v>
      </c>
      <c r="AA586" s="52">
        <f t="shared" si="211"/>
        <v>47973.465619088762</v>
      </c>
      <c r="AB586" s="52">
        <f t="shared" si="212"/>
        <v>-1929.9476283946483</v>
      </c>
      <c r="AC586" s="52">
        <f t="shared" si="213"/>
        <v>475.91289149130154</v>
      </c>
      <c r="AD586" s="52">
        <f t="shared" si="197"/>
        <v>-78.869270947694289</v>
      </c>
      <c r="AE586" s="52">
        <f t="shared" si="198"/>
        <v>-34.967727574730354</v>
      </c>
      <c r="AF586" s="52">
        <f t="shared" si="199"/>
        <v>-44.884341404449941</v>
      </c>
      <c r="AG586" s="52">
        <f t="shared" si="200"/>
        <v>-19.217991136315906</v>
      </c>
      <c r="AH586" s="52">
        <f t="shared" si="201"/>
        <v>-8.8124927872574741</v>
      </c>
      <c r="AI586" s="52">
        <f t="shared" si="202"/>
        <v>-2.487531432864778</v>
      </c>
      <c r="AJ586" s="52">
        <f t="shared" si="203"/>
        <v>-25.172436755986876</v>
      </c>
      <c r="AK586" s="52">
        <f t="shared" si="204"/>
        <v>-13.262205005549671</v>
      </c>
      <c r="AM586" s="52">
        <f t="shared" si="205"/>
        <v>102827.58486944313</v>
      </c>
      <c r="AN586" s="57">
        <f t="shared" si="206"/>
        <v>139784.04425476864</v>
      </c>
      <c r="AO586" s="57">
        <f t="shared" si="207"/>
        <v>135101.56643924059</v>
      </c>
    </row>
    <row r="587" spans="12:41" x14ac:dyDescent="0.25">
      <c r="L587" s="6">
        <v>584</v>
      </c>
      <c r="M587" s="52">
        <f t="shared" si="193"/>
        <v>16403.300998306742</v>
      </c>
      <c r="N587" s="52">
        <f t="shared" si="194"/>
        <v>4026.7081477050142</v>
      </c>
      <c r="P587" s="6">
        <v>584</v>
      </c>
      <c r="Q587" s="52">
        <f t="shared" si="208"/>
        <v>-22517.689301185281</v>
      </c>
      <c r="R587" s="52">
        <f t="shared" si="209"/>
        <v>7568.6957033935105</v>
      </c>
      <c r="T587" s="6">
        <v>584</v>
      </c>
      <c r="U587" s="52">
        <f t="shared" si="195"/>
        <v>-8596.6990016932559</v>
      </c>
      <c r="V587" s="52">
        <f t="shared" si="196"/>
        <v>-18473.291852294984</v>
      </c>
      <c r="X587" s="6">
        <v>583</v>
      </c>
      <c r="Y587" s="55">
        <v>291.5</v>
      </c>
      <c r="Z587" s="52">
        <f t="shared" si="210"/>
        <v>113552.46935483455</v>
      </c>
      <c r="AA587" s="52">
        <f t="shared" si="211"/>
        <v>48207.051098887569</v>
      </c>
      <c r="AB587" s="52">
        <f t="shared" si="212"/>
        <v>-1969.3822638684953</v>
      </c>
      <c r="AC587" s="52">
        <f t="shared" si="213"/>
        <v>458.42902770393636</v>
      </c>
      <c r="AD587" s="52">
        <f t="shared" si="197"/>
        <v>-79.768527496377587</v>
      </c>
      <c r="AE587" s="52">
        <f t="shared" si="198"/>
        <v>-35.869351331987517</v>
      </c>
      <c r="AF587" s="52">
        <f t="shared" si="199"/>
        <v>-45.467787556616194</v>
      </c>
      <c r="AG587" s="52">
        <f t="shared" si="200"/>
        <v>-19.784187036265461</v>
      </c>
      <c r="AH587" s="52">
        <f t="shared" si="201"/>
        <v>-8.9143604140563539</v>
      </c>
      <c r="AI587" s="52">
        <f t="shared" si="202"/>
        <v>-2.5502443009783433</v>
      </c>
      <c r="AJ587" s="52">
        <f t="shared" si="203"/>
        <v>-25.386379525705042</v>
      </c>
      <c r="AK587" s="52">
        <f t="shared" si="204"/>
        <v>-13.534919994743715</v>
      </c>
      <c r="AM587" s="52">
        <f t="shared" si="205"/>
        <v>102025.1367632247</v>
      </c>
      <c r="AN587" s="57">
        <f t="shared" si="206"/>
        <v>138910.18977903322</v>
      </c>
      <c r="AO587" s="57">
        <f t="shared" si="207"/>
        <v>134349.6159233303</v>
      </c>
    </row>
    <row r="588" spans="12:41" x14ac:dyDescent="0.25">
      <c r="L588" s="6">
        <v>585</v>
      </c>
      <c r="M588" s="52">
        <f t="shared" si="193"/>
        <v>16464.466094067266</v>
      </c>
      <c r="N588" s="52">
        <f t="shared" si="194"/>
        <v>3964.4660940672607</v>
      </c>
      <c r="P588" s="6">
        <v>585</v>
      </c>
      <c r="Q588" s="52">
        <f t="shared" si="208"/>
        <v>-22474.873734152916</v>
      </c>
      <c r="R588" s="52">
        <f t="shared" si="209"/>
        <v>7525.1262658470823</v>
      </c>
      <c r="T588" s="6">
        <v>585</v>
      </c>
      <c r="U588" s="52">
        <f t="shared" si="195"/>
        <v>-8535.5339059327362</v>
      </c>
      <c r="V588" s="52">
        <f t="shared" si="196"/>
        <v>-18535.533905932738</v>
      </c>
      <c r="X588" s="6">
        <v>584</v>
      </c>
      <c r="Y588" s="55">
        <v>292</v>
      </c>
      <c r="Z588" s="52">
        <f t="shared" si="210"/>
        <v>112557.80715696326</v>
      </c>
      <c r="AA588" s="52">
        <f t="shared" si="211"/>
        <v>48431.781943823044</v>
      </c>
      <c r="AB588" s="52">
        <f t="shared" si="212"/>
        <v>-2009.266527616684</v>
      </c>
      <c r="AC588" s="52">
        <f t="shared" si="213"/>
        <v>440.49435203794258</v>
      </c>
      <c r="AD588" s="52">
        <f t="shared" si="197"/>
        <v>-80.706261737403551</v>
      </c>
      <c r="AE588" s="52">
        <f t="shared" si="198"/>
        <v>-36.809850512045259</v>
      </c>
      <c r="AF588" s="52">
        <f t="shared" si="199"/>
        <v>-46.07679908974589</v>
      </c>
      <c r="AG588" s="52">
        <f t="shared" si="200"/>
        <v>-20.376514428571745</v>
      </c>
      <c r="AH588" s="52">
        <f t="shared" si="201"/>
        <v>-9.0205028432432641</v>
      </c>
      <c r="AI588" s="52">
        <f t="shared" si="202"/>
        <v>-2.6152665446906509</v>
      </c>
      <c r="AJ588" s="52">
        <f t="shared" si="203"/>
        <v>-25.6089598044144</v>
      </c>
      <c r="AK588" s="52">
        <f t="shared" si="204"/>
        <v>-13.818069538782858</v>
      </c>
      <c r="AM588" s="52">
        <f t="shared" si="205"/>
        <v>101204.53763938787</v>
      </c>
      <c r="AN588" s="57">
        <f t="shared" si="206"/>
        <v>138016.57183700887</v>
      </c>
      <c r="AO588" s="57">
        <f t="shared" si="207"/>
        <v>133579.29848641399</v>
      </c>
    </row>
    <row r="589" spans="12:41" x14ac:dyDescent="0.25">
      <c r="L589" s="6">
        <v>586</v>
      </c>
      <c r="M589" s="52">
        <f t="shared" si="193"/>
        <v>16526.708147705012</v>
      </c>
      <c r="N589" s="52">
        <f t="shared" si="194"/>
        <v>3903.3009983067464</v>
      </c>
      <c r="P589" s="6">
        <v>586</v>
      </c>
      <c r="Q589" s="52">
        <f t="shared" si="208"/>
        <v>-22431.304296606493</v>
      </c>
      <c r="R589" s="52">
        <f t="shared" si="209"/>
        <v>7482.3106988147229</v>
      </c>
      <c r="T589" s="6">
        <v>586</v>
      </c>
      <c r="U589" s="52">
        <f t="shared" si="195"/>
        <v>-8473.2918522949876</v>
      </c>
      <c r="V589" s="52">
        <f t="shared" si="196"/>
        <v>-18596.699001693254</v>
      </c>
      <c r="X589" s="6">
        <v>585</v>
      </c>
      <c r="Y589" s="55">
        <v>292.5</v>
      </c>
      <c r="Z589" s="52">
        <f t="shared" si="210"/>
        <v>111543.08561043775</v>
      </c>
      <c r="AA589" s="52">
        <f t="shared" si="211"/>
        <v>48647.427888528007</v>
      </c>
      <c r="AB589" s="52">
        <f t="shared" si="212"/>
        <v>-2049.6196584853856</v>
      </c>
      <c r="AC589" s="52">
        <f t="shared" si="213"/>
        <v>422.08942678191994</v>
      </c>
      <c r="AD589" s="52">
        <f t="shared" si="197"/>
        <v>-81.684337890436183</v>
      </c>
      <c r="AE589" s="52">
        <f t="shared" si="198"/>
        <v>-37.791704927100412</v>
      </c>
      <c r="AF589" s="52">
        <f t="shared" si="199"/>
        <v>-46.712677772859983</v>
      </c>
      <c r="AG589" s="52">
        <f t="shared" si="200"/>
        <v>-20.996741887403047</v>
      </c>
      <c r="AH589" s="52">
        <f t="shared" si="201"/>
        <v>-9.1311363934033078</v>
      </c>
      <c r="AI589" s="52">
        <f t="shared" si="202"/>
        <v>-2.6827326853914579</v>
      </c>
      <c r="AJ589" s="52">
        <f t="shared" si="203"/>
        <v>-25.840523724172893</v>
      </c>
      <c r="AK589" s="52">
        <f t="shared" si="204"/>
        <v>-14.112230354305908</v>
      </c>
      <c r="AM589" s="52">
        <f t="shared" si="205"/>
        <v>100365.56852288311</v>
      </c>
      <c r="AN589" s="57">
        <f t="shared" si="206"/>
        <v>137102.90680475713</v>
      </c>
      <c r="AO589" s="57">
        <f t="shared" si="207"/>
        <v>132790.38323774503</v>
      </c>
    </row>
    <row r="590" spans="12:41" x14ac:dyDescent="0.25">
      <c r="L590" s="6">
        <v>587</v>
      </c>
      <c r="M590" s="52">
        <f t="shared" si="193"/>
        <v>16590.008199687509</v>
      </c>
      <c r="N590" s="52">
        <f t="shared" si="194"/>
        <v>3843.2314919041473</v>
      </c>
      <c r="P590" s="6">
        <v>587</v>
      </c>
      <c r="Q590" s="52">
        <f t="shared" si="208"/>
        <v>-22386.994260218744</v>
      </c>
      <c r="R590" s="52">
        <f t="shared" si="209"/>
        <v>7440.2620443329033</v>
      </c>
      <c r="T590" s="6">
        <v>587</v>
      </c>
      <c r="U590" s="52">
        <f t="shared" si="195"/>
        <v>-8409.9918003124913</v>
      </c>
      <c r="V590" s="52">
        <f t="shared" si="196"/>
        <v>-18656.768508095854</v>
      </c>
      <c r="X590" s="6">
        <v>586</v>
      </c>
      <c r="Y590" s="55">
        <v>293</v>
      </c>
      <c r="Z590" s="52">
        <f t="shared" si="210"/>
        <v>110508.06523895875</v>
      </c>
      <c r="AA590" s="52">
        <f t="shared" si="211"/>
        <v>48853.748638803081</v>
      </c>
      <c r="AB590" s="52">
        <f t="shared" si="212"/>
        <v>-2090.4618274306035</v>
      </c>
      <c r="AC590" s="52">
        <f t="shared" si="213"/>
        <v>403.19357431836971</v>
      </c>
      <c r="AD590" s="52">
        <f t="shared" si="197"/>
        <v>-82.704751131136248</v>
      </c>
      <c r="AE590" s="52">
        <f t="shared" si="198"/>
        <v>-38.817597412109684</v>
      </c>
      <c r="AF590" s="52">
        <f t="shared" si="199"/>
        <v>-47.376818481843493</v>
      </c>
      <c r="AG590" s="52">
        <f t="shared" si="200"/>
        <v>-21.646789572085829</v>
      </c>
      <c r="AH590" s="52">
        <f t="shared" si="201"/>
        <v>-9.2464932729226952</v>
      </c>
      <c r="AI590" s="52">
        <f t="shared" si="202"/>
        <v>-2.7527871534890922</v>
      </c>
      <c r="AJ590" s="52">
        <f t="shared" si="203"/>
        <v>-26.081439376370053</v>
      </c>
      <c r="AK590" s="52">
        <f t="shared" si="204"/>
        <v>-14.418020686534764</v>
      </c>
      <c r="AM590" s="52">
        <f t="shared" si="205"/>
        <v>99508.001687205644</v>
      </c>
      <c r="AN590" s="57">
        <f t="shared" si="206"/>
        <v>136168.89834210897</v>
      </c>
      <c r="AO590" s="57">
        <f t="shared" si="207"/>
        <v>131982.62897243333</v>
      </c>
    </row>
    <row r="591" spans="12:41" x14ac:dyDescent="0.25">
      <c r="L591" s="6">
        <v>588</v>
      </c>
      <c r="M591" s="52">
        <f t="shared" si="193"/>
        <v>16654.346968205711</v>
      </c>
      <c r="N591" s="52">
        <f t="shared" si="194"/>
        <v>3784.275872613026</v>
      </c>
      <c r="P591" s="6">
        <v>588</v>
      </c>
      <c r="Q591" s="52">
        <f t="shared" si="208"/>
        <v>-22341.957122256001</v>
      </c>
      <c r="R591" s="52">
        <f t="shared" si="209"/>
        <v>7398.9931108291185</v>
      </c>
      <c r="T591" s="6">
        <v>588</v>
      </c>
      <c r="U591" s="52">
        <f t="shared" si="195"/>
        <v>-8345.6530317942888</v>
      </c>
      <c r="V591" s="52">
        <f t="shared" si="196"/>
        <v>-18715.724127386973</v>
      </c>
      <c r="X591" s="6">
        <v>587</v>
      </c>
      <c r="Y591" s="55">
        <v>293.5</v>
      </c>
      <c r="Z591" s="52">
        <f t="shared" si="210"/>
        <v>109452.49623135205</v>
      </c>
      <c r="AA591" s="52">
        <f t="shared" si="211"/>
        <v>49050.493226285755</v>
      </c>
      <c r="AB591" s="52">
        <f t="shared" si="212"/>
        <v>-2131.8142029961718</v>
      </c>
      <c r="AC591" s="52">
        <f t="shared" si="213"/>
        <v>383.78477561231489</v>
      </c>
      <c r="AD591" s="52">
        <f t="shared" si="197"/>
        <v>-83.769638567574333</v>
      </c>
      <c r="AE591" s="52">
        <f t="shared" si="198"/>
        <v>-39.890434565429615</v>
      </c>
      <c r="AF591" s="52">
        <f t="shared" si="199"/>
        <v>-48.070717093688003</v>
      </c>
      <c r="AG591" s="52">
        <f t="shared" si="200"/>
        <v>-22.328745302067162</v>
      </c>
      <c r="AH591" s="52">
        <f t="shared" si="201"/>
        <v>-9.3668230251090456</v>
      </c>
      <c r="AI591" s="52">
        <f t="shared" si="202"/>
        <v>-2.8255852126646772</v>
      </c>
      <c r="AJ591" s="52">
        <f t="shared" si="203"/>
        <v>-26.332098448777288</v>
      </c>
      <c r="AK591" s="52">
        <f t="shared" si="204"/>
        <v>-14.736104050697778</v>
      </c>
      <c r="AM591" s="52">
        <f t="shared" si="205"/>
        <v>98631.600257562852</v>
      </c>
      <c r="AN591" s="57">
        <f t="shared" si="206"/>
        <v>135214.23668291888</v>
      </c>
      <c r="AO591" s="57">
        <f t="shared" si="207"/>
        <v>131155.78361672859</v>
      </c>
    </row>
    <row r="592" spans="12:41" x14ac:dyDescent="0.25">
      <c r="L592" s="6">
        <v>589</v>
      </c>
      <c r="M592" s="52">
        <f t="shared" si="193"/>
        <v>16719.704855047461</v>
      </c>
      <c r="N592" s="52">
        <f t="shared" si="194"/>
        <v>3726.4520988861409</v>
      </c>
      <c r="P592" s="6">
        <v>589</v>
      </c>
      <c r="Q592" s="52">
        <f t="shared" si="208"/>
        <v>-22296.206601466776</v>
      </c>
      <c r="R592" s="52">
        <f t="shared" si="209"/>
        <v>7358.5164692202989</v>
      </c>
      <c r="T592" s="6">
        <v>589</v>
      </c>
      <c r="U592" s="52">
        <f t="shared" si="195"/>
        <v>-8280.2951449525372</v>
      </c>
      <c r="V592" s="52">
        <f t="shared" si="196"/>
        <v>-18773.54790111386</v>
      </c>
      <c r="X592" s="6">
        <v>588</v>
      </c>
      <c r="Y592" s="55">
        <v>294</v>
      </c>
      <c r="Z592" s="52">
        <f t="shared" si="210"/>
        <v>108376.11792503302</v>
      </c>
      <c r="AA592" s="52">
        <f t="shared" si="211"/>
        <v>49237.39930977123</v>
      </c>
      <c r="AB592" s="52">
        <f t="shared" si="212"/>
        <v>-2173.6990222799591</v>
      </c>
      <c r="AC592" s="52">
        <f t="shared" si="213"/>
        <v>363.8395583296001</v>
      </c>
      <c r="AD592" s="52">
        <f t="shared" si="197"/>
        <v>-84.881291315456266</v>
      </c>
      <c r="AE592" s="52">
        <f t="shared" si="198"/>
        <v>-41.013370022208143</v>
      </c>
      <c r="AF592" s="52">
        <f t="shared" si="199"/>
        <v>-48.795979165886116</v>
      </c>
      <c r="AG592" s="52">
        <f t="shared" si="200"/>
        <v>-23.044882655803818</v>
      </c>
      <c r="AH592" s="52">
        <f t="shared" si="201"/>
        <v>-9.4923941347811738</v>
      </c>
      <c r="AI592" s="52">
        <f t="shared" si="202"/>
        <v>-2.9012939874816945</v>
      </c>
      <c r="AJ592" s="52">
        <f t="shared" si="203"/>
        <v>-26.592918014788982</v>
      </c>
      <c r="AK592" s="52">
        <f t="shared" si="204"/>
        <v>-15.06719337892263</v>
      </c>
      <c r="AM592" s="52">
        <f t="shared" si="205"/>
        <v>97736.117789907294</v>
      </c>
      <c r="AN592" s="57">
        <f t="shared" si="206"/>
        <v>134238.59786997337</v>
      </c>
      <c r="AO592" s="57">
        <f t="shared" si="207"/>
        <v>130309.58363003848</v>
      </c>
    </row>
    <row r="593" spans="12:41" x14ac:dyDescent="0.25">
      <c r="L593" s="6">
        <v>590</v>
      </c>
      <c r="M593" s="52">
        <f t="shared" si="193"/>
        <v>16786.061951567306</v>
      </c>
      <c r="N593" s="52">
        <f t="shared" si="194"/>
        <v>3669.7777844051088</v>
      </c>
      <c r="P593" s="6">
        <v>590</v>
      </c>
      <c r="Q593" s="52">
        <f t="shared" si="208"/>
        <v>-22249.756633902885</v>
      </c>
      <c r="R593" s="52">
        <f t="shared" si="209"/>
        <v>7318.8444490835764</v>
      </c>
      <c r="T593" s="6">
        <v>590</v>
      </c>
      <c r="U593" s="52">
        <f t="shared" si="195"/>
        <v>-8213.9380484326957</v>
      </c>
      <c r="V593" s="52">
        <f t="shared" si="196"/>
        <v>-18830.222215594891</v>
      </c>
      <c r="X593" s="6">
        <v>589</v>
      </c>
      <c r="Y593" s="55">
        <v>294.5</v>
      </c>
      <c r="Z593" s="52">
        <f t="shared" si="210"/>
        <v>107278.65825247861</v>
      </c>
      <c r="AA593" s="52">
        <f t="shared" si="211"/>
        <v>49414.192417683247</v>
      </c>
      <c r="AB593" s="52">
        <f t="shared" si="212"/>
        <v>-2216.1396679376871</v>
      </c>
      <c r="AC593" s="52">
        <f t="shared" si="213"/>
        <v>343.33287331849601</v>
      </c>
      <c r="AD593" s="52">
        <f t="shared" si="197"/>
        <v>-86.042167796265801</v>
      </c>
      <c r="AE593" s="52">
        <f t="shared" si="198"/>
        <v>-42.189830622504289</v>
      </c>
      <c r="AF593" s="52">
        <f t="shared" si="199"/>
        <v>-49.554329487240643</v>
      </c>
      <c r="AG593" s="52">
        <f t="shared" si="200"/>
        <v>-23.797681390209664</v>
      </c>
      <c r="AH593" s="52">
        <f t="shared" si="201"/>
        <v>-9.6234958176787533</v>
      </c>
      <c r="AI593" s="52">
        <f t="shared" si="202"/>
        <v>-2.9800936079664706</v>
      </c>
      <c r="AJ593" s="52">
        <f t="shared" si="203"/>
        <v>-26.864342491346402</v>
      </c>
      <c r="AK593" s="52">
        <f t="shared" si="204"/>
        <v>-15.412055624328152</v>
      </c>
      <c r="AM593" s="52">
        <f t="shared" si="205"/>
        <v>96821.297824288267</v>
      </c>
      <c r="AN593" s="57">
        <f t="shared" si="206"/>
        <v>133241.64292926367</v>
      </c>
      <c r="AO593" s="57">
        <f t="shared" si="207"/>
        <v>129443.75335951599</v>
      </c>
    </row>
    <row r="594" spans="12:41" x14ac:dyDescent="0.25">
      <c r="L594" s="6">
        <v>591</v>
      </c>
      <c r="M594" s="52">
        <f t="shared" si="193"/>
        <v>16853.398044750811</v>
      </c>
      <c r="N594" s="52">
        <f t="shared" si="194"/>
        <v>3614.2701927151479</v>
      </c>
      <c r="P594" s="6">
        <v>591</v>
      </c>
      <c r="Q594" s="52">
        <f t="shared" si="208"/>
        <v>-22202.621368674434</v>
      </c>
      <c r="R594" s="52">
        <f t="shared" si="209"/>
        <v>7279.9891349006029</v>
      </c>
      <c r="T594" s="6">
        <v>591</v>
      </c>
      <c r="U594" s="52">
        <f t="shared" si="195"/>
        <v>-8146.6019552491898</v>
      </c>
      <c r="V594" s="52">
        <f t="shared" si="196"/>
        <v>-18885.729807284853</v>
      </c>
      <c r="X594" s="6">
        <v>590</v>
      </c>
      <c r="Y594" s="55">
        <v>295</v>
      </c>
      <c r="Z594" s="52">
        <f t="shared" si="210"/>
        <v>106159.83314753523</v>
      </c>
      <c r="AA594" s="52">
        <f t="shared" si="211"/>
        <v>49580.585125514677</v>
      </c>
      <c r="AB594" s="52">
        <f t="shared" si="212"/>
        <v>-2259.1607518358201</v>
      </c>
      <c r="AC594" s="52">
        <f t="shared" si="213"/>
        <v>322.23795800724389</v>
      </c>
      <c r="AD594" s="52">
        <f t="shared" si="197"/>
        <v>-87.254908397668061</v>
      </c>
      <c r="AE594" s="52">
        <f t="shared" si="198"/>
        <v>-43.423545895502627</v>
      </c>
      <c r="AF594" s="52">
        <f t="shared" si="199"/>
        <v>-50.347622596213448</v>
      </c>
      <c r="AG594" s="52">
        <f t="shared" si="200"/>
        <v>-24.589850526977891</v>
      </c>
      <c r="AH594" s="52">
        <f t="shared" si="201"/>
        <v>-9.7604400173262498</v>
      </c>
      <c r="AI594" s="52">
        <f t="shared" si="202"/>
        <v>-3.0621784868444011</v>
      </c>
      <c r="AJ594" s="52">
        <f t="shared" si="203"/>
        <v>-27.146845784128363</v>
      </c>
      <c r="AK594" s="52">
        <f t="shared" si="204"/>
        <v>-15.771516881680332</v>
      </c>
      <c r="AM594" s="52">
        <f t="shared" si="205"/>
        <v>95886.873410893939</v>
      </c>
      <c r="AN594" s="57">
        <f t="shared" si="206"/>
        <v>132223.0169777261</v>
      </c>
      <c r="AO594" s="57">
        <f t="shared" si="207"/>
        <v>128558.00434256018</v>
      </c>
    </row>
    <row r="595" spans="12:41" x14ac:dyDescent="0.25">
      <c r="L595" s="6">
        <v>592</v>
      </c>
      <c r="M595" s="52">
        <f t="shared" si="193"/>
        <v>16921.692623371709</v>
      </c>
      <c r="N595" s="52">
        <f t="shared" si="194"/>
        <v>3559.9462319663903</v>
      </c>
      <c r="P595" s="6">
        <v>592</v>
      </c>
      <c r="Q595" s="52">
        <f t="shared" si="208"/>
        <v>-22154.815163639803</v>
      </c>
      <c r="R595" s="52">
        <f t="shared" si="209"/>
        <v>7241.9623623764728</v>
      </c>
      <c r="T595" s="6">
        <v>592</v>
      </c>
      <c r="U595" s="52">
        <f t="shared" si="195"/>
        <v>-8078.3073766282914</v>
      </c>
      <c r="V595" s="52">
        <f t="shared" si="196"/>
        <v>-18940.053768033609</v>
      </c>
      <c r="X595" s="6">
        <v>591</v>
      </c>
      <c r="Y595" s="55">
        <v>295.5</v>
      </c>
      <c r="Z595" s="52">
        <f t="shared" si="210"/>
        <v>105019.34590806761</v>
      </c>
      <c r="AA595" s="52">
        <f t="shared" si="211"/>
        <v>49736.276161281363</v>
      </c>
      <c r="AB595" s="52">
        <f t="shared" si="212"/>
        <v>-2302.7882060346542</v>
      </c>
      <c r="AC595" s="52">
        <f t="shared" si="213"/>
        <v>300.5261850594926</v>
      </c>
      <c r="AD595" s="52">
        <f t="shared" si="197"/>
        <v>-88.522351652632494</v>
      </c>
      <c r="AE595" s="52">
        <f t="shared" si="198"/>
        <v>-44.718581351599482</v>
      </c>
      <c r="AF595" s="52">
        <f t="shared" si="199"/>
        <v>-51.177854373827316</v>
      </c>
      <c r="AG595" s="52">
        <f t="shared" si="200"/>
        <v>-25.424354511173647</v>
      </c>
      <c r="AH595" s="52">
        <f t="shared" si="201"/>
        <v>-9.9035636378499703</v>
      </c>
      <c r="AI595" s="52">
        <f t="shared" si="202"/>
        <v>-3.1477587475446538</v>
      </c>
      <c r="AJ595" s="52">
        <f t="shared" si="203"/>
        <v>-27.440933640955201</v>
      </c>
      <c r="AK595" s="52">
        <f t="shared" si="204"/>
        <v>-16.146468092881186</v>
      </c>
      <c r="AM595" s="52">
        <f t="shared" si="205"/>
        <v>94932.566607079978</v>
      </c>
      <c r="AN595" s="57">
        <f t="shared" si="206"/>
        <v>131182.34825786081</v>
      </c>
      <c r="AO595" s="57">
        <f t="shared" si="207"/>
        <v>127652.03455201456</v>
      </c>
    </row>
    <row r="596" spans="12:41" x14ac:dyDescent="0.25">
      <c r="L596" s="6">
        <v>593</v>
      </c>
      <c r="M596" s="52">
        <f t="shared" si="193"/>
        <v>16990.924884239754</v>
      </c>
      <c r="N596" s="52">
        <f t="shared" si="194"/>
        <v>3506.8224497635392</v>
      </c>
      <c r="P596" s="6">
        <v>593</v>
      </c>
      <c r="Q596" s="52">
        <f t="shared" si="208"/>
        <v>-22106.352581032173</v>
      </c>
      <c r="R596" s="52">
        <f t="shared" si="209"/>
        <v>7204.7757148344772</v>
      </c>
      <c r="T596" s="6">
        <v>593</v>
      </c>
      <c r="U596" s="52">
        <f t="shared" si="195"/>
        <v>-8009.0751157602463</v>
      </c>
      <c r="V596" s="52">
        <f t="shared" si="196"/>
        <v>-18993.177550236462</v>
      </c>
      <c r="X596" s="6">
        <v>592</v>
      </c>
      <c r="Y596" s="55">
        <v>296</v>
      </c>
      <c r="Z596" s="52">
        <f t="shared" si="210"/>
        <v>103856.8865110937</v>
      </c>
      <c r="AA596" s="52">
        <f t="shared" si="211"/>
        <v>49880.949431142159</v>
      </c>
      <c r="AB596" s="52">
        <f t="shared" si="212"/>
        <v>-2347.0493818609702</v>
      </c>
      <c r="AC596" s="52">
        <f t="shared" si="213"/>
        <v>278.16689438369286</v>
      </c>
      <c r="AD596" s="52">
        <f t="shared" si="197"/>
        <v>-89.847552112933556</v>
      </c>
      <c r="AE596" s="52">
        <f t="shared" si="198"/>
        <v>-46.0793761578676</v>
      </c>
      <c r="AF596" s="52">
        <f t="shared" si="199"/>
        <v>-52.047174830056385</v>
      </c>
      <c r="AG596" s="52">
        <f t="shared" si="200"/>
        <v>-26.304442917930427</v>
      </c>
      <c r="AH596" s="52">
        <f t="shared" si="201"/>
        <v>-10.05323104580178</v>
      </c>
      <c r="AI596" s="52">
        <f t="shared" si="202"/>
        <v>-3.237061823940635</v>
      </c>
      <c r="AJ596" s="52">
        <f t="shared" si="203"/>
        <v>-27.747146237075398</v>
      </c>
      <c r="AK596" s="52">
        <f t="shared" si="204"/>
        <v>-16.537871415996538</v>
      </c>
      <c r="AM596" s="52">
        <f t="shared" si="205"/>
        <v>93958.087943611739</v>
      </c>
      <c r="AN596" s="57">
        <f t="shared" si="206"/>
        <v>130119.24709185518</v>
      </c>
      <c r="AO596" s="57">
        <f t="shared" si="207"/>
        <v>126725.5275782096</v>
      </c>
    </row>
    <row r="597" spans="12:41" x14ac:dyDescent="0.25">
      <c r="L597" s="6">
        <v>594</v>
      </c>
      <c r="M597" s="52">
        <f t="shared" si="193"/>
        <v>17061.073738537634</v>
      </c>
      <c r="N597" s="52">
        <f t="shared" si="194"/>
        <v>3454.9150281252637</v>
      </c>
      <c r="P597" s="6">
        <v>594</v>
      </c>
      <c r="Q597" s="52">
        <f t="shared" si="208"/>
        <v>-22057.248383023656</v>
      </c>
      <c r="R597" s="52">
        <f t="shared" si="209"/>
        <v>7168.4405196876851</v>
      </c>
      <c r="T597" s="6">
        <v>594</v>
      </c>
      <c r="U597" s="52">
        <f t="shared" si="195"/>
        <v>-7938.9262614623676</v>
      </c>
      <c r="V597" s="52">
        <f t="shared" si="196"/>
        <v>-19045.084971874738</v>
      </c>
      <c r="X597" s="6">
        <v>593</v>
      </c>
      <c r="Y597" s="55">
        <v>296.5</v>
      </c>
      <c r="Z597" s="52">
        <f t="shared" si="210"/>
        <v>102672.13087614911</v>
      </c>
      <c r="AA597" s="52">
        <f t="shared" si="211"/>
        <v>50014.272956314278</v>
      </c>
      <c r="AB597" s="52">
        <f t="shared" si="212"/>
        <v>-2391.9731579174372</v>
      </c>
      <c r="AC597" s="52">
        <f t="shared" si="213"/>
        <v>255.12720630475906</v>
      </c>
      <c r="AD597" s="52">
        <f t="shared" si="197"/>
        <v>-91.23380011419043</v>
      </c>
      <c r="AE597" s="52">
        <f t="shared" si="198"/>
        <v>-47.510785872284025</v>
      </c>
      <c r="AF597" s="52">
        <f t="shared" si="199"/>
        <v>-52.957902215626532</v>
      </c>
      <c r="AG597" s="52">
        <f t="shared" si="200"/>
        <v>-27.233684267336269</v>
      </c>
      <c r="AH597" s="52">
        <f t="shared" si="201"/>
        <v>-10.209836879436512</v>
      </c>
      <c r="AI597" s="52">
        <f t="shared" si="202"/>
        <v>-3.3303342561619109</v>
      </c>
      <c r="AJ597" s="52">
        <f t="shared" si="203"/>
        <v>-28.066061019127389</v>
      </c>
      <c r="AK597" s="52">
        <f t="shared" si="204"/>
        <v>-16.946767348785844</v>
      </c>
      <c r="AM597" s="52">
        <f t="shared" si="205"/>
        <v>92963.13585829128</v>
      </c>
      <c r="AN597" s="57">
        <f t="shared" si="206"/>
        <v>129033.30474694306</v>
      </c>
      <c r="AO597" s="57">
        <f t="shared" si="207"/>
        <v>125778.15174126514</v>
      </c>
    </row>
    <row r="598" spans="12:41" x14ac:dyDescent="0.25">
      <c r="L598" s="6">
        <v>595</v>
      </c>
      <c r="M598" s="52">
        <f t="shared" si="193"/>
        <v>17132.117818244762</v>
      </c>
      <c r="N598" s="52">
        <f t="shared" si="194"/>
        <v>3404.2397785550456</v>
      </c>
      <c r="P598" s="6">
        <v>595</v>
      </c>
      <c r="Q598" s="52">
        <f t="shared" si="208"/>
        <v>-22007.517527228665</v>
      </c>
      <c r="R598" s="52">
        <f t="shared" si="209"/>
        <v>7132.9678449885323</v>
      </c>
      <c r="T598" s="6">
        <v>595</v>
      </c>
      <c r="U598" s="52">
        <f t="shared" si="195"/>
        <v>-7867.8821817552362</v>
      </c>
      <c r="V598" s="52">
        <f t="shared" si="196"/>
        <v>-19095.760221444954</v>
      </c>
      <c r="X598" s="6">
        <v>594</v>
      </c>
      <c r="Y598" s="55">
        <v>297</v>
      </c>
      <c r="Z598" s="52">
        <f t="shared" si="210"/>
        <v>101464.74007217612</v>
      </c>
      <c r="AA598" s="52">
        <f t="shared" si="211"/>
        <v>50135.897711232625</v>
      </c>
      <c r="AB598" s="52">
        <f t="shared" si="212"/>
        <v>-2437.5900579745326</v>
      </c>
      <c r="AC598" s="52">
        <f t="shared" si="213"/>
        <v>231.37181336861704</v>
      </c>
      <c r="AD598" s="52">
        <f t="shared" si="197"/>
        <v>-92.684643653535602</v>
      </c>
      <c r="AE598" s="52">
        <f t="shared" si="198"/>
        <v>-49.018131031583707</v>
      </c>
      <c r="AF598" s="52">
        <f t="shared" si="199"/>
        <v>-53.912538605100039</v>
      </c>
      <c r="AG598" s="52">
        <f t="shared" si="200"/>
        <v>-28.216004608661411</v>
      </c>
      <c r="AH598" s="52">
        <f t="shared" si="201"/>
        <v>-10.373809210286192</v>
      </c>
      <c r="AI598" s="52">
        <f t="shared" si="202"/>
        <v>-3.4278437107960795</v>
      </c>
      <c r="AJ598" s="52">
        <f t="shared" si="203"/>
        <v>-28.398295838149373</v>
      </c>
      <c r="AK598" s="52">
        <f t="shared" si="204"/>
        <v>-17.374282712126217</v>
      </c>
      <c r="AM598" s="52">
        <f t="shared" si="205"/>
        <v>91947.396095103803</v>
      </c>
      <c r="AN598" s="57">
        <f t="shared" si="206"/>
        <v>127924.09220271152</v>
      </c>
      <c r="AO598" s="57">
        <f t="shared" si="207"/>
        <v>124809.55912623112</v>
      </c>
    </row>
    <row r="599" spans="12:41" x14ac:dyDescent="0.25">
      <c r="L599" s="6">
        <v>596</v>
      </c>
      <c r="M599" s="52">
        <f t="shared" si="193"/>
        <v>17204.035482646264</v>
      </c>
      <c r="N599" s="52">
        <f t="shared" si="194"/>
        <v>3354.8121372247933</v>
      </c>
      <c r="P599" s="6">
        <v>596</v>
      </c>
      <c r="Q599" s="52">
        <f t="shared" si="208"/>
        <v>-21957.175162147618</v>
      </c>
      <c r="R599" s="52">
        <f t="shared" si="209"/>
        <v>7098.3684960573555</v>
      </c>
      <c r="T599" s="6">
        <v>596</v>
      </c>
      <c r="U599" s="52">
        <f t="shared" si="195"/>
        <v>-7795.9645173537374</v>
      </c>
      <c r="V599" s="52">
        <f t="shared" si="196"/>
        <v>-19145.187862775208</v>
      </c>
      <c r="X599" s="6">
        <v>595</v>
      </c>
      <c r="Y599" s="55">
        <v>297.5</v>
      </c>
      <c r="Z599" s="52">
        <f t="shared" si="210"/>
        <v>100234.35946273216</v>
      </c>
      <c r="AA599" s="52">
        <f t="shared" si="211"/>
        <v>50245.456351537985</v>
      </c>
      <c r="AB599" s="52">
        <f t="shared" si="212"/>
        <v>-2483.9323798013002</v>
      </c>
      <c r="AC599" s="52">
        <f t="shared" si="213"/>
        <v>206.86274785282518</v>
      </c>
      <c r="AD599" s="52">
        <f t="shared" si="197"/>
        <v>-94.203912627565344</v>
      </c>
      <c r="AE599" s="52">
        <f t="shared" si="198"/>
        <v>-50.607252531017338</v>
      </c>
      <c r="AF599" s="52">
        <f t="shared" si="199"/>
        <v>-54.913787111915752</v>
      </c>
      <c r="AG599" s="52">
        <f t="shared" si="200"/>
        <v>-29.25573165671425</v>
      </c>
      <c r="AH599" s="52">
        <f t="shared" si="201"/>
        <v>-10.545613109496927</v>
      </c>
      <c r="AI599" s="52">
        <f t="shared" si="202"/>
        <v>-3.5298812585267387</v>
      </c>
      <c r="AJ599" s="52">
        <f t="shared" si="203"/>
        <v>-28.744512406152666</v>
      </c>
      <c r="AK599" s="52">
        <f t="shared" si="204"/>
        <v>-17.821639615776348</v>
      </c>
      <c r="AM599" s="52">
        <f t="shared" si="205"/>
        <v>90910.541067008046</v>
      </c>
      <c r="AN599" s="57">
        <f t="shared" si="206"/>
        <v>126791.15880989905</v>
      </c>
      <c r="AO599" s="57">
        <f t="shared" si="207"/>
        <v>123819.3845326812</v>
      </c>
    </row>
    <row r="600" spans="12:41" x14ac:dyDescent="0.25">
      <c r="L600" s="6">
        <v>597</v>
      </c>
      <c r="M600" s="52">
        <f t="shared" si="193"/>
        <v>17276.804824924857</v>
      </c>
      <c r="N600" s="52">
        <f t="shared" si="194"/>
        <v>3306.6471602728843</v>
      </c>
      <c r="P600" s="6">
        <v>597</v>
      </c>
      <c r="Q600" s="52">
        <f t="shared" si="208"/>
        <v>-21906.236622552598</v>
      </c>
      <c r="R600" s="52">
        <f t="shared" si="209"/>
        <v>7064.6530121910191</v>
      </c>
      <c r="T600" s="6">
        <v>597</v>
      </c>
      <c r="U600" s="52">
        <f t="shared" si="195"/>
        <v>-7723.1951750751432</v>
      </c>
      <c r="V600" s="52">
        <f t="shared" si="196"/>
        <v>-19193.352839727115</v>
      </c>
      <c r="X600" s="6">
        <v>596</v>
      </c>
      <c r="Y600" s="55">
        <v>298</v>
      </c>
      <c r="Z600" s="52">
        <f t="shared" si="210"/>
        <v>98980.61778375307</v>
      </c>
      <c r="AA600" s="52">
        <f t="shared" si="211"/>
        <v>50342.561818898015</v>
      </c>
      <c r="AB600" s="52">
        <f t="shared" si="212"/>
        <v>-2531.0343361150826</v>
      </c>
      <c r="AC600" s="52">
        <f t="shared" si="213"/>
        <v>181.5591215873165</v>
      </c>
      <c r="AD600" s="52">
        <f t="shared" si="197"/>
        <v>-95.795745707471355</v>
      </c>
      <c r="AE600" s="52">
        <f t="shared" si="198"/>
        <v>-52.284574906990656</v>
      </c>
      <c r="AF600" s="52">
        <f t="shared" si="199"/>
        <v>-55.964570911434393</v>
      </c>
      <c r="AG600" s="52">
        <f t="shared" si="200"/>
        <v>-30.357645409991314</v>
      </c>
      <c r="AH600" s="52">
        <f t="shared" si="201"/>
        <v>-10.725754680496415</v>
      </c>
      <c r="AI600" s="52">
        <f t="shared" si="202"/>
        <v>-3.6367639478784723</v>
      </c>
      <c r="AJ600" s="52">
        <f t="shared" si="203"/>
        <v>-29.105420115540536</v>
      </c>
      <c r="AK600" s="52">
        <f t="shared" si="204"/>
        <v>-18.290165549120868</v>
      </c>
      <c r="AM600" s="52">
        <f t="shared" si="205"/>
        <v>89852.229180523893</v>
      </c>
      <c r="AN600" s="57">
        <f t="shared" si="206"/>
        <v>125634.03082889263</v>
      </c>
      <c r="AO600" s="57">
        <f t="shared" si="207"/>
        <v>122807.24432926363</v>
      </c>
    </row>
    <row r="601" spans="12:41" x14ac:dyDescent="0.25">
      <c r="L601" s="6">
        <v>598</v>
      </c>
      <c r="M601" s="52">
        <f t="shared" si="193"/>
        <v>17350.403678833969</v>
      </c>
      <c r="N601" s="52">
        <f t="shared" si="194"/>
        <v>3259.7595192178733</v>
      </c>
      <c r="P601" s="6">
        <v>598</v>
      </c>
      <c r="Q601" s="52">
        <f t="shared" si="208"/>
        <v>-21854.717424816219</v>
      </c>
      <c r="R601" s="52">
        <f t="shared" si="209"/>
        <v>7031.8316634525108</v>
      </c>
      <c r="T601" s="6">
        <v>598</v>
      </c>
      <c r="U601" s="52">
        <f t="shared" si="195"/>
        <v>-7649.5963211660301</v>
      </c>
      <c r="V601" s="52">
        <f t="shared" si="196"/>
        <v>-19240.240480782126</v>
      </c>
      <c r="X601" s="6">
        <v>597</v>
      </c>
      <c r="Y601" s="55">
        <v>298.5</v>
      </c>
      <c r="Z601" s="52">
        <f t="shared" si="210"/>
        <v>97703.126147482093</v>
      </c>
      <c r="AA601" s="52">
        <f t="shared" si="211"/>
        <v>50426.805807828299</v>
      </c>
      <c r="AB601" s="52">
        <f t="shared" si="212"/>
        <v>-2578.9322089688185</v>
      </c>
      <c r="AC601" s="52">
        <f t="shared" si="213"/>
        <v>155.41683413382117</v>
      </c>
      <c r="AD601" s="52">
        <f t="shared" si="197"/>
        <v>-97.464620160151767</v>
      </c>
      <c r="AE601" s="52">
        <f t="shared" si="198"/>
        <v>-54.057178842227884</v>
      </c>
      <c r="AF601" s="52">
        <f t="shared" si="199"/>
        <v>-57.06805426348518</v>
      </c>
      <c r="AG601" s="52">
        <f t="shared" si="200"/>
        <v>-31.527036358222741</v>
      </c>
      <c r="AH601" s="52">
        <f t="shared" si="201"/>
        <v>-10.914785630478349</v>
      </c>
      <c r="AI601" s="52">
        <f t="shared" si="202"/>
        <v>-3.7488377204572845</v>
      </c>
      <c r="AJ601" s="52">
        <f t="shared" si="203"/>
        <v>-29.481780266188238</v>
      </c>
      <c r="AK601" s="52">
        <f t="shared" si="204"/>
        <v>-18.781304763547862</v>
      </c>
      <c r="AM601" s="52">
        <f t="shared" si="205"/>
        <v>88772.104120351447</v>
      </c>
      <c r="AN601" s="57">
        <f t="shared" si="206"/>
        <v>124452.20983459451</v>
      </c>
      <c r="AO601" s="57">
        <f t="shared" si="207"/>
        <v>121772.73520242902</v>
      </c>
    </row>
    <row r="602" spans="12:41" x14ac:dyDescent="0.25">
      <c r="L602" s="6">
        <v>599</v>
      </c>
      <c r="M602" s="52">
        <f t="shared" si="193"/>
        <v>17424.809625449729</v>
      </c>
      <c r="N602" s="52">
        <f t="shared" si="194"/>
        <v>3214.1634964894401</v>
      </c>
      <c r="P602" s="6">
        <v>599</v>
      </c>
      <c r="Q602" s="52">
        <f t="shared" si="208"/>
        <v>-21802.633262185191</v>
      </c>
      <c r="R602" s="52">
        <f t="shared" si="209"/>
        <v>6999.9144475426074</v>
      </c>
      <c r="T602" s="6">
        <v>599</v>
      </c>
      <c r="U602" s="52">
        <f t="shared" si="195"/>
        <v>-7575.1903745502732</v>
      </c>
      <c r="V602" s="52">
        <f t="shared" si="196"/>
        <v>-19285.83650351056</v>
      </c>
      <c r="X602" s="6">
        <v>598</v>
      </c>
      <c r="Y602" s="55">
        <v>299</v>
      </c>
      <c r="Z602" s="52">
        <f t="shared" si="210"/>
        <v>96401.476965477661</v>
      </c>
      <c r="AA602" s="52">
        <f t="shared" si="211"/>
        <v>50497.757077539929</v>
      </c>
      <c r="AB602" s="52">
        <f t="shared" si="212"/>
        <v>-2627.6645190488944</v>
      </c>
      <c r="AC602" s="52">
        <f t="shared" si="213"/>
        <v>128.38824471270723</v>
      </c>
      <c r="AD602" s="52">
        <f t="shared" si="197"/>
        <v>-99.215384958456454</v>
      </c>
      <c r="AE602" s="52">
        <f t="shared" si="198"/>
        <v>-55.932884466117457</v>
      </c>
      <c r="AF602" s="52">
        <f t="shared" si="199"/>
        <v>-58.227665740726586</v>
      </c>
      <c r="AG602" s="52">
        <f t="shared" si="200"/>
        <v>-32.769772603260598</v>
      </c>
      <c r="AH602" s="52">
        <f t="shared" si="201"/>
        <v>-11.113308466327924</v>
      </c>
      <c r="AI602" s="52">
        <f t="shared" si="202"/>
        <v>-3.8664807211217438</v>
      </c>
      <c r="AJ602" s="52">
        <f t="shared" si="203"/>
        <v>-29.874410751401943</v>
      </c>
      <c r="AK602" s="52">
        <f t="shared" si="204"/>
        <v>-19.296631141735109</v>
      </c>
      <c r="AM602" s="52">
        <f t="shared" si="205"/>
        <v>87669.794092409895</v>
      </c>
      <c r="AN602" s="57">
        <f t="shared" si="206"/>
        <v>123245.17097256209</v>
      </c>
      <c r="AO602" s="57">
        <f t="shared" si="207"/>
        <v>120715.43278706633</v>
      </c>
    </row>
    <row r="603" spans="12:41" x14ac:dyDescent="0.25">
      <c r="L603" s="6">
        <v>600</v>
      </c>
      <c r="M603" s="52">
        <f t="shared" si="193"/>
        <v>17500</v>
      </c>
      <c r="N603" s="52">
        <f t="shared" si="194"/>
        <v>3169.8729810778068</v>
      </c>
      <c r="P603" s="6">
        <v>600</v>
      </c>
      <c r="Q603" s="52">
        <f t="shared" si="208"/>
        <v>-21750</v>
      </c>
      <c r="R603" s="52">
        <f t="shared" si="209"/>
        <v>6968.9110867544641</v>
      </c>
      <c r="T603" s="6">
        <v>600</v>
      </c>
      <c r="U603" s="52">
        <f t="shared" si="195"/>
        <v>-7499.9999999999991</v>
      </c>
      <c r="V603" s="52">
        <f t="shared" si="196"/>
        <v>-19330.127018922194</v>
      </c>
      <c r="X603" s="6">
        <v>599</v>
      </c>
      <c r="Y603" s="55">
        <v>299.5</v>
      </c>
      <c r="Z603" s="52">
        <f t="shared" si="210"/>
        <v>95075.242782833404</v>
      </c>
      <c r="AA603" s="52">
        <f t="shared" si="211"/>
        <v>50554.959589338017</v>
      </c>
      <c r="AB603" s="52">
        <f t="shared" si="212"/>
        <v>-2677.2722115281226</v>
      </c>
      <c r="AC603" s="52">
        <f t="shared" si="213"/>
        <v>100.42180247964851</v>
      </c>
      <c r="AD603" s="52">
        <f t="shared" si="197"/>
        <v>-101.05329756003552</v>
      </c>
      <c r="AE603" s="52">
        <f t="shared" si="198"/>
        <v>-57.920347330796375</v>
      </c>
      <c r="AF603" s="52">
        <f t="shared" si="199"/>
        <v>-59.44712388211169</v>
      </c>
      <c r="AG603" s="52">
        <f t="shared" si="200"/>
        <v>-34.092377481221277</v>
      </c>
      <c r="AH603" s="52">
        <f t="shared" si="201"/>
        <v>-11.321982416484438</v>
      </c>
      <c r="AI603" s="52">
        <f t="shared" si="202"/>
        <v>-3.9901070661935516</v>
      </c>
      <c r="AJ603" s="52">
        <f t="shared" si="203"/>
        <v>-30.284191261439393</v>
      </c>
      <c r="AK603" s="52">
        <f t="shared" si="204"/>
        <v>-19.837862783381542</v>
      </c>
      <c r="AM603" s="52">
        <f t="shared" si="205"/>
        <v>86544.911023935478</v>
      </c>
      <c r="AN603" s="57">
        <f t="shared" si="206"/>
        <v>122012.36104928423</v>
      </c>
      <c r="AO603" s="57">
        <f t="shared" si="207"/>
        <v>119634.8901650467</v>
      </c>
    </row>
    <row r="604" spans="12:41" x14ac:dyDescent="0.25">
      <c r="L604" s="6">
        <v>601</v>
      </c>
      <c r="M604" s="52">
        <f t="shared" si="193"/>
        <v>17575.951898768319</v>
      </c>
      <c r="N604" s="52">
        <f t="shared" si="194"/>
        <v>3126.9014643030187</v>
      </c>
      <c r="P604" s="6">
        <v>601</v>
      </c>
      <c r="Q604" s="52">
        <f t="shared" si="208"/>
        <v>-21696.833670862175</v>
      </c>
      <c r="R604" s="52">
        <f t="shared" si="209"/>
        <v>6938.831025012114</v>
      </c>
      <c r="T604" s="6">
        <v>601</v>
      </c>
      <c r="U604" s="52">
        <f t="shared" si="195"/>
        <v>-7424.0481012316814</v>
      </c>
      <c r="V604" s="52">
        <f t="shared" si="196"/>
        <v>-19373.098535696983</v>
      </c>
      <c r="X604" s="6">
        <v>600</v>
      </c>
      <c r="Y604" s="55">
        <v>300</v>
      </c>
      <c r="Z604" s="52">
        <f t="shared" si="210"/>
        <v>93723.975014874333</v>
      </c>
      <c r="AA604" s="52">
        <f t="shared" si="211"/>
        <v>50597.930447161489</v>
      </c>
      <c r="AB604" s="52">
        <f t="shared" si="212"/>
        <v>-2727.7988603081403</v>
      </c>
      <c r="AC604" s="52">
        <f t="shared" si="213"/>
        <v>71.461628814250318</v>
      </c>
      <c r="AD604" s="52">
        <f t="shared" si="197"/>
        <v>-102.9840647716135</v>
      </c>
      <c r="AE604" s="52">
        <f t="shared" si="198"/>
        <v>-60.029169319609757</v>
      </c>
      <c r="AF604" s="52">
        <f t="shared" si="199"/>
        <v>-60.730465500169736</v>
      </c>
      <c r="AG604" s="52">
        <f t="shared" si="200"/>
        <v>-35.502119597077957</v>
      </c>
      <c r="AH604" s="52">
        <f t="shared" si="201"/>
        <v>-11.541530199490975</v>
      </c>
      <c r="AI604" s="52">
        <f t="shared" si="202"/>
        <v>-4.1201711444879026</v>
      </c>
      <c r="AJ604" s="52">
        <f t="shared" si="203"/>
        <v>-30.712069071952804</v>
      </c>
      <c r="AK604" s="52">
        <f t="shared" si="204"/>
        <v>-20.406878578043894</v>
      </c>
      <c r="AM604" s="52">
        <f t="shared" si="205"/>
        <v>85397.049719660601</v>
      </c>
      <c r="AN604" s="57">
        <f t="shared" si="206"/>
        <v>120753.19643709778</v>
      </c>
      <c r="AO604" s="57">
        <f t="shared" si="207"/>
        <v>118530.63621565593</v>
      </c>
    </row>
    <row r="605" spans="12:41" x14ac:dyDescent="0.25">
      <c r="L605" s="6">
        <v>602</v>
      </c>
      <c r="M605" s="52">
        <f t="shared" si="193"/>
        <v>17652.642186070545</v>
      </c>
      <c r="N605" s="52">
        <f t="shared" si="194"/>
        <v>3085.2620357053656</v>
      </c>
      <c r="P605" s="6">
        <v>602</v>
      </c>
      <c r="Q605" s="52">
        <f t="shared" si="208"/>
        <v>-21643.150469750617</v>
      </c>
      <c r="R605" s="52">
        <f t="shared" si="209"/>
        <v>6909.6834249937565</v>
      </c>
      <c r="T605" s="6">
        <v>602</v>
      </c>
      <c r="U605" s="52">
        <f t="shared" si="195"/>
        <v>-7347.357813929455</v>
      </c>
      <c r="V605" s="52">
        <f t="shared" si="196"/>
        <v>-19414.737964294633</v>
      </c>
      <c r="X605" s="6">
        <v>601</v>
      </c>
      <c r="Y605" s="55">
        <v>300.5</v>
      </c>
      <c r="Z605" s="52">
        <f t="shared" si="210"/>
        <v>92347.202576623822</v>
      </c>
      <c r="AA605" s="52">
        <f t="shared" si="211"/>
        <v>50626.157615403667</v>
      </c>
      <c r="AB605" s="52">
        <f t="shared" si="212"/>
        <v>-2779.2908926939472</v>
      </c>
      <c r="AC605" s="52">
        <f t="shared" si="213"/>
        <v>41.447044154445436</v>
      </c>
      <c r="AD605" s="52">
        <f t="shared" si="197"/>
        <v>-105.01388815232798</v>
      </c>
      <c r="AE605" s="52">
        <f t="shared" si="198"/>
        <v>-62.270027205717284</v>
      </c>
      <c r="AF605" s="52">
        <f t="shared" si="199"/>
        <v>-62.082076874021411</v>
      </c>
      <c r="AG605" s="52">
        <f t="shared" si="200"/>
        <v>-37.007117580324234</v>
      </c>
      <c r="AH605" s="52">
        <f t="shared" si="201"/>
        <v>-11.772745783427508</v>
      </c>
      <c r="AI605" s="52">
        <f t="shared" si="202"/>
        <v>-4.2571725400764127</v>
      </c>
      <c r="AJ605" s="52">
        <f t="shared" si="203"/>
        <v>-31.159065494879059</v>
      </c>
      <c r="AK605" s="52">
        <f t="shared" si="204"/>
        <v>-21.005737085316643</v>
      </c>
      <c r="AM605" s="52">
        <f t="shared" si="205"/>
        <v>84225.786973656024</v>
      </c>
      <c r="AN605" s="57">
        <f t="shared" si="206"/>
        <v>119467.0607715138</v>
      </c>
      <c r="AO605" s="57">
        <f t="shared" si="207"/>
        <v>117402.17379953423</v>
      </c>
    </row>
    <row r="606" spans="12:41" x14ac:dyDescent="0.25">
      <c r="L606" s="6">
        <v>603</v>
      </c>
      <c r="M606" s="52">
        <f t="shared" si="193"/>
        <v>17730.04750130227</v>
      </c>
      <c r="N606" s="52">
        <f t="shared" si="194"/>
        <v>3044.9673790581592</v>
      </c>
      <c r="P606" s="6">
        <v>603</v>
      </c>
      <c r="Q606" s="52">
        <f t="shared" si="208"/>
        <v>-21588.966749088413</v>
      </c>
      <c r="R606" s="52">
        <f t="shared" si="209"/>
        <v>6881.4771653407115</v>
      </c>
      <c r="T606" s="6">
        <v>603</v>
      </c>
      <c r="U606" s="52">
        <f t="shared" si="195"/>
        <v>-7269.9524986977322</v>
      </c>
      <c r="V606" s="52">
        <f t="shared" si="196"/>
        <v>-19455.032620941842</v>
      </c>
      <c r="X606" s="6">
        <v>602</v>
      </c>
      <c r="Y606" s="55">
        <v>301</v>
      </c>
      <c r="Z606" s="52">
        <f t="shared" si="210"/>
        <v>90944.430394257812</v>
      </c>
      <c r="AA606" s="52">
        <f t="shared" si="211"/>
        <v>50639.097384080174</v>
      </c>
      <c r="AB606" s="52">
        <f t="shared" si="212"/>
        <v>-2831.7978367701112</v>
      </c>
      <c r="AC606" s="52">
        <f t="shared" si="213"/>
        <v>10.312030551586794</v>
      </c>
      <c r="AD606" s="52">
        <f t="shared" si="197"/>
        <v>-107.14951444348817</v>
      </c>
      <c r="AE606" s="52">
        <f t="shared" si="198"/>
        <v>-64.654822146274697</v>
      </c>
      <c r="AF606" s="52">
        <f t="shared" si="199"/>
        <v>-63.506728053186585</v>
      </c>
      <c r="AG606" s="52">
        <f t="shared" si="200"/>
        <v>-38.616462360834682</v>
      </c>
      <c r="AH606" s="52">
        <f t="shared" si="201"/>
        <v>-12.0165033091072</v>
      </c>
      <c r="AI606" s="52">
        <f t="shared" si="202"/>
        <v>-4.4016616828761901</v>
      </c>
      <c r="AJ606" s="52">
        <f t="shared" si="203"/>
        <v>-31.626283081194391</v>
      </c>
      <c r="AK606" s="52">
        <f t="shared" si="204"/>
        <v>-21.63669810256383</v>
      </c>
      <c r="AM606" s="52">
        <f t="shared" si="205"/>
        <v>83030.680637212921</v>
      </c>
      <c r="AN606" s="57">
        <f t="shared" si="206"/>
        <v>118153.30241554431</v>
      </c>
      <c r="AO606" s="57">
        <f t="shared" si="207"/>
        <v>116248.97775496928</v>
      </c>
    </row>
    <row r="607" spans="12:41" x14ac:dyDescent="0.25">
      <c r="L607" s="6">
        <v>604</v>
      </c>
      <c r="M607" s="52">
        <f t="shared" si="193"/>
        <v>17808.144266054609</v>
      </c>
      <c r="N607" s="52">
        <f t="shared" si="194"/>
        <v>3006.0297685041669</v>
      </c>
      <c r="P607" s="6">
        <v>604</v>
      </c>
      <c r="Q607" s="52">
        <f t="shared" si="208"/>
        <v>-21534.299013761774</v>
      </c>
      <c r="R607" s="52">
        <f t="shared" si="209"/>
        <v>6854.2208379529166</v>
      </c>
      <c r="T607" s="6">
        <v>604</v>
      </c>
      <c r="U607" s="52">
        <f t="shared" si="195"/>
        <v>-7191.8557339453891</v>
      </c>
      <c r="V607" s="52">
        <f t="shared" si="196"/>
        <v>-19493.970231495834</v>
      </c>
      <c r="X607" s="6">
        <v>603</v>
      </c>
      <c r="Y607" s="55">
        <v>301.5</v>
      </c>
      <c r="Z607" s="52">
        <f t="shared" si="210"/>
        <v>89515.137786567328</v>
      </c>
      <c r="AA607" s="52">
        <f t="shared" si="211"/>
        <v>50636.171546587684</v>
      </c>
      <c r="AB607" s="52">
        <f t="shared" si="212"/>
        <v>-2885.3725939918554</v>
      </c>
      <c r="AC607" s="52">
        <f t="shared" si="213"/>
        <v>-22.015380521550554</v>
      </c>
      <c r="AD607" s="52">
        <f t="shared" si="197"/>
        <v>-109.39829153870659</v>
      </c>
      <c r="AE607" s="52">
        <f t="shared" si="198"/>
        <v>-67.196854099254665</v>
      </c>
      <c r="AF607" s="52">
        <f t="shared" si="199"/>
        <v>-65.009610474624196</v>
      </c>
      <c r="AG607" s="52">
        <f t="shared" si="200"/>
        <v>-40.340360371868698</v>
      </c>
      <c r="AH607" s="52">
        <f t="shared" si="201"/>
        <v>-12.273767385159973</v>
      </c>
      <c r="AI607" s="52">
        <f t="shared" si="202"/>
        <v>-4.55424635412776</v>
      </c>
      <c r="AJ607" s="52">
        <f t="shared" si="203"/>
        <v>-32.114913678922427</v>
      </c>
      <c r="AK607" s="52">
        <f t="shared" si="204"/>
        <v>-22.302247373258204</v>
      </c>
      <c r="AM607" s="52">
        <f t="shared" si="205"/>
        <v>81811.268644252676</v>
      </c>
      <c r="AN607" s="57">
        <f t="shared" si="206"/>
        <v>116811.2316619191</v>
      </c>
      <c r="AO607" s="57">
        <f t="shared" si="207"/>
        <v>115070.49268212462</v>
      </c>
    </row>
    <row r="608" spans="12:41" x14ac:dyDescent="0.25">
      <c r="L608" s="6">
        <v>605</v>
      </c>
      <c r="M608" s="52">
        <f t="shared" si="193"/>
        <v>17886.908691296503</v>
      </c>
      <c r="N608" s="52">
        <f t="shared" si="194"/>
        <v>2968.46106481675</v>
      </c>
      <c r="P608" s="6">
        <v>605</v>
      </c>
      <c r="Q608" s="52">
        <f t="shared" si="208"/>
        <v>-21479.163916092446</v>
      </c>
      <c r="R608" s="52">
        <f t="shared" si="209"/>
        <v>6827.9227453717249</v>
      </c>
      <c r="T608" s="6">
        <v>605</v>
      </c>
      <c r="U608" s="52">
        <f t="shared" si="195"/>
        <v>-7113.0913087034969</v>
      </c>
      <c r="V608" s="52">
        <f t="shared" si="196"/>
        <v>-19531.538935183249</v>
      </c>
      <c r="X608" s="6">
        <v>604</v>
      </c>
      <c r="Y608" s="55">
        <v>302</v>
      </c>
      <c r="Z608" s="52">
        <f t="shared" si="210"/>
        <v>88058.776703129057</v>
      </c>
      <c r="AA608" s="52">
        <f t="shared" si="211"/>
        <v>50616.764249564498</v>
      </c>
      <c r="AB608" s="52">
        <f t="shared" si="212"/>
        <v>-2940.0717397612088</v>
      </c>
      <c r="AC608" s="52">
        <f t="shared" si="213"/>
        <v>-55.613807571177887</v>
      </c>
      <c r="AD608" s="52">
        <f t="shared" si="197"/>
        <v>-111.76823052171218</v>
      </c>
      <c r="AE608" s="52">
        <f t="shared" si="198"/>
        <v>-69.911026020893289</v>
      </c>
      <c r="AF608" s="52">
        <f t="shared" si="199"/>
        <v>-66.596378048818295</v>
      </c>
      <c r="AG608" s="52">
        <f t="shared" si="200"/>
        <v>-42.190301843520423</v>
      </c>
      <c r="AH608" s="52">
        <f t="shared" si="201"/>
        <v>-12.54560500663829</v>
      </c>
      <c r="AI608" s="52">
        <f t="shared" si="202"/>
        <v>-4.7155991995236795</v>
      </c>
      <c r="AJ608" s="52">
        <f t="shared" si="203"/>
        <v>-32.626247466255599</v>
      </c>
      <c r="AK608" s="52">
        <f t="shared" si="204"/>
        <v>-23.005124977849189</v>
      </c>
      <c r="AM608" s="52">
        <f t="shared" si="205"/>
        <v>80567.067997283521</v>
      </c>
      <c r="AN608" s="57">
        <f t="shared" si="206"/>
        <v>115440.11763975905</v>
      </c>
      <c r="AO608" s="57">
        <f t="shared" si="207"/>
        <v>113866.13048692646</v>
      </c>
    </row>
    <row r="609" spans="12:41" x14ac:dyDescent="0.25">
      <c r="L609" s="6">
        <v>606</v>
      </c>
      <c r="M609" s="52">
        <f t="shared" si="193"/>
        <v>17966.316784620994</v>
      </c>
      <c r="N609" s="52">
        <f t="shared" si="194"/>
        <v>2932.2727117869972</v>
      </c>
      <c r="P609" s="6">
        <v>606</v>
      </c>
      <c r="Q609" s="52">
        <f t="shared" si="208"/>
        <v>-21423.578250765306</v>
      </c>
      <c r="R609" s="52">
        <f t="shared" si="209"/>
        <v>6802.5908982508981</v>
      </c>
      <c r="T609" s="6">
        <v>606</v>
      </c>
      <c r="U609" s="52">
        <f t="shared" si="195"/>
        <v>-7033.6832153790056</v>
      </c>
      <c r="V609" s="52">
        <f t="shared" si="196"/>
        <v>-19567.727288213002</v>
      </c>
      <c r="X609" s="6">
        <v>605</v>
      </c>
      <c r="Y609" s="55">
        <v>302.5</v>
      </c>
      <c r="Z609" s="52">
        <f t="shared" si="210"/>
        <v>86574.769804433236</v>
      </c>
      <c r="AA609" s="52">
        <f t="shared" si="211"/>
        <v>50580.218467526298</v>
      </c>
      <c r="AB609" s="52">
        <f t="shared" si="212"/>
        <v>-2995.955855022065</v>
      </c>
      <c r="AC609" s="52">
        <f t="shared" si="213"/>
        <v>-90.569320581624538</v>
      </c>
      <c r="AD609" s="52">
        <f t="shared" si="197"/>
        <v>-114.26807428975843</v>
      </c>
      <c r="AE609" s="52">
        <f t="shared" si="198"/>
        <v>-72.814083787372212</v>
      </c>
      <c r="AF609" s="52">
        <f t="shared" si="199"/>
        <v>-68.273191787909525</v>
      </c>
      <c r="AG609" s="52">
        <f t="shared" si="200"/>
        <v>-44.179259295052162</v>
      </c>
      <c r="AH609" s="52">
        <f t="shared" si="201"/>
        <v>-12.833199402765569</v>
      </c>
      <c r="AI609" s="52">
        <f t="shared" si="202"/>
        <v>-4.8864664343839097</v>
      </c>
      <c r="AJ609" s="52">
        <f t="shared" si="203"/>
        <v>-33.161683099083326</v>
      </c>
      <c r="AK609" s="52">
        <f t="shared" si="204"/>
        <v>-23.748358057936134</v>
      </c>
      <c r="AM609" s="52">
        <f t="shared" si="205"/>
        <v>79297.573719017848</v>
      </c>
      <c r="AN609" s="57">
        <f t="shared" si="206"/>
        <v>114039.18488721363</v>
      </c>
      <c r="AO609" s="57">
        <f t="shared" si="207"/>
        <v>112635.26765175912</v>
      </c>
    </row>
    <row r="610" spans="12:41" x14ac:dyDescent="0.25">
      <c r="L610" s="6">
        <v>607</v>
      </c>
      <c r="M610" s="52">
        <f t="shared" si="193"/>
        <v>18046.344357553629</v>
      </c>
      <c r="N610" s="52">
        <f t="shared" si="194"/>
        <v>2897.4757327377993</v>
      </c>
      <c r="P610" s="6">
        <v>607</v>
      </c>
      <c r="Q610" s="52">
        <f t="shared" si="208"/>
        <v>-21367.55894971246</v>
      </c>
      <c r="R610" s="52">
        <f t="shared" si="209"/>
        <v>6778.2330129164593</v>
      </c>
      <c r="T610" s="6">
        <v>607</v>
      </c>
      <c r="U610" s="52">
        <f t="shared" si="195"/>
        <v>-6953.6556424463706</v>
      </c>
      <c r="V610" s="52">
        <f t="shared" si="196"/>
        <v>-19602.524267262201</v>
      </c>
      <c r="X610" s="6">
        <v>606</v>
      </c>
      <c r="Y610" s="55">
        <v>303</v>
      </c>
      <c r="Z610" s="52">
        <f t="shared" si="210"/>
        <v>85062.508367635979</v>
      </c>
      <c r="AA610" s="52">
        <f t="shared" si="211"/>
        <v>50525.832046762065</v>
      </c>
      <c r="AB610" s="52">
        <f t="shared" si="212"/>
        <v>-3053.0898921669441</v>
      </c>
      <c r="AC610" s="52">
        <f t="shared" si="213"/>
        <v>-126.97636247531065</v>
      </c>
      <c r="AD610" s="52">
        <f t="shared" si="197"/>
        <v>-116.90737323442571</v>
      </c>
      <c r="AE610" s="52">
        <f t="shared" si="198"/>
        <v>-75.92489914373229</v>
      </c>
      <c r="AF610" s="52">
        <f t="shared" si="199"/>
        <v>-70.046767912395467</v>
      </c>
      <c r="AG610" s="52">
        <f t="shared" si="200"/>
        <v>-46.321922520841717</v>
      </c>
      <c r="AH610" s="52">
        <f t="shared" si="201"/>
        <v>-13.137866186766461</v>
      </c>
      <c r="AI610" s="52">
        <f t="shared" si="202"/>
        <v>-5.067677964385461</v>
      </c>
      <c r="AJ610" s="52">
        <f t="shared" si="203"/>
        <v>-33.722739135263772</v>
      </c>
      <c r="AK610" s="52">
        <f t="shared" si="204"/>
        <v>-24.535298658505109</v>
      </c>
      <c r="AM610" s="52">
        <f t="shared" si="205"/>
        <v>78002.257777611027</v>
      </c>
      <c r="AN610" s="57">
        <f t="shared" si="206"/>
        <v>112607.60954563394</v>
      </c>
      <c r="AO610" s="57">
        <f t="shared" si="207"/>
        <v>111377.24219467356</v>
      </c>
    </row>
    <row r="611" spans="12:41" x14ac:dyDescent="0.25">
      <c r="L611" s="6">
        <v>608</v>
      </c>
      <c r="M611" s="52">
        <f t="shared" si="193"/>
        <v>18126.967032920435</v>
      </c>
      <c r="N611" s="52">
        <f t="shared" si="194"/>
        <v>2864.080727166066</v>
      </c>
      <c r="P611" s="6">
        <v>608</v>
      </c>
      <c r="Q611" s="52">
        <f t="shared" si="208"/>
        <v>-21311.123076955697</v>
      </c>
      <c r="R611" s="52">
        <f t="shared" si="209"/>
        <v>6754.8565090162465</v>
      </c>
      <c r="T611" s="6">
        <v>608</v>
      </c>
      <c r="U611" s="52">
        <f t="shared" si="195"/>
        <v>-6873.0329670795672</v>
      </c>
      <c r="V611" s="52">
        <f t="shared" si="196"/>
        <v>-19635.919272833933</v>
      </c>
      <c r="X611" s="6">
        <v>607</v>
      </c>
      <c r="Y611" s="55">
        <v>303.5</v>
      </c>
      <c r="Z611" s="52">
        <f t="shared" si="210"/>
        <v>83521.349999898201</v>
      </c>
      <c r="AA611" s="52">
        <f t="shared" si="211"/>
        <v>50452.853253131441</v>
      </c>
      <c r="AB611" s="52">
        <f t="shared" si="212"/>
        <v>-3111.543578784157</v>
      </c>
      <c r="AC611" s="52">
        <f t="shared" si="213"/>
        <v>-164.93881204717678</v>
      </c>
      <c r="AD611" s="52">
        <f t="shared" si="197"/>
        <v>-119.69656834745132</v>
      </c>
      <c r="AE611" s="52">
        <f t="shared" si="198"/>
        <v>-79.264804692796176</v>
      </c>
      <c r="AF611" s="52">
        <f t="shared" si="199"/>
        <v>-71.924429156988126</v>
      </c>
      <c r="AG611" s="52">
        <f t="shared" si="200"/>
        <v>-48.634977860204636</v>
      </c>
      <c r="AH611" s="52">
        <f t="shared" si="201"/>
        <v>-13.461072265132904</v>
      </c>
      <c r="AI611" s="52">
        <f t="shared" si="202"/>
        <v>-5.2601591939416785</v>
      </c>
      <c r="AJ611" s="52">
        <f t="shared" si="203"/>
        <v>-34.311066925330287</v>
      </c>
      <c r="AK611" s="52">
        <f t="shared" si="204"/>
        <v>-25.369667638649862</v>
      </c>
      <c r="AM611" s="52">
        <f t="shared" si="205"/>
        <v>76680.567997339531</v>
      </c>
      <c r="AN611" s="57">
        <f t="shared" si="206"/>
        <v>111144.5151238729</v>
      </c>
      <c r="AO611" s="57">
        <f t="shared" si="207"/>
        <v>110091.35027230992</v>
      </c>
    </row>
    <row r="612" spans="12:41" x14ac:dyDescent="0.25">
      <c r="L612" s="6">
        <v>609</v>
      </c>
      <c r="M612" s="52">
        <f t="shared" si="193"/>
        <v>18208.160252273494</v>
      </c>
      <c r="N612" s="52">
        <f t="shared" si="194"/>
        <v>2832.0978675139922</v>
      </c>
      <c r="P612" s="6">
        <v>609</v>
      </c>
      <c r="Q612" s="52">
        <f t="shared" si="208"/>
        <v>-21254.287823408555</v>
      </c>
      <c r="R612" s="52">
        <f t="shared" si="209"/>
        <v>6732.4685072597949</v>
      </c>
      <c r="T612" s="6">
        <v>609</v>
      </c>
      <c r="U612" s="52">
        <f t="shared" si="195"/>
        <v>-6791.8397477265044</v>
      </c>
      <c r="V612" s="52">
        <f t="shared" si="196"/>
        <v>-19667.902132486008</v>
      </c>
      <c r="X612" s="6">
        <v>608</v>
      </c>
      <c r="Y612" s="55">
        <v>304</v>
      </c>
      <c r="Z612" s="52">
        <f t="shared" si="210"/>
        <v>81950.616139462698</v>
      </c>
      <c r="AA612" s="52">
        <f t="shared" si="211"/>
        <v>50360.475746521253</v>
      </c>
      <c r="AB612" s="52">
        <f t="shared" si="212"/>
        <v>-3171.3918629578825</v>
      </c>
      <c r="AC612" s="52">
        <f t="shared" si="213"/>
        <v>-204.57121439357488</v>
      </c>
      <c r="AD612" s="52">
        <f t="shared" si="197"/>
        <v>-122.6470819254825</v>
      </c>
      <c r="AE612" s="52">
        <f t="shared" si="198"/>
        <v>-82.857992097455025</v>
      </c>
      <c r="AF612" s="52">
        <f t="shared" si="199"/>
        <v>-73.914158663409026</v>
      </c>
      <c r="AG612" s="52">
        <f t="shared" si="200"/>
        <v>-51.137441435381383</v>
      </c>
      <c r="AH612" s="52">
        <f t="shared" si="201"/>
        <v>-13.804458070115338</v>
      </c>
      <c r="AI612" s="52">
        <f t="shared" si="202"/>
        <v>-5.4649448549737425</v>
      </c>
      <c r="AJ612" s="52">
        <f t="shared" si="203"/>
        <v>-34.928465191958132</v>
      </c>
      <c r="AK612" s="52">
        <f t="shared" si="204"/>
        <v>-26.255605807099904</v>
      </c>
      <c r="AM612" s="52">
        <f t="shared" si="205"/>
        <v>75331.926971750785</v>
      </c>
      <c r="AN612" s="57">
        <f t="shared" si="206"/>
        <v>109648.96777307848</v>
      </c>
      <c r="AO612" s="57">
        <f t="shared" si="207"/>
        <v>108776.84237393446</v>
      </c>
    </row>
    <row r="613" spans="12:41" x14ac:dyDescent="0.25">
      <c r="L613" s="6">
        <v>610</v>
      </c>
      <c r="M613" s="52">
        <f t="shared" si="193"/>
        <v>18289.899283371655</v>
      </c>
      <c r="N613" s="52">
        <f t="shared" si="194"/>
        <v>2801.5368960704582</v>
      </c>
      <c r="P613" s="6">
        <v>610</v>
      </c>
      <c r="Q613" s="52">
        <f t="shared" si="208"/>
        <v>-21197.070501639842</v>
      </c>
      <c r="R613" s="52">
        <f t="shared" si="209"/>
        <v>6711.0758272493204</v>
      </c>
      <c r="T613" s="6">
        <v>610</v>
      </c>
      <c r="U613" s="52">
        <f t="shared" si="195"/>
        <v>-6710.1007166283434</v>
      </c>
      <c r="V613" s="52">
        <f t="shared" si="196"/>
        <v>-19698.463103929542</v>
      </c>
      <c r="X613" s="6">
        <v>609</v>
      </c>
      <c r="Y613" s="55">
        <v>304.5</v>
      </c>
      <c r="Z613" s="52">
        <f t="shared" si="210"/>
        <v>80349.589322743064</v>
      </c>
      <c r="AA613" s="52">
        <f t="shared" si="211"/>
        <v>50247.832890312282</v>
      </c>
      <c r="AB613" s="52">
        <f t="shared" si="212"/>
        <v>-3232.7154039206239</v>
      </c>
      <c r="AC613" s="52">
        <f t="shared" si="213"/>
        <v>-246.00021044230238</v>
      </c>
      <c r="AD613" s="52">
        <f t="shared" si="197"/>
        <v>-125.77141571699514</v>
      </c>
      <c r="AE613" s="52">
        <f t="shared" si="198"/>
        <v>-86.731987412718397</v>
      </c>
      <c r="AF613" s="52">
        <f t="shared" si="199"/>
        <v>-76.024655343269217</v>
      </c>
      <c r="AG613" s="52">
        <f t="shared" si="200"/>
        <v>-53.851058451741956</v>
      </c>
      <c r="AH613" s="52">
        <f t="shared" si="201"/>
        <v>-14.169863814243158</v>
      </c>
      <c r="AI613" s="52">
        <f t="shared" si="202"/>
        <v>-5.6831952649046702</v>
      </c>
      <c r="AJ613" s="52">
        <f t="shared" si="203"/>
        <v>-35.576896559482762</v>
      </c>
      <c r="AK613" s="52">
        <f t="shared" si="204"/>
        <v>-27.197733696071776</v>
      </c>
      <c r="AM613" s="52">
        <f t="shared" si="205"/>
        <v>73955.731003363137</v>
      </c>
      <c r="AN613" s="57">
        <f t="shared" si="206"/>
        <v>108119.97100263064</v>
      </c>
      <c r="AO613" s="57">
        <f t="shared" si="207"/>
        <v>107432.91904459738</v>
      </c>
    </row>
    <row r="614" spans="12:41" x14ac:dyDescent="0.25">
      <c r="L614" s="6">
        <v>611</v>
      </c>
      <c r="M614" s="52">
        <f t="shared" si="193"/>
        <v>18372.159227714212</v>
      </c>
      <c r="N614" s="52">
        <f t="shared" si="194"/>
        <v>2772.4071220034184</v>
      </c>
      <c r="P614" s="6">
        <v>611</v>
      </c>
      <c r="Q614" s="52">
        <f t="shared" si="208"/>
        <v>-21139.48854060005</v>
      </c>
      <c r="R614" s="52">
        <f t="shared" si="209"/>
        <v>6690.6849854023931</v>
      </c>
      <c r="T614" s="6">
        <v>611</v>
      </c>
      <c r="U614" s="52">
        <f t="shared" si="195"/>
        <v>-6627.8407722857883</v>
      </c>
      <c r="V614" s="52">
        <f t="shared" si="196"/>
        <v>-19727.592877996583</v>
      </c>
      <c r="X614" s="6">
        <v>610</v>
      </c>
      <c r="Y614" s="55">
        <v>305</v>
      </c>
      <c r="Z614" s="52">
        <f t="shared" si="210"/>
        <v>78717.510193818132</v>
      </c>
      <c r="AA614" s="52">
        <f t="shared" si="211"/>
        <v>50113.991286664539</v>
      </c>
      <c r="AB614" s="52">
        <f t="shared" si="212"/>
        <v>-3295.6011117791213</v>
      </c>
      <c r="AC614" s="52">
        <f t="shared" si="213"/>
        <v>-289.36620414866155</v>
      </c>
      <c r="AD614" s="52">
        <f t="shared" si="197"/>
        <v>-129.08325581655902</v>
      </c>
      <c r="AE614" s="52">
        <f t="shared" si="198"/>
        <v>-90.918220963235129</v>
      </c>
      <c r="AF614" s="52">
        <f t="shared" si="199"/>
        <v>-78.265388837008501</v>
      </c>
      <c r="AG614" s="52">
        <f t="shared" si="200"/>
        <v>-56.800783734505615</v>
      </c>
      <c r="AH614" s="52">
        <f t="shared" si="201"/>
        <v>-14.559360638010196</v>
      </c>
      <c r="AI614" s="52">
        <f t="shared" si="202"/>
        <v>-5.9162155186640932</v>
      </c>
      <c r="AJ614" s="52">
        <f t="shared" si="203"/>
        <v>-36.258506341540318</v>
      </c>
      <c r="AK614" s="52">
        <f t="shared" si="204"/>
        <v>-28.201221710065422</v>
      </c>
      <c r="AM614" s="52">
        <f t="shared" si="205"/>
        <v>72551.349103521556</v>
      </c>
      <c r="AN614" s="57">
        <f t="shared" si="206"/>
        <v>106556.45975638072</v>
      </c>
      <c r="AO614" s="57">
        <f t="shared" si="207"/>
        <v>106058.72606406259</v>
      </c>
    </row>
    <row r="615" spans="12:41" x14ac:dyDescent="0.25">
      <c r="L615" s="6">
        <v>612</v>
      </c>
      <c r="M615" s="52">
        <f t="shared" si="193"/>
        <v>18454.915028125262</v>
      </c>
      <c r="N615" s="52">
        <f t="shared" si="194"/>
        <v>2744.7174185242329</v>
      </c>
      <c r="P615" s="6">
        <v>612</v>
      </c>
      <c r="Q615" s="52">
        <f t="shared" si="208"/>
        <v>-21081.559480312317</v>
      </c>
      <c r="R615" s="52">
        <f t="shared" si="209"/>
        <v>6671.302192966963</v>
      </c>
      <c r="T615" s="6">
        <v>612</v>
      </c>
      <c r="U615" s="52">
        <f t="shared" si="195"/>
        <v>-6545.0849718747395</v>
      </c>
      <c r="V615" s="52">
        <f t="shared" si="196"/>
        <v>-19755.282581475767</v>
      </c>
      <c r="X615" s="6">
        <v>611</v>
      </c>
      <c r="Y615" s="55">
        <v>305.5</v>
      </c>
      <c r="Z615" s="52">
        <f t="shared" si="210"/>
        <v>77053.57423095149</v>
      </c>
      <c r="AA615" s="52">
        <f t="shared" si="211"/>
        <v>49957.943406969804</v>
      </c>
      <c r="AB615" s="52">
        <f t="shared" si="212"/>
        <v>-3360.142739687401</v>
      </c>
      <c r="AC615" s="52">
        <f t="shared" si="213"/>
        <v>-334.82531463027914</v>
      </c>
      <c r="AD615" s="52">
        <f t="shared" si="197"/>
        <v>-132.59758276032895</v>
      </c>
      <c r="AE615" s="52">
        <f t="shared" si="198"/>
        <v>-95.45271366750174</v>
      </c>
      <c r="AF615" s="52">
        <f t="shared" si="199"/>
        <v>-80.646651065901054</v>
      </c>
      <c r="AG615" s="52">
        <f t="shared" si="200"/>
        <v>-60.015362631919089</v>
      </c>
      <c r="AH615" s="52">
        <f t="shared" si="201"/>
        <v>-14.975287743277709</v>
      </c>
      <c r="AI615" s="52">
        <f t="shared" si="202"/>
        <v>-6.165478241172786</v>
      </c>
      <c r="AJ615" s="52">
        <f t="shared" si="203"/>
        <v>-36.97564395115019</v>
      </c>
      <c r="AK615" s="52">
        <f t="shared" si="204"/>
        <v>-29.271872794409866</v>
      </c>
      <c r="AM615" s="52">
        <f t="shared" si="205"/>
        <v>71118.122098914726</v>
      </c>
      <c r="AN615" s="57">
        <f t="shared" si="206"/>
        <v>104957.29375473347</v>
      </c>
      <c r="AO615" s="57">
        <f t="shared" si="207"/>
        <v>104653.34899436978</v>
      </c>
    </row>
    <row r="616" spans="12:41" x14ac:dyDescent="0.25">
      <c r="L616" s="6">
        <v>613</v>
      </c>
      <c r="M616" s="52">
        <f t="shared" si="193"/>
        <v>18538.14147638631</v>
      </c>
      <c r="N616" s="52">
        <f t="shared" si="194"/>
        <v>2718.4762201848253</v>
      </c>
      <c r="P616" s="6">
        <v>613</v>
      </c>
      <c r="Q616" s="52">
        <f t="shared" si="208"/>
        <v>-21023.300966529583</v>
      </c>
      <c r="R616" s="52">
        <f t="shared" si="209"/>
        <v>6652.9333541293781</v>
      </c>
      <c r="T616" s="6">
        <v>613</v>
      </c>
      <c r="U616" s="52">
        <f t="shared" si="195"/>
        <v>-6461.8585236136905</v>
      </c>
      <c r="V616" s="52">
        <f t="shared" si="196"/>
        <v>-19781.523779815176</v>
      </c>
      <c r="X616" s="6">
        <v>612</v>
      </c>
      <c r="Y616" s="55">
        <v>306</v>
      </c>
      <c r="Z616" s="52">
        <f t="shared" si="210"/>
        <v>75356.928163262739</v>
      </c>
      <c r="AA616" s="52">
        <f t="shared" si="211"/>
        <v>49778.599160446232</v>
      </c>
      <c r="AB616" s="52">
        <f t="shared" si="212"/>
        <v>-3426.4415310675654</v>
      </c>
      <c r="AC616" s="52">
        <f t="shared" si="213"/>
        <v>-382.55167146402999</v>
      </c>
      <c r="AD616" s="52">
        <f t="shared" si="197"/>
        <v>-136.33078395342645</v>
      </c>
      <c r="AE616" s="52">
        <f t="shared" si="198"/>
        <v>-100.37690748745396</v>
      </c>
      <c r="AF616" s="52">
        <f t="shared" si="199"/>
        <v>-83.179599696562008</v>
      </c>
      <c r="AG616" s="52">
        <f t="shared" si="200"/>
        <v>-63.528036518311836</v>
      </c>
      <c r="AH616" s="52">
        <f t="shared" si="201"/>
        <v>-15.420296891384011</v>
      </c>
      <c r="AI616" s="52">
        <f t="shared" si="202"/>
        <v>-6.4326506819433975</v>
      </c>
      <c r="AJ616" s="52">
        <f t="shared" si="203"/>
        <v>-37.730887365480434</v>
      </c>
      <c r="AK616" s="52">
        <f t="shared" si="204"/>
        <v>-30.416220287198719</v>
      </c>
      <c r="AM616" s="52">
        <f t="shared" si="205"/>
        <v>69655.361908774226</v>
      </c>
      <c r="AN616" s="57">
        <f t="shared" si="206"/>
        <v>103321.24999196005</v>
      </c>
      <c r="AO616" s="57">
        <f t="shared" si="207"/>
        <v>103215.80699207624</v>
      </c>
    </row>
    <row r="617" spans="12:41" x14ac:dyDescent="0.25">
      <c r="L617" s="6">
        <v>614</v>
      </c>
      <c r="M617" s="52">
        <f t="shared" si="193"/>
        <v>18621.813220914999</v>
      </c>
      <c r="N617" s="52">
        <f t="shared" si="194"/>
        <v>2693.6915203084063</v>
      </c>
      <c r="P617" s="6">
        <v>614</v>
      </c>
      <c r="Q617" s="52">
        <f t="shared" si="208"/>
        <v>-20964.730745359499</v>
      </c>
      <c r="R617" s="52">
        <f t="shared" si="209"/>
        <v>6635.5840642158846</v>
      </c>
      <c r="T617" s="6">
        <v>614</v>
      </c>
      <c r="U617" s="52">
        <f t="shared" si="195"/>
        <v>-6378.1867790849992</v>
      </c>
      <c r="V617" s="52">
        <f t="shared" si="196"/>
        <v>-19806.308479691594</v>
      </c>
      <c r="X617" s="6">
        <v>613</v>
      </c>
      <c r="Y617" s="55">
        <v>306.5</v>
      </c>
      <c r="Z617" s="52">
        <f t="shared" si="210"/>
        <v>73626.666049734777</v>
      </c>
      <c r="AA617" s="52">
        <f t="shared" si="211"/>
        <v>49574.776211278288</v>
      </c>
      <c r="AB617" s="52">
        <f t="shared" si="212"/>
        <v>-3494.6069230442786</v>
      </c>
      <c r="AC617" s="52">
        <f t="shared" si="213"/>
        <v>-432.74012520775699</v>
      </c>
      <c r="AD617" s="52">
        <f t="shared" si="197"/>
        <v>-140.30076352522835</v>
      </c>
      <c r="AE617" s="52">
        <f t="shared" si="198"/>
        <v>-105.73867515908621</v>
      </c>
      <c r="AF617" s="52">
        <f t="shared" si="199"/>
        <v>-85.876286347165831</v>
      </c>
      <c r="AG617" s="52">
        <f t="shared" si="200"/>
        <v>-67.377403744652995</v>
      </c>
      <c r="AH617" s="52">
        <f t="shared" si="201"/>
        <v>-15.897406018242984</v>
      </c>
      <c r="AI617" s="52">
        <f t="shared" si="202"/>
        <v>-6.7196271324837689</v>
      </c>
      <c r="AJ617" s="52">
        <f t="shared" si="203"/>
        <v>-38.527071159819521</v>
      </c>
      <c r="AK617" s="52">
        <f t="shared" si="204"/>
        <v>-31.641644281949453</v>
      </c>
      <c r="AM617" s="52">
        <f t="shared" si="205"/>
        <v>68162.351080629</v>
      </c>
      <c r="AN617" s="57">
        <f t="shared" si="206"/>
        <v>101647.01425896048</v>
      </c>
      <c r="AO617" s="57">
        <f t="shared" si="207"/>
        <v>101745.04576063243</v>
      </c>
    </row>
    <row r="618" spans="12:41" x14ac:dyDescent="0.25">
      <c r="L618" s="6">
        <v>615</v>
      </c>
      <c r="M618" s="52">
        <f t="shared" si="193"/>
        <v>18705.904774487397</v>
      </c>
      <c r="N618" s="52">
        <f t="shared" si="194"/>
        <v>2670.370868554659</v>
      </c>
      <c r="P618" s="6">
        <v>615</v>
      </c>
      <c r="Q618" s="52">
        <f t="shared" si="208"/>
        <v>-20905.866657858824</v>
      </c>
      <c r="R618" s="52">
        <f t="shared" si="209"/>
        <v>6619.2596079882615</v>
      </c>
      <c r="T618" s="6">
        <v>615</v>
      </c>
      <c r="U618" s="52">
        <f t="shared" si="195"/>
        <v>-6294.0952255126049</v>
      </c>
      <c r="V618" s="52">
        <f t="shared" si="196"/>
        <v>-19829.629131445341</v>
      </c>
      <c r="X618" s="6">
        <v>614</v>
      </c>
      <c r="Y618" s="55">
        <v>307</v>
      </c>
      <c r="Z618" s="52">
        <f t="shared" si="210"/>
        <v>71861.824992771988</v>
      </c>
      <c r="AA618" s="52">
        <f t="shared" si="211"/>
        <v>49345.188814279521</v>
      </c>
      <c r="AB618" s="52">
        <f t="shared" si="212"/>
        <v>-3564.7573048068925</v>
      </c>
      <c r="AC618" s="52">
        <f t="shared" si="213"/>
        <v>-485.60946278730012</v>
      </c>
      <c r="AD618" s="52">
        <f t="shared" si="197"/>
        <v>-144.52704159941786</v>
      </c>
      <c r="AE618" s="52">
        <f t="shared" si="198"/>
        <v>-111.59355408071293</v>
      </c>
      <c r="AF618" s="52">
        <f t="shared" si="199"/>
        <v>-88.749658665271468</v>
      </c>
      <c r="AG618" s="52">
        <f t="shared" si="200"/>
        <v>-71.608475493655121</v>
      </c>
      <c r="AH618" s="52">
        <f t="shared" si="201"/>
        <v>-16.410064208892958</v>
      </c>
      <c r="AI618" s="52">
        <f t="shared" si="202"/>
        <v>-7.0285679040683808</v>
      </c>
      <c r="AJ618" s="52">
        <f t="shared" si="203"/>
        <v>-39.367318725253426</v>
      </c>
      <c r="AK618" s="52">
        <f t="shared" si="204"/>
        <v>-32.956510682989432</v>
      </c>
      <c r="AM618" s="52">
        <f t="shared" si="205"/>
        <v>66638.342705109448</v>
      </c>
      <c r="AN618" s="57">
        <f t="shared" si="206"/>
        <v>99933.171538953844</v>
      </c>
      <c r="AO618" s="57">
        <f t="shared" si="207"/>
        <v>100239.92949301585</v>
      </c>
    </row>
    <row r="619" spans="12:41" x14ac:dyDescent="0.25">
      <c r="L619" s="6">
        <v>616</v>
      </c>
      <c r="M619" s="52">
        <f t="shared" si="193"/>
        <v>18790.390522001664</v>
      </c>
      <c r="N619" s="52">
        <f t="shared" si="194"/>
        <v>2648.5213686200168</v>
      </c>
      <c r="P619" s="6">
        <v>616</v>
      </c>
      <c r="Q619" s="52">
        <f t="shared" si="208"/>
        <v>-20846.726634598836</v>
      </c>
      <c r="R619" s="52">
        <f t="shared" si="209"/>
        <v>6603.9649580340119</v>
      </c>
      <c r="T619" s="6">
        <v>616</v>
      </c>
      <c r="U619" s="52">
        <f t="shared" si="195"/>
        <v>-6209.6094779983359</v>
      </c>
      <c r="V619" s="52">
        <f t="shared" si="196"/>
        <v>-19851.478631379985</v>
      </c>
      <c r="X619" s="6">
        <v>615</v>
      </c>
      <c r="Y619" s="55">
        <v>307.5</v>
      </c>
      <c r="Z619" s="52">
        <f t="shared" si="210"/>
        <v>70061.380460168613</v>
      </c>
      <c r="AA619" s="52">
        <f t="shared" si="211"/>
        <v>49088.434888625787</v>
      </c>
      <c r="AB619" s="52">
        <f t="shared" si="212"/>
        <v>-3637.0208256066016</v>
      </c>
      <c r="AC619" s="52">
        <f t="shared" si="213"/>
        <v>-541.40623982765658</v>
      </c>
      <c r="AD619" s="52">
        <f t="shared" si="197"/>
        <v>-149.03083022892696</v>
      </c>
      <c r="AE619" s="52">
        <f t="shared" si="198"/>
        <v>-118.0062619293813</v>
      </c>
      <c r="AF619" s="52">
        <f t="shared" si="199"/>
        <v>-91.813519899475565</v>
      </c>
      <c r="AG619" s="52">
        <f t="shared" si="200"/>
        <v>-76.273977248249992</v>
      </c>
      <c r="AH619" s="52">
        <f t="shared" si="201"/>
        <v>-16.962230922914252</v>
      </c>
      <c r="AI619" s="52">
        <f t="shared" si="202"/>
        <v>-7.3619464370680516</v>
      </c>
      <c r="AJ619" s="52">
        <f t="shared" si="203"/>
        <v>-40.255079406537128</v>
      </c>
      <c r="AK619" s="52">
        <f t="shared" si="204"/>
        <v>-34.370338244063248</v>
      </c>
      <c r="AM619" s="52">
        <f t="shared" si="205"/>
        <v>65082.560875116294</v>
      </c>
      <c r="AN619" s="57">
        <f t="shared" si="206"/>
        <v>98178.19509663833</v>
      </c>
      <c r="AO619" s="57">
        <f t="shared" si="207"/>
        <v>98699.231623451909</v>
      </c>
    </row>
    <row r="620" spans="12:41" x14ac:dyDescent="0.25">
      <c r="L620" s="6">
        <v>617</v>
      </c>
      <c r="M620" s="52">
        <f t="shared" si="193"/>
        <v>18875.244728280672</v>
      </c>
      <c r="N620" s="52">
        <f t="shared" si="194"/>
        <v>2628.1496760738246</v>
      </c>
      <c r="P620" s="6">
        <v>617</v>
      </c>
      <c r="Q620" s="52">
        <f t="shared" si="208"/>
        <v>-20787.328690203529</v>
      </c>
      <c r="R620" s="52">
        <f t="shared" si="209"/>
        <v>6589.7047732516767</v>
      </c>
      <c r="T620" s="6">
        <v>617</v>
      </c>
      <c r="U620" s="52">
        <f t="shared" si="195"/>
        <v>-6124.7552717193275</v>
      </c>
      <c r="V620" s="52">
        <f t="shared" si="196"/>
        <v>-19871.850323926177</v>
      </c>
      <c r="X620" s="6">
        <v>616</v>
      </c>
      <c r="Y620" s="55">
        <v>308</v>
      </c>
      <c r="Z620" s="52">
        <f t="shared" si="210"/>
        <v>68224.241193586699</v>
      </c>
      <c r="AA620" s="52">
        <f t="shared" si="211"/>
        <v>48802.980985970782</v>
      </c>
      <c r="AB620" s="52">
        <f t="shared" si="212"/>
        <v>-3711.536240721065</v>
      </c>
      <c r="AC620" s="52">
        <f t="shared" si="213"/>
        <v>-600.4093707923472</v>
      </c>
      <c r="AD620" s="52">
        <f t="shared" si="197"/>
        <v>-153.83506603248534</v>
      </c>
      <c r="AE620" s="52">
        <f t="shared" si="198"/>
        <v>-125.05256821723407</v>
      </c>
      <c r="AF620" s="52">
        <f t="shared" si="199"/>
        <v>-95.08242135794714</v>
      </c>
      <c r="AG620" s="52">
        <f t="shared" si="200"/>
        <v>-81.435961339079114</v>
      </c>
      <c r="AH620" s="52">
        <f t="shared" si="201"/>
        <v>-17.558473228647649</v>
      </c>
      <c r="AI620" s="52">
        <f t="shared" si="202"/>
        <v>-7.7226065491331095</v>
      </c>
      <c r="AJ620" s="52">
        <f t="shared" si="203"/>
        <v>-41.194171445890554</v>
      </c>
      <c r="AK620" s="52">
        <f t="shared" si="204"/>
        <v>-35.894000329021843</v>
      </c>
      <c r="AM620" s="52">
        <f t="shared" si="205"/>
        <v>63494.201916589896</v>
      </c>
      <c r="AN620" s="57">
        <f t="shared" si="206"/>
        <v>96380.434049560965</v>
      </c>
      <c r="AO620" s="57">
        <f t="shared" si="207"/>
        <v>97121.624168218623</v>
      </c>
    </row>
    <row r="621" spans="12:41" x14ac:dyDescent="0.25">
      <c r="L621" s="6">
        <v>618</v>
      </c>
      <c r="M621" s="52">
        <f t="shared" si="193"/>
        <v>18960.441545911206</v>
      </c>
      <c r="N621" s="52">
        <f t="shared" si="194"/>
        <v>2609.2619963309717</v>
      </c>
      <c r="P621" s="6">
        <v>618</v>
      </c>
      <c r="Q621" s="52">
        <f t="shared" si="208"/>
        <v>-20727.690917862157</v>
      </c>
      <c r="R621" s="52">
        <f t="shared" si="209"/>
        <v>6576.4833974316807</v>
      </c>
      <c r="T621" s="6">
        <v>618</v>
      </c>
      <c r="U621" s="52">
        <f t="shared" si="195"/>
        <v>-6039.5584540887958</v>
      </c>
      <c r="V621" s="52">
        <f t="shared" si="196"/>
        <v>-19890.73800366903</v>
      </c>
      <c r="X621" s="6">
        <v>617</v>
      </c>
      <c r="Y621" s="55">
        <v>308.5</v>
      </c>
      <c r="Z621" s="52">
        <f t="shared" si="210"/>
        <v>66349.243689972107</v>
      </c>
      <c r="AA621" s="52">
        <f t="shared" si="211"/>
        <v>48487.144729547457</v>
      </c>
      <c r="AB621" s="52">
        <f t="shared" si="212"/>
        <v>-3788.4537737373075</v>
      </c>
      <c r="AC621" s="52">
        <f t="shared" si="213"/>
        <v>-662.93565490096421</v>
      </c>
      <c r="AD621" s="52">
        <f t="shared" si="197"/>
        <v>-158.96436856871523</v>
      </c>
      <c r="AE621" s="52">
        <f t="shared" si="198"/>
        <v>-132.8216178886216</v>
      </c>
      <c r="AF621" s="52">
        <f t="shared" si="199"/>
        <v>-98.57145079526741</v>
      </c>
      <c r="AG621" s="52">
        <f t="shared" si="200"/>
        <v>-87.167815444229163</v>
      </c>
      <c r="AH621" s="52">
        <f t="shared" si="201"/>
        <v>-18.204085971701208</v>
      </c>
      <c r="AI621" s="52">
        <f t="shared" si="202"/>
        <v>-8.1138324034140155</v>
      </c>
      <c r="AJ621" s="52">
        <f t="shared" si="203"/>
        <v>-42.188831801746623</v>
      </c>
      <c r="AK621" s="52">
        <f t="shared" si="204"/>
        <v>-37.539970040978432</v>
      </c>
      <c r="AM621" s="52">
        <f t="shared" si="205"/>
        <v>61872.436704184271</v>
      </c>
      <c r="AN621" s="57">
        <f t="shared" si="206"/>
        <v>94538.09917310228</v>
      </c>
      <c r="AO621" s="57">
        <f t="shared" si="207"/>
        <v>95505.665387146175</v>
      </c>
    </row>
    <row r="622" spans="12:41" x14ac:dyDescent="0.25">
      <c r="L622" s="6">
        <v>619</v>
      </c>
      <c r="M622" s="52">
        <f t="shared" si="193"/>
        <v>19045.95502311728</v>
      </c>
      <c r="N622" s="52">
        <f t="shared" si="194"/>
        <v>2591.8640827616791</v>
      </c>
      <c r="P622" s="6">
        <v>619</v>
      </c>
      <c r="Q622" s="52">
        <f t="shared" si="208"/>
        <v>-20667.831483817903</v>
      </c>
      <c r="R622" s="52">
        <f t="shared" si="209"/>
        <v>6564.3048579331753</v>
      </c>
      <c r="T622" s="6">
        <v>619</v>
      </c>
      <c r="U622" s="52">
        <f t="shared" si="195"/>
        <v>-5954.0449768827202</v>
      </c>
      <c r="V622" s="52">
        <f t="shared" si="196"/>
        <v>-19908.13591723832</v>
      </c>
      <c r="X622" s="6">
        <v>618</v>
      </c>
      <c r="Y622" s="55">
        <v>309</v>
      </c>
      <c r="Z622" s="52">
        <f t="shared" si="210"/>
        <v>64435.146257032364</v>
      </c>
      <c r="AA622" s="52">
        <f t="shared" si="211"/>
        <v>48139.074199860894</v>
      </c>
      <c r="AB622" s="52">
        <f t="shared" si="212"/>
        <v>-3867.9359580216651</v>
      </c>
      <c r="AC622" s="52">
        <f t="shared" si="213"/>
        <v>-729.34646384527503</v>
      </c>
      <c r="AD622" s="52">
        <f t="shared" si="197"/>
        <v>-164.44487665500435</v>
      </c>
      <c r="AE622" s="52">
        <f t="shared" si="198"/>
        <v>-141.41883191755889</v>
      </c>
      <c r="AF622" s="52">
        <f t="shared" si="199"/>
        <v>-102.29586112613043</v>
      </c>
      <c r="AG622" s="52">
        <f t="shared" si="200"/>
        <v>-93.556777479618503</v>
      </c>
      <c r="AH622" s="52">
        <f t="shared" si="201"/>
        <v>-18.905241391591591</v>
      </c>
      <c r="AI622" s="52">
        <f t="shared" si="202"/>
        <v>-8.5394345383767316</v>
      </c>
      <c r="AJ622" s="52">
        <f t="shared" si="203"/>
        <v>-43.243774137282323</v>
      </c>
      <c r="AK622" s="52">
        <f t="shared" si="204"/>
        <v>-39.322619899563655</v>
      </c>
      <c r="AM622" s="52">
        <f t="shared" si="205"/>
        <v>60216.414495597928</v>
      </c>
      <c r="AN622" s="57">
        <f t="shared" si="206"/>
        <v>92649.246647066379</v>
      </c>
      <c r="AO622" s="57">
        <f t="shared" si="207"/>
        <v>93849.785436893857</v>
      </c>
    </row>
    <row r="623" spans="12:41" x14ac:dyDescent="0.25">
      <c r="L623" s="6">
        <v>620</v>
      </c>
      <c r="M623" s="52">
        <f t="shared" si="193"/>
        <v>19131.759111665346</v>
      </c>
      <c r="N623" s="52">
        <f t="shared" si="194"/>
        <v>2575.9612349389599</v>
      </c>
      <c r="P623" s="6">
        <v>620</v>
      </c>
      <c r="Q623" s="52">
        <f t="shared" si="208"/>
        <v>-20607.768621834257</v>
      </c>
      <c r="R623" s="52">
        <f t="shared" si="209"/>
        <v>6553.1728644572722</v>
      </c>
      <c r="T623" s="6">
        <v>620</v>
      </c>
      <c r="U623" s="52">
        <f t="shared" si="195"/>
        <v>-5868.2408883346525</v>
      </c>
      <c r="V623" s="52">
        <f t="shared" si="196"/>
        <v>-19924.038765061039</v>
      </c>
      <c r="X623" s="6">
        <v>619</v>
      </c>
      <c r="Y623" s="55">
        <v>309.5</v>
      </c>
      <c r="Z623" s="52">
        <f t="shared" si="210"/>
        <v>62480.622668439653</v>
      </c>
      <c r="AA623" s="52">
        <f t="shared" si="211"/>
        <v>47756.723613948561</v>
      </c>
      <c r="AB623" s="52">
        <f t="shared" si="212"/>
        <v>-3950.1583963491671</v>
      </c>
      <c r="AC623" s="52">
        <f t="shared" si="213"/>
        <v>-800.05587980405448</v>
      </c>
      <c r="AD623" s="52">
        <f t="shared" si="197"/>
        <v>-170.30388898182912</v>
      </c>
      <c r="AE623" s="52">
        <f t="shared" si="198"/>
        <v>-150.96954794647198</v>
      </c>
      <c r="AF623" s="52">
        <f t="shared" si="199"/>
        <v>-106.27045554599701</v>
      </c>
      <c r="AG623" s="52">
        <f t="shared" si="200"/>
        <v>-100.70710099129408</v>
      </c>
      <c r="AH623" s="52">
        <f t="shared" si="201"/>
        <v>-19.669176883270044</v>
      </c>
      <c r="AI623" s="52">
        <f t="shared" si="202"/>
        <v>-9.0038563152076936</v>
      </c>
      <c r="AJ623" s="52">
        <f t="shared" si="203"/>
        <v>-44.364256552562075</v>
      </c>
      <c r="AK623" s="52">
        <f t="shared" si="204"/>
        <v>-41.258590639970194</v>
      </c>
      <c r="AM623" s="52">
        <f t="shared" si="205"/>
        <v>58525.268888132348</v>
      </c>
      <c r="AN623" s="57">
        <f t="shared" si="206"/>
        <v>90711.759402150405</v>
      </c>
      <c r="AO623" s="57">
        <f t="shared" si="207"/>
        <v>92152.269611105396</v>
      </c>
    </row>
    <row r="624" spans="12:41" x14ac:dyDescent="0.25">
      <c r="L624" s="6">
        <v>621</v>
      </c>
      <c r="M624" s="52">
        <f t="shared" si="193"/>
        <v>19217.827674798849</v>
      </c>
      <c r="N624" s="52">
        <f t="shared" si="194"/>
        <v>2561.5582970243113</v>
      </c>
      <c r="P624" s="6">
        <v>621</v>
      </c>
      <c r="Q624" s="52">
        <f t="shared" si="208"/>
        <v>-20547.520627640806</v>
      </c>
      <c r="R624" s="52">
        <f t="shared" si="209"/>
        <v>6543.0908079170176</v>
      </c>
      <c r="T624" s="6">
        <v>621</v>
      </c>
      <c r="U624" s="52">
        <f t="shared" si="195"/>
        <v>-5782.1723252011525</v>
      </c>
      <c r="V624" s="52">
        <f t="shared" si="196"/>
        <v>-19938.441702975688</v>
      </c>
      <c r="X624" s="6">
        <v>620</v>
      </c>
      <c r="Y624" s="55">
        <v>310</v>
      </c>
      <c r="Z624" s="52">
        <f t="shared" si="210"/>
        <v>60484.255484142341</v>
      </c>
      <c r="AA624" s="52">
        <f t="shared" si="211"/>
        <v>47337.824480553223</v>
      </c>
      <c r="AB624" s="52">
        <f t="shared" si="212"/>
        <v>-4035.3103408400816</v>
      </c>
      <c r="AC624" s="52">
        <f t="shared" si="213"/>
        <v>-875.54065377729046</v>
      </c>
      <c r="AD624" s="52">
        <f t="shared" si="197"/>
        <v>-176.56919542862173</v>
      </c>
      <c r="AE624" s="52">
        <f t="shared" si="198"/>
        <v>-161.62361418942993</v>
      </c>
      <c r="AF624" s="52">
        <f t="shared" si="199"/>
        <v>-110.50860181592238</v>
      </c>
      <c r="AG624" s="52">
        <f t="shared" si="200"/>
        <v>-108.74405939016185</v>
      </c>
      <c r="AH624" s="52">
        <f t="shared" si="201"/>
        <v>-20.504432632890708</v>
      </c>
      <c r="AI624" s="52">
        <f t="shared" si="202"/>
        <v>-9.512306501624332</v>
      </c>
      <c r="AJ624" s="52">
        <f t="shared" si="203"/>
        <v>-45.556160979808652</v>
      </c>
      <c r="AK624" s="52">
        <f t="shared" si="204"/>
        <v>-43.367248297643734</v>
      </c>
      <c r="AM624" s="52">
        <f t="shared" si="205"/>
        <v>56798.126742425891</v>
      </c>
      <c r="AN624" s="57">
        <f t="shared" si="206"/>
        <v>88723.325669055572</v>
      </c>
      <c r="AO624" s="57">
        <f t="shared" si="207"/>
        <v>90411.238666886362</v>
      </c>
    </row>
    <row r="625" spans="12:41" x14ac:dyDescent="0.25">
      <c r="L625" s="6">
        <v>622</v>
      </c>
      <c r="M625" s="52">
        <f t="shared" si="193"/>
        <v>19304.134495199669</v>
      </c>
      <c r="N625" s="52">
        <f t="shared" si="194"/>
        <v>2548.6596562921486</v>
      </c>
      <c r="P625" s="6">
        <v>622</v>
      </c>
      <c r="Q625" s="52">
        <f t="shared" si="208"/>
        <v>-20487.10585336023</v>
      </c>
      <c r="R625" s="52">
        <f t="shared" si="209"/>
        <v>6534.0617594045043</v>
      </c>
      <c r="T625" s="6">
        <v>622</v>
      </c>
      <c r="U625" s="52">
        <f t="shared" si="195"/>
        <v>-5695.8655048003302</v>
      </c>
      <c r="V625" s="52">
        <f t="shared" si="196"/>
        <v>-19951.340343707852</v>
      </c>
      <c r="X625" s="6">
        <v>621</v>
      </c>
      <c r="Y625" s="55">
        <v>310.5</v>
      </c>
      <c r="Z625" s="52">
        <f t="shared" si="210"/>
        <v>58444.529164293723</v>
      </c>
      <c r="AA625" s="52">
        <f t="shared" si="211"/>
        <v>46879.851201890895</v>
      </c>
      <c r="AB625" s="52">
        <f t="shared" si="212"/>
        <v>-4123.5949385543927</v>
      </c>
      <c r="AC625" s="52">
        <f t="shared" si="213"/>
        <v>-956.35246087200539</v>
      </c>
      <c r="AD625" s="52">
        <f t="shared" si="197"/>
        <v>-183.26792338661605</v>
      </c>
      <c r="AE625" s="52">
        <f t="shared" si="198"/>
        <v>-173.56121562953089</v>
      </c>
      <c r="AF625" s="52">
        <f t="shared" si="199"/>
        <v>-115.02068167739945</v>
      </c>
      <c r="AG625" s="52">
        <f t="shared" si="200"/>
        <v>-117.8190350631977</v>
      </c>
      <c r="AH625" s="52">
        <f t="shared" si="201"/>
        <v>-21.421155118787116</v>
      </c>
      <c r="AI625" s="52">
        <f t="shared" si="202"/>
        <v>-10.070925554271636</v>
      </c>
      <c r="AJ625" s="52">
        <f t="shared" si="203"/>
        <v>-46.826086590429476</v>
      </c>
      <c r="AK625" s="52">
        <f t="shared" si="204"/>
        <v>-45.671255012061543</v>
      </c>
      <c r="AM625" s="52">
        <f t="shared" si="205"/>
        <v>55034.121264423753</v>
      </c>
      <c r="AN625" s="57">
        <f t="shared" si="206"/>
        <v>86681.414273656963</v>
      </c>
      <c r="AO625" s="57">
        <f t="shared" si="207"/>
        <v>88624.625616400066</v>
      </c>
    </row>
    <row r="626" spans="12:41" x14ac:dyDescent="0.25">
      <c r="L626" s="6">
        <v>623</v>
      </c>
      <c r="M626" s="52">
        <f t="shared" si="193"/>
        <v>19390.653282974265</v>
      </c>
      <c r="N626" s="52">
        <f t="shared" si="194"/>
        <v>2537.2692417933895</v>
      </c>
      <c r="P626" s="6">
        <v>623</v>
      </c>
      <c r="Q626" s="52">
        <f t="shared" si="208"/>
        <v>-20426.542701918017</v>
      </c>
      <c r="R626" s="52">
        <f t="shared" si="209"/>
        <v>6526.0884692553727</v>
      </c>
      <c r="T626" s="6">
        <v>623</v>
      </c>
      <c r="U626" s="52">
        <f t="shared" si="195"/>
        <v>-5609.3467170257372</v>
      </c>
      <c r="V626" s="52">
        <f t="shared" si="196"/>
        <v>-19962.73075820661</v>
      </c>
      <c r="X626" s="6">
        <v>622</v>
      </c>
      <c r="Y626" s="55">
        <v>311</v>
      </c>
      <c r="Z626" s="52">
        <f t="shared" si="210"/>
        <v>56359.823204593202</v>
      </c>
      <c r="AA626" s="52">
        <f t="shared" si="211"/>
        <v>46379.979819501204</v>
      </c>
      <c r="AB626" s="52">
        <f t="shared" si="212"/>
        <v>-4215.2289002477009</v>
      </c>
      <c r="AC626" s="52">
        <f t="shared" si="213"/>
        <v>-1043.1330686867709</v>
      </c>
      <c r="AD626" s="52">
        <f t="shared" si="197"/>
        <v>-190.42462616909265</v>
      </c>
      <c r="AE626" s="52">
        <f t="shared" si="198"/>
        <v>-187.00029693128002</v>
      </c>
      <c r="AF626" s="52">
        <f t="shared" si="199"/>
        <v>-119.81167754254631</v>
      </c>
      <c r="AG626" s="52">
        <f t="shared" si="200"/>
        <v>-128.11601362259441</v>
      </c>
      <c r="AH626" s="52">
        <f t="shared" si="201"/>
        <v>-22.431488530759985</v>
      </c>
      <c r="AI626" s="52">
        <f t="shared" si="202"/>
        <v>-10.686995671584182</v>
      </c>
      <c r="AJ626" s="52">
        <f t="shared" si="203"/>
        <v>-48.181460095786349</v>
      </c>
      <c r="AK626" s="52">
        <f t="shared" si="204"/>
        <v>-48.197287637101425</v>
      </c>
      <c r="AM626" s="52">
        <f t="shared" si="205"/>
        <v>53232.410937643006</v>
      </c>
      <c r="AN626" s="57">
        <f t="shared" si="206"/>
        <v>84583.2461631974</v>
      </c>
      <c r="AO626" s="57">
        <f t="shared" si="207"/>
        <v>86790.148210158673</v>
      </c>
    </row>
    <row r="627" spans="12:41" x14ac:dyDescent="0.25">
      <c r="L627" s="6">
        <v>624</v>
      </c>
      <c r="M627" s="52">
        <f t="shared" si="193"/>
        <v>19477.357683661729</v>
      </c>
      <c r="N627" s="52">
        <f t="shared" si="194"/>
        <v>2527.3905231586341</v>
      </c>
      <c r="P627" s="6">
        <v>624</v>
      </c>
      <c r="Q627" s="52">
        <f t="shared" si="208"/>
        <v>-20365.849621436791</v>
      </c>
      <c r="R627" s="52">
        <f t="shared" si="209"/>
        <v>6519.1733662110437</v>
      </c>
      <c r="T627" s="6">
        <v>624</v>
      </c>
      <c r="U627" s="52">
        <f t="shared" si="195"/>
        <v>-5522.6423163382724</v>
      </c>
      <c r="V627" s="52">
        <f t="shared" si="196"/>
        <v>-19972.609476841368</v>
      </c>
      <c r="X627" s="6">
        <v>623</v>
      </c>
      <c r="Y627" s="55">
        <v>311.5</v>
      </c>
      <c r="Z627" s="52">
        <f t="shared" si="210"/>
        <v>54228.405676198214</v>
      </c>
      <c r="AA627" s="52">
        <f t="shared" si="211"/>
        <v>45835.038248041405</v>
      </c>
      <c r="AB627" s="52">
        <f t="shared" si="212"/>
        <v>-4310.4412133322476</v>
      </c>
      <c r="AC627" s="52">
        <f t="shared" si="213"/>
        <v>-1136.6332171524109</v>
      </c>
      <c r="AD627" s="52">
        <f t="shared" si="197"/>
        <v>-198.05818723395942</v>
      </c>
      <c r="AE627" s="52">
        <f t="shared" si="198"/>
        <v>-202.20605508062948</v>
      </c>
      <c r="AF627" s="52">
        <f t="shared" si="199"/>
        <v>-124.87743585116218</v>
      </c>
      <c r="AG627" s="52">
        <f t="shared" si="200"/>
        <v>-139.8598966296743</v>
      </c>
      <c r="AH627" s="52">
        <f t="shared" si="201"/>
        <v>-23.550084896539385</v>
      </c>
      <c r="AI627" s="52">
        <f t="shared" si="202"/>
        <v>-11.369208126245912</v>
      </c>
      <c r="AJ627" s="52">
        <f t="shared" si="203"/>
        <v>-49.630666486257866</v>
      </c>
      <c r="AK627" s="52">
        <f t="shared" si="204"/>
        <v>-50.976950324709257</v>
      </c>
      <c r="AM627" s="52">
        <f t="shared" si="205"/>
        <v>51392.206730332131</v>
      </c>
      <c r="AN627" s="57">
        <f t="shared" si="206"/>
        <v>82425.761600781378</v>
      </c>
      <c r="AO627" s="57">
        <f t="shared" si="207"/>
        <v>84905.276146921344</v>
      </c>
    </row>
    <row r="628" spans="12:41" x14ac:dyDescent="0.25">
      <c r="L628" s="6">
        <v>625</v>
      </c>
      <c r="M628" s="52">
        <f t="shared" si="193"/>
        <v>19564.221286261709</v>
      </c>
      <c r="N628" s="52">
        <f t="shared" si="194"/>
        <v>2519.0265095412724</v>
      </c>
      <c r="P628" s="6">
        <v>625</v>
      </c>
      <c r="Q628" s="52">
        <f t="shared" si="208"/>
        <v>-20305.045099616804</v>
      </c>
      <c r="R628" s="52">
        <f t="shared" si="209"/>
        <v>6513.3185566788907</v>
      </c>
      <c r="T628" s="6">
        <v>625</v>
      </c>
      <c r="U628" s="52">
        <f t="shared" si="195"/>
        <v>-5435.7787137382929</v>
      </c>
      <c r="V628" s="52">
        <f t="shared" si="196"/>
        <v>-19980.973490458728</v>
      </c>
      <c r="X628" s="6">
        <v>624</v>
      </c>
      <c r="Y628" s="55">
        <v>312</v>
      </c>
      <c r="Z628" s="52">
        <f t="shared" si="210"/>
        <v>52048.427796127842</v>
      </c>
      <c r="AA628" s="52">
        <f t="shared" si="211"/>
        <v>45241.445882580119</v>
      </c>
      <c r="AB628" s="52">
        <f t="shared" si="212"/>
        <v>-4409.4703069492271</v>
      </c>
      <c r="AC628" s="52">
        <f t="shared" si="213"/>
        <v>-1237.7362446927257</v>
      </c>
      <c r="AD628" s="52">
        <f t="shared" si="197"/>
        <v>-206.17687020654674</v>
      </c>
      <c r="AE628" s="52">
        <f t="shared" si="198"/>
        <v>-219.50310771018115</v>
      </c>
      <c r="AF628" s="52">
        <f t="shared" si="199"/>
        <v>-130.19888916523644</v>
      </c>
      <c r="AG628" s="52">
        <f t="shared" si="200"/>
        <v>-153.32715728400021</v>
      </c>
      <c r="AH628" s="52">
        <f t="shared" si="201"/>
        <v>-24.794776467294128</v>
      </c>
      <c r="AI628" s="52">
        <f t="shared" si="202"/>
        <v>-12.128006117154698</v>
      </c>
      <c r="AJ628" s="52">
        <f t="shared" si="203"/>
        <v>-51.183204574016173</v>
      </c>
      <c r="AK628" s="52">
        <f t="shared" si="204"/>
        <v>-54.047944309026249</v>
      </c>
      <c r="AM628" s="52">
        <f t="shared" si="205"/>
        <v>49512.811084721732</v>
      </c>
      <c r="AN628" s="57">
        <f t="shared" si="206"/>
        <v>80205.582447786452</v>
      </c>
      <c r="AO628" s="57">
        <f t="shared" si="207"/>
        <v>82967.191805157781</v>
      </c>
    </row>
    <row r="629" spans="12:41" x14ac:dyDescent="0.25">
      <c r="L629" s="6">
        <v>626</v>
      </c>
      <c r="M629" s="52">
        <f t="shared" si="193"/>
        <v>19651.217631279367</v>
      </c>
      <c r="N629" s="52">
        <f t="shared" si="194"/>
        <v>2512.1797487008789</v>
      </c>
      <c r="P629" s="6">
        <v>626</v>
      </c>
      <c r="Q629" s="52">
        <f t="shared" si="208"/>
        <v>-20244.147658104444</v>
      </c>
      <c r="R629" s="52">
        <f t="shared" si="209"/>
        <v>6508.5258240906151</v>
      </c>
      <c r="T629" s="6">
        <v>626</v>
      </c>
      <c r="U629" s="52">
        <f t="shared" si="195"/>
        <v>-5348.7823687206337</v>
      </c>
      <c r="V629" s="52">
        <f t="shared" si="196"/>
        <v>-19987.820251299119</v>
      </c>
      <c r="X629" s="6">
        <v>625</v>
      </c>
      <c r="Y629" s="55">
        <v>312.5</v>
      </c>
      <c r="Z629" s="52">
        <f t="shared" si="210"/>
        <v>49817.920533877412</v>
      </c>
      <c r="AA629" s="52">
        <f t="shared" si="211"/>
        <v>44595.139871769985</v>
      </c>
      <c r="AB629" s="52">
        <f t="shared" si="212"/>
        <v>-4512.5587420525007</v>
      </c>
      <c r="AC629" s="52">
        <f t="shared" si="213"/>
        <v>-1347.4877985478163</v>
      </c>
      <c r="AD629" s="52">
        <f t="shared" si="197"/>
        <v>-214.77045445742939</v>
      </c>
      <c r="AE629" s="52">
        <f t="shared" si="198"/>
        <v>-239.29109392094264</v>
      </c>
      <c r="AF629" s="52">
        <f t="shared" si="199"/>
        <v>-135.73310890719105</v>
      </c>
      <c r="AG629" s="52">
        <f t="shared" si="200"/>
        <v>-168.8594834915439</v>
      </c>
      <c r="AH629" s="52">
        <f t="shared" si="201"/>
        <v>-26.187472835339591</v>
      </c>
      <c r="AI629" s="52">
        <f t="shared" si="202"/>
        <v>-12.97602791230592</v>
      </c>
      <c r="AJ629" s="52">
        <f t="shared" si="203"/>
        <v>-52.849872714898744</v>
      </c>
      <c r="AK629" s="52">
        <f t="shared" si="204"/>
        <v>-57.455582517092829</v>
      </c>
      <c r="AM629" s="52">
        <f t="shared" si="205"/>
        <v>47593.673813552232</v>
      </c>
      <c r="AN629" s="57">
        <f t="shared" si="206"/>
        <v>77918.969002561571</v>
      </c>
      <c r="AO629" s="57">
        <f t="shared" si="207"/>
        <v>80972.742994135551</v>
      </c>
    </row>
    <row r="630" spans="12:41" x14ac:dyDescent="0.25">
      <c r="L630" s="6">
        <v>627</v>
      </c>
      <c r="M630" s="52">
        <f t="shared" si="193"/>
        <v>19738.320218785277</v>
      </c>
      <c r="N630" s="52">
        <f t="shared" si="194"/>
        <v>2506.852326227131</v>
      </c>
      <c r="P630" s="6">
        <v>627</v>
      </c>
      <c r="Q630" s="52">
        <f t="shared" si="208"/>
        <v>-20183.175846850307</v>
      </c>
      <c r="R630" s="52">
        <f t="shared" si="209"/>
        <v>6504.7966283589922</v>
      </c>
      <c r="T630" s="6">
        <v>627</v>
      </c>
      <c r="U630" s="52">
        <f t="shared" si="195"/>
        <v>-5261.6797812147224</v>
      </c>
      <c r="V630" s="52">
        <f t="shared" si="196"/>
        <v>-19993.14767377287</v>
      </c>
      <c r="X630" s="6">
        <v>626</v>
      </c>
      <c r="Y630" s="55">
        <v>313</v>
      </c>
      <c r="Z630" s="52">
        <f t="shared" si="210"/>
        <v>47534.794856043984</v>
      </c>
      <c r="AA630" s="52">
        <f t="shared" si="211"/>
        <v>43891.484585755956</v>
      </c>
      <c r="AB630" s="52">
        <f t="shared" si="212"/>
        <v>-4619.9439692812157</v>
      </c>
      <c r="AC630" s="52">
        <f t="shared" si="213"/>
        <v>-1467.1333455082877</v>
      </c>
      <c r="AD630" s="52">
        <f t="shared" si="197"/>
        <v>-223.79776719401943</v>
      </c>
      <c r="AE630" s="52">
        <f t="shared" si="198"/>
        <v>-262.06460735698636</v>
      </c>
      <c r="AF630" s="52">
        <f t="shared" si="199"/>
        <v>-141.39940213782506</v>
      </c>
      <c r="AG630" s="52">
        <f t="shared" si="200"/>
        <v>-186.88115129371528</v>
      </c>
      <c r="AH630" s="52">
        <f t="shared" si="201"/>
        <v>-27.755373746033083</v>
      </c>
      <c r="AI630" s="52">
        <f t="shared" si="202"/>
        <v>-13.928684073012935</v>
      </c>
      <c r="AJ630" s="52">
        <f t="shared" si="203"/>
        <v>-54.642991310161285</v>
      </c>
      <c r="AK630" s="52">
        <f t="shared" si="204"/>
        <v>-61.254771990258128</v>
      </c>
      <c r="AM630" s="52">
        <f t="shared" si="205"/>
        <v>45634.472475528186</v>
      </c>
      <c r="AN630" s="57">
        <f t="shared" si="206"/>
        <v>75561.771046439069</v>
      </c>
      <c r="AO630" s="57">
        <f t="shared" si="207"/>
        <v>78918.385863377596</v>
      </c>
    </row>
    <row r="631" spans="12:41" x14ac:dyDescent="0.25">
      <c r="L631" s="6">
        <v>628</v>
      </c>
      <c r="M631" s="52">
        <f t="shared" si="193"/>
        <v>19825.502516487486</v>
      </c>
      <c r="N631" s="52">
        <f t="shared" si="194"/>
        <v>2503.0458649045213</v>
      </c>
      <c r="P631" s="6">
        <v>628</v>
      </c>
      <c r="Q631" s="52">
        <f t="shared" si="208"/>
        <v>-20122.148238458758</v>
      </c>
      <c r="R631" s="52">
        <f t="shared" si="209"/>
        <v>6502.1321054331656</v>
      </c>
      <c r="T631" s="6">
        <v>628</v>
      </c>
      <c r="U631" s="52">
        <f t="shared" si="195"/>
        <v>-5174.497483512514</v>
      </c>
      <c r="V631" s="52">
        <f t="shared" si="196"/>
        <v>-19996.954135095479</v>
      </c>
      <c r="X631" s="6">
        <v>627</v>
      </c>
      <c r="Y631" s="55">
        <v>313.5</v>
      </c>
      <c r="Z631" s="52">
        <f t="shared" si="210"/>
        <v>45196.84815050412</v>
      </c>
      <c r="AA631" s="52">
        <f t="shared" si="211"/>
        <v>43125.159837082188</v>
      </c>
      <c r="AB631" s="52">
        <f t="shared" si="212"/>
        <v>-4731.8428528782251</v>
      </c>
      <c r="AC631" s="52">
        <f t="shared" si="213"/>
        <v>-1598.1656491867809</v>
      </c>
      <c r="AD631" s="52">
        <f t="shared" si="197"/>
        <v>-233.16690525536077</v>
      </c>
      <c r="AE631" s="52">
        <f t="shared" si="198"/>
        <v>-288.43842486032349</v>
      </c>
      <c r="AF631" s="52">
        <f t="shared" si="199"/>
        <v>-147.05760295200963</v>
      </c>
      <c r="AG631" s="52">
        <f t="shared" si="200"/>
        <v>-207.92087086172702</v>
      </c>
      <c r="AH631" s="52">
        <f t="shared" si="201"/>
        <v>-29.532632167897784</v>
      </c>
      <c r="AI631" s="52">
        <f t="shared" si="202"/>
        <v>-15.004914941793929</v>
      </c>
      <c r="AJ631" s="52">
        <f t="shared" si="203"/>
        <v>-56.576670135453348</v>
      </c>
      <c r="AK631" s="52">
        <f t="shared" si="204"/>
        <v>-65.512639056802499</v>
      </c>
      <c r="AM631" s="52">
        <f t="shared" si="205"/>
        <v>43635.228544574129</v>
      </c>
      <c r="AN631" s="57">
        <f t="shared" si="206"/>
        <v>73129.373188836616</v>
      </c>
      <c r="AO631" s="57">
        <f t="shared" si="207"/>
        <v>76800.115692172767</v>
      </c>
    </row>
    <row r="632" spans="12:41" x14ac:dyDescent="0.25">
      <c r="L632" s="6">
        <v>629</v>
      </c>
      <c r="M632" s="52">
        <f t="shared" si="193"/>
        <v>19912.737967813577</v>
      </c>
      <c r="N632" s="52">
        <f t="shared" si="194"/>
        <v>2500.7615242180436</v>
      </c>
      <c r="P632" s="6">
        <v>629</v>
      </c>
      <c r="Q632" s="52">
        <f t="shared" si="208"/>
        <v>-20061.083422530497</v>
      </c>
      <c r="R632" s="52">
        <f t="shared" si="209"/>
        <v>6500.5330669526302</v>
      </c>
      <c r="T632" s="6">
        <v>629</v>
      </c>
      <c r="U632" s="52">
        <f t="shared" si="195"/>
        <v>-5087.2620321864233</v>
      </c>
      <c r="V632" s="52">
        <f t="shared" si="196"/>
        <v>-19999.238475781956</v>
      </c>
      <c r="X632" s="6">
        <v>628</v>
      </c>
      <c r="Y632" s="55">
        <v>314</v>
      </c>
      <c r="Z632" s="52">
        <f t="shared" si="210"/>
        <v>42801.780860908089</v>
      </c>
      <c r="AA632" s="52">
        <f t="shared" si="211"/>
        <v>42290.022209381263</v>
      </c>
      <c r="AB632" s="52">
        <f t="shared" si="212"/>
        <v>-4848.4263055059055</v>
      </c>
      <c r="AC632" s="52">
        <f t="shared" si="213"/>
        <v>-1742.3848616169425</v>
      </c>
      <c r="AD632" s="52">
        <f t="shared" si="197"/>
        <v>-242.70379088626481</v>
      </c>
      <c r="AE632" s="52">
        <f t="shared" si="198"/>
        <v>-319.17880348816709</v>
      </c>
      <c r="AF632" s="52">
        <f t="shared" si="199"/>
        <v>-152.47399065136455</v>
      </c>
      <c r="AG632" s="52">
        <f t="shared" si="200"/>
        <v>-232.63856246457701</v>
      </c>
      <c r="AH632" s="52">
        <f t="shared" si="201"/>
        <v>-31.562670076067999</v>
      </c>
      <c r="AI632" s="52">
        <f t="shared" si="202"/>
        <v>-16.228191362929962</v>
      </c>
      <c r="AJ632" s="52">
        <f t="shared" si="203"/>
        <v>-58.667130158832272</v>
      </c>
      <c r="AK632" s="52">
        <f t="shared" si="204"/>
        <v>-70.312049660660122</v>
      </c>
      <c r="AM632" s="52">
        <f t="shared" si="205"/>
        <v>41596.476482487262</v>
      </c>
      <c r="AN632" s="57">
        <f t="shared" si="206"/>
        <v>70616.635530049549</v>
      </c>
      <c r="AO632" s="57">
        <f t="shared" si="207"/>
        <v>74613.382835960991</v>
      </c>
    </row>
    <row r="633" spans="12:41" x14ac:dyDescent="0.25">
      <c r="L633" s="6">
        <v>630</v>
      </c>
      <c r="M633" s="52">
        <f t="shared" si="193"/>
        <v>19999.999999999996</v>
      </c>
      <c r="N633" s="52">
        <f t="shared" si="194"/>
        <v>2500</v>
      </c>
      <c r="P633" s="6">
        <v>630</v>
      </c>
      <c r="Q633" s="52">
        <f t="shared" si="208"/>
        <v>-20000</v>
      </c>
      <c r="R633" s="52">
        <f t="shared" si="209"/>
        <v>6500</v>
      </c>
      <c r="T633" s="6">
        <v>630</v>
      </c>
      <c r="U633" s="52">
        <f t="shared" si="195"/>
        <v>-5000.0000000000018</v>
      </c>
      <c r="V633" s="52">
        <f t="shared" si="196"/>
        <v>-20000</v>
      </c>
      <c r="X633" s="6">
        <v>629</v>
      </c>
      <c r="Y633" s="55">
        <v>314.5</v>
      </c>
      <c r="Z633" s="52">
        <f t="shared" si="210"/>
        <v>40347.229734294357</v>
      </c>
      <c r="AA633" s="52">
        <f t="shared" si="211"/>
        <v>41378.932428136774</v>
      </c>
      <c r="AB633" s="52">
        <f t="shared" si="212"/>
        <v>-4969.7782009490375</v>
      </c>
      <c r="AC633" s="52">
        <f t="shared" si="213"/>
        <v>-1901.974263361026</v>
      </c>
      <c r="AD633" s="52">
        <f t="shared" si="197"/>
        <v>-252.10204898399627</v>
      </c>
      <c r="AE633" s="52">
        <f t="shared" si="198"/>
        <v>-355.24077115902861</v>
      </c>
      <c r="AF633" s="52">
        <f t="shared" si="199"/>
        <v>-157.26750086518879</v>
      </c>
      <c r="AG633" s="52">
        <f t="shared" si="200"/>
        <v>-261.85653302834987</v>
      </c>
      <c r="AH633" s="52">
        <f t="shared" si="201"/>
        <v>-33.901457028303454</v>
      </c>
      <c r="AI633" s="52">
        <f t="shared" si="202"/>
        <v>-17.627843630773675</v>
      </c>
      <c r="AJ633" s="52">
        <f t="shared" si="203"/>
        <v>-60.933091090504028</v>
      </c>
      <c r="AK633" s="52">
        <f t="shared" si="204"/>
        <v>-75.756394499905085</v>
      </c>
      <c r="AM633" s="52">
        <f t="shared" si="205"/>
        <v>39519.511893878574</v>
      </c>
      <c r="AN633" s="57">
        <f t="shared" si="206"/>
        <v>68017.832492172776</v>
      </c>
      <c r="AO633" s="57">
        <f t="shared" si="207"/>
        <v>72352.990721263777</v>
      </c>
    </row>
    <row r="634" spans="12:41" x14ac:dyDescent="0.25">
      <c r="L634" s="6">
        <v>631</v>
      </c>
      <c r="M634" s="52">
        <f t="shared" si="193"/>
        <v>20087.26203218642</v>
      </c>
      <c r="N634" s="52">
        <f t="shared" si="194"/>
        <v>2500.7615242180436</v>
      </c>
      <c r="P634" s="6">
        <v>631</v>
      </c>
      <c r="Q634" s="52">
        <f t="shared" si="208"/>
        <v>-19938.916577469507</v>
      </c>
      <c r="R634" s="52">
        <f t="shared" si="209"/>
        <v>6500.5330669526302</v>
      </c>
      <c r="T634" s="6">
        <v>631</v>
      </c>
      <c r="U634" s="52">
        <f t="shared" si="195"/>
        <v>-4912.7379678135812</v>
      </c>
      <c r="V634" s="52">
        <f t="shared" si="196"/>
        <v>-19999.238475781956</v>
      </c>
      <c r="X634" s="6">
        <v>630</v>
      </c>
      <c r="Y634" s="55">
        <v>315</v>
      </c>
      <c r="Z634" s="52">
        <f t="shared" si="210"/>
        <v>37830.827877696844</v>
      </c>
      <c r="AA634" s="52">
        <f t="shared" si="211"/>
        <v>40383.540200061383</v>
      </c>
      <c r="AB634" s="52">
        <f t="shared" si="212"/>
        <v>-5095.8292254410353</v>
      </c>
      <c r="AC634" s="52">
        <f t="shared" si="213"/>
        <v>-2079.5946489405405</v>
      </c>
      <c r="AD634" s="52">
        <f t="shared" si="197"/>
        <v>-260.84298662113019</v>
      </c>
      <c r="AE634" s="52">
        <f t="shared" si="198"/>
        <v>-397.8089341870791</v>
      </c>
      <c r="AF634" s="52">
        <f t="shared" si="199"/>
        <v>-160.82451432614383</v>
      </c>
      <c r="AG634" s="52">
        <f t="shared" si="200"/>
        <v>-296.59191475983204</v>
      </c>
      <c r="AH634" s="52">
        <f t="shared" si="201"/>
        <v>-36.622235400522996</v>
      </c>
      <c r="AI634" s="52">
        <f t="shared" si="202"/>
        <v>-19.240830580207426</v>
      </c>
      <c r="AJ634" s="52">
        <f t="shared" si="203"/>
        <v>-63.396236894463357</v>
      </c>
      <c r="AK634" s="52">
        <f t="shared" si="204"/>
        <v>-81.976188847039637</v>
      </c>
      <c r="AM634" s="52">
        <f t="shared" si="205"/>
        <v>37406.759267451969</v>
      </c>
      <c r="AN634" s="57">
        <f t="shared" si="206"/>
        <v>65326.596177273343</v>
      </c>
      <c r="AO634" s="57">
        <f t="shared" si="207"/>
        <v>70012.972667789989</v>
      </c>
    </row>
    <row r="635" spans="12:41" x14ac:dyDescent="0.25">
      <c r="L635" s="6">
        <v>632</v>
      </c>
      <c r="M635" s="52">
        <f t="shared" si="193"/>
        <v>20174.497483512499</v>
      </c>
      <c r="N635" s="52">
        <f t="shared" si="194"/>
        <v>2503.0458649045213</v>
      </c>
      <c r="P635" s="6">
        <v>632</v>
      </c>
      <c r="Q635" s="52">
        <f t="shared" si="208"/>
        <v>-19877.851761541249</v>
      </c>
      <c r="R635" s="52">
        <f t="shared" si="209"/>
        <v>6502.1321054331647</v>
      </c>
      <c r="T635" s="6">
        <v>632</v>
      </c>
      <c r="U635" s="52">
        <f t="shared" si="195"/>
        <v>-4825.5025164874996</v>
      </c>
      <c r="V635" s="52">
        <f t="shared" si="196"/>
        <v>-19996.954135095479</v>
      </c>
      <c r="X635" s="6">
        <v>631</v>
      </c>
      <c r="Y635" s="55">
        <v>315.5</v>
      </c>
      <c r="Z635" s="52">
        <f t="shared" si="210"/>
        <v>35250.307891648685</v>
      </c>
      <c r="AA635" s="52">
        <f t="shared" si="211"/>
        <v>39294.016758817728</v>
      </c>
      <c r="AB635" s="52">
        <f t="shared" si="212"/>
        <v>-5226.2507187516003</v>
      </c>
      <c r="AC635" s="52">
        <f t="shared" si="213"/>
        <v>-2278.4991160340801</v>
      </c>
      <c r="AD635" s="52">
        <f t="shared" si="197"/>
        <v>-268.06806343813309</v>
      </c>
      <c r="AE635" s="52">
        <f t="shared" si="198"/>
        <v>-448.33342054031982</v>
      </c>
      <c r="AF635" s="52">
        <f t="shared" si="199"/>
        <v>-162.16383094608145</v>
      </c>
      <c r="AG635" s="52">
        <f t="shared" si="200"/>
        <v>-338.08101419363601</v>
      </c>
      <c r="AH635" s="52">
        <f t="shared" si="201"/>
        <v>-39.822462023637648</v>
      </c>
      <c r="AI635" s="52">
        <f t="shared" si="202"/>
        <v>-21.114088127537009</v>
      </c>
      <c r="AJ635" s="52">
        <f t="shared" si="203"/>
        <v>-66.081770468414021</v>
      </c>
      <c r="AK635" s="52">
        <f t="shared" si="204"/>
        <v>-89.138318219146839</v>
      </c>
      <c r="AM635" s="52">
        <f t="shared" si="205"/>
        <v>35262.322561766472</v>
      </c>
      <c r="AN635" s="57">
        <f t="shared" si="206"/>
        <v>62535.877222502211</v>
      </c>
      <c r="AO635" s="57">
        <f t="shared" si="207"/>
        <v>67586.444951478959</v>
      </c>
    </row>
    <row r="636" spans="12:41" x14ac:dyDescent="0.25">
      <c r="L636" s="6">
        <v>633</v>
      </c>
      <c r="M636" s="52">
        <f t="shared" si="193"/>
        <v>20261.67978121472</v>
      </c>
      <c r="N636" s="52">
        <f t="shared" si="194"/>
        <v>2506.852326227131</v>
      </c>
      <c r="P636" s="6">
        <v>633</v>
      </c>
      <c r="Q636" s="52">
        <f t="shared" si="208"/>
        <v>-19816.824153149697</v>
      </c>
      <c r="R636" s="52">
        <f t="shared" si="209"/>
        <v>6504.7966283589922</v>
      </c>
      <c r="T636" s="6">
        <v>633</v>
      </c>
      <c r="U636" s="52">
        <f t="shared" si="195"/>
        <v>-4738.3202187852812</v>
      </c>
      <c r="V636" s="52">
        <f t="shared" si="196"/>
        <v>-19993.14767377287</v>
      </c>
      <c r="X636" s="6">
        <v>632</v>
      </c>
      <c r="Y636" s="55">
        <v>316</v>
      </c>
      <c r="Z636" s="52">
        <f t="shared" si="210"/>
        <v>32603.674024343116</v>
      </c>
      <c r="AA636" s="52">
        <f t="shared" si="211"/>
        <v>38098.725523233144</v>
      </c>
      <c r="AB636" s="52">
        <f t="shared" si="212"/>
        <v>-5360.2847504706669</v>
      </c>
      <c r="AC636" s="52">
        <f t="shared" si="213"/>
        <v>-2502.66582630424</v>
      </c>
      <c r="AD636" s="52">
        <f t="shared" si="197"/>
        <v>-272.37741506523798</v>
      </c>
      <c r="AE636" s="52">
        <f t="shared" si="198"/>
        <v>-508.53906719805116</v>
      </c>
      <c r="AF636" s="52">
        <f t="shared" si="199"/>
        <v>-159.72413821644963</v>
      </c>
      <c r="AG636" s="52">
        <f t="shared" si="200"/>
        <v>-387.77225238295682</v>
      </c>
      <c r="AH636" s="52">
        <f t="shared" si="201"/>
        <v>-43.634214682559538</v>
      </c>
      <c r="AI636" s="52">
        <f t="shared" si="202"/>
        <v>-23.307608157173405</v>
      </c>
      <c r="AJ636" s="52">
        <f t="shared" si="203"/>
        <v>-69.019062166228849</v>
      </c>
      <c r="AK636" s="52">
        <f t="shared" si="204"/>
        <v>-97.459206657920987</v>
      </c>
      <c r="AM636" s="52">
        <f t="shared" si="205"/>
        <v>33092.817990586125</v>
      </c>
      <c r="AN636" s="57">
        <f t="shared" si="206"/>
        <v>59637.94846311654</v>
      </c>
      <c r="AO636" s="57">
        <f t="shared" si="207"/>
        <v>65065.435926617043</v>
      </c>
    </row>
    <row r="637" spans="12:41" x14ac:dyDescent="0.25">
      <c r="L637" s="6">
        <v>634</v>
      </c>
      <c r="M637" s="52">
        <f t="shared" si="193"/>
        <v>20348.782368720629</v>
      </c>
      <c r="N637" s="52">
        <f t="shared" si="194"/>
        <v>2512.1797487008789</v>
      </c>
      <c r="P637" s="6">
        <v>634</v>
      </c>
      <c r="Q637" s="52">
        <f t="shared" si="208"/>
        <v>-19755.852341895559</v>
      </c>
      <c r="R637" s="52">
        <f t="shared" si="209"/>
        <v>6508.5258240906151</v>
      </c>
      <c r="T637" s="6">
        <v>634</v>
      </c>
      <c r="U637" s="52">
        <f t="shared" si="195"/>
        <v>-4651.2176312793708</v>
      </c>
      <c r="V637" s="52">
        <f t="shared" si="196"/>
        <v>-19987.820251299119</v>
      </c>
      <c r="X637" s="6">
        <v>633</v>
      </c>
      <c r="Y637" s="55">
        <v>316.5</v>
      </c>
      <c r="Z637" s="52">
        <f t="shared" si="210"/>
        <v>29889.484472224627</v>
      </c>
      <c r="AA637" s="52">
        <f t="shared" si="211"/>
        <v>36783.825226681271</v>
      </c>
      <c r="AB637" s="52">
        <f t="shared" si="212"/>
        <v>-5496.4734580032855</v>
      </c>
      <c r="AC637" s="52">
        <f t="shared" si="213"/>
        <v>-2756.9353599032656</v>
      </c>
      <c r="AD637" s="52">
        <f t="shared" si="197"/>
        <v>-271.51868762985151</v>
      </c>
      <c r="AE637" s="52">
        <f t="shared" si="198"/>
        <v>-580.3566042658091</v>
      </c>
      <c r="AF637" s="52">
        <f t="shared" si="199"/>
        <v>-151.03618515398307</v>
      </c>
      <c r="AG637" s="52">
        <f t="shared" si="200"/>
        <v>-447.2343590180069</v>
      </c>
      <c r="AH637" s="52">
        <f t="shared" si="201"/>
        <v>-48.240126323676172</v>
      </c>
      <c r="AI637" s="52">
        <f t="shared" si="202"/>
        <v>-25.898345634052511</v>
      </c>
      <c r="AJ637" s="52">
        <f t="shared" si="203"/>
        <v>-72.242376152192278</v>
      </c>
      <c r="AK637" s="52">
        <f t="shared" si="204"/>
        <v>-107.22389961374968</v>
      </c>
      <c r="AM637" s="52">
        <f t="shared" si="205"/>
        <v>30908.644794509939</v>
      </c>
      <c r="AN637" s="57">
        <f t="shared" si="206"/>
        <v>56624.499597592476</v>
      </c>
      <c r="AO637" s="57">
        <f t="shared" si="207"/>
        <v>62440.697320298037</v>
      </c>
    </row>
    <row r="638" spans="12:41" x14ac:dyDescent="0.25">
      <c r="L638" s="6">
        <v>635</v>
      </c>
      <c r="M638" s="52">
        <f t="shared" si="193"/>
        <v>20435.778713738287</v>
      </c>
      <c r="N638" s="52">
        <f t="shared" si="194"/>
        <v>2519.0265095412724</v>
      </c>
      <c r="P638" s="6">
        <v>635</v>
      </c>
      <c r="Q638" s="52">
        <f t="shared" si="208"/>
        <v>-19694.9549003832</v>
      </c>
      <c r="R638" s="52">
        <f t="shared" si="209"/>
        <v>6513.3185566788907</v>
      </c>
      <c r="T638" s="6">
        <v>635</v>
      </c>
      <c r="U638" s="52">
        <f t="shared" si="195"/>
        <v>-4564.2212862617116</v>
      </c>
      <c r="V638" s="52">
        <f t="shared" si="196"/>
        <v>-19980.973490458728</v>
      </c>
      <c r="X638" s="6">
        <v>634</v>
      </c>
      <c r="Y638" s="55">
        <v>317</v>
      </c>
      <c r="Z638" s="52">
        <f t="shared" si="210"/>
        <v>27107.307907269256</v>
      </c>
      <c r="AA638" s="52">
        <f t="shared" si="211"/>
        <v>35332.812971196414</v>
      </c>
      <c r="AB638" s="52">
        <f t="shared" si="212"/>
        <v>-5632.2328018182116</v>
      </c>
      <c r="AC638" s="52">
        <f t="shared" si="213"/>
        <v>-3047.1136620361704</v>
      </c>
      <c r="AD638" s="52">
        <f t="shared" si="197"/>
        <v>-261.93053661558099</v>
      </c>
      <c r="AE638" s="52">
        <f t="shared" si="198"/>
        <v>-665.66436940682536</v>
      </c>
      <c r="AF638" s="52">
        <f t="shared" si="199"/>
        <v>-132.24062388798112</v>
      </c>
      <c r="AG638" s="52">
        <f t="shared" si="200"/>
        <v>-517.86535772623699</v>
      </c>
      <c r="AH638" s="52">
        <f t="shared" si="201"/>
        <v>-53.898310734813812</v>
      </c>
      <c r="AI638" s="52">
        <f t="shared" si="202"/>
        <v>-28.984798451999175</v>
      </c>
      <c r="AJ638" s="52">
        <f t="shared" si="203"/>
        <v>-75.791601992786056</v>
      </c>
      <c r="AK638" s="52">
        <f t="shared" si="204"/>
        <v>-118.81421322858921</v>
      </c>
      <c r="AM638" s="52">
        <f t="shared" si="205"/>
        <v>28725.93433777797</v>
      </c>
      <c r="AN638" s="57">
        <f t="shared" si="206"/>
        <v>53486.913084453568</v>
      </c>
      <c r="AO638" s="57">
        <f t="shared" si="207"/>
        <v>59701.518260808356</v>
      </c>
    </row>
    <row r="639" spans="12:41" x14ac:dyDescent="0.25">
      <c r="L639" s="6">
        <v>636</v>
      </c>
      <c r="M639" s="52">
        <f t="shared" si="193"/>
        <v>20522.642316338268</v>
      </c>
      <c r="N639" s="52">
        <f t="shared" si="194"/>
        <v>2527.3905231586332</v>
      </c>
      <c r="P639" s="6">
        <v>636</v>
      </c>
      <c r="Q639" s="52">
        <f t="shared" si="208"/>
        <v>-19634.150378563212</v>
      </c>
      <c r="R639" s="52">
        <f t="shared" si="209"/>
        <v>6519.1733662110437</v>
      </c>
      <c r="T639" s="6">
        <v>636</v>
      </c>
      <c r="U639" s="52">
        <f t="shared" si="195"/>
        <v>-4477.3576836617322</v>
      </c>
      <c r="V639" s="52">
        <f t="shared" si="196"/>
        <v>-19972.609476841368</v>
      </c>
      <c r="X639" s="6">
        <v>635</v>
      </c>
      <c r="Y639" s="55">
        <v>317.5</v>
      </c>
      <c r="Z639" s="52">
        <f t="shared" si="210"/>
        <v>24258.450189283205</v>
      </c>
      <c r="AA639" s="52">
        <f t="shared" si="211"/>
        <v>33726.048094002479</v>
      </c>
      <c r="AB639" s="52">
        <f t="shared" si="212"/>
        <v>-5763.1980701260018</v>
      </c>
      <c r="AC639" s="52">
        <f t="shared" si="213"/>
        <v>-3379.945846739583</v>
      </c>
      <c r="AD639" s="52">
        <f t="shared" si="197"/>
        <v>-238.14813338242277</v>
      </c>
      <c r="AE639" s="52">
        <f t="shared" si="198"/>
        <v>-765.61660029876464</v>
      </c>
      <c r="AF639" s="52">
        <f t="shared" si="199"/>
        <v>-97.453205822694187</v>
      </c>
      <c r="AG639" s="52">
        <f t="shared" si="200"/>
        <v>-600.17432380743719</v>
      </c>
      <c r="AH639" s="52">
        <f t="shared" si="201"/>
        <v>-60.982157222537211</v>
      </c>
      <c r="AI639" s="52">
        <f t="shared" si="202"/>
        <v>-32.691284691398529</v>
      </c>
      <c r="AJ639" s="52">
        <f t="shared" si="203"/>
        <v>-79.712770337191401</v>
      </c>
      <c r="AK639" s="52">
        <f t="shared" si="204"/>
        <v>-132.7509917999289</v>
      </c>
      <c r="AM639" s="52">
        <f t="shared" si="205"/>
        <v>26569.531359125194</v>
      </c>
      <c r="AN639" s="57">
        <f t="shared" si="206"/>
        <v>50216.887312100313</v>
      </c>
      <c r="AO639" s="57">
        <f t="shared" si="207"/>
        <v>56835.593340245941</v>
      </c>
    </row>
    <row r="640" spans="12:41" x14ac:dyDescent="0.25">
      <c r="L640" s="6">
        <v>637</v>
      </c>
      <c r="M640" s="52">
        <f t="shared" si="193"/>
        <v>20609.346717025732</v>
      </c>
      <c r="N640" s="52">
        <f t="shared" si="194"/>
        <v>2537.2692417933895</v>
      </c>
      <c r="P640" s="6">
        <v>637</v>
      </c>
      <c r="Q640" s="52">
        <f t="shared" si="208"/>
        <v>-19573.457298081987</v>
      </c>
      <c r="R640" s="52">
        <f t="shared" si="209"/>
        <v>6526.0884692553727</v>
      </c>
      <c r="T640" s="6">
        <v>637</v>
      </c>
      <c r="U640" s="52">
        <f t="shared" si="195"/>
        <v>-4390.6532829742673</v>
      </c>
      <c r="V640" s="52">
        <f t="shared" si="196"/>
        <v>-19962.73075820661</v>
      </c>
      <c r="X640" s="6">
        <v>636</v>
      </c>
      <c r="Y640" s="55">
        <v>318</v>
      </c>
      <c r="Z640" s="52">
        <f t="shared" si="210"/>
        <v>21347.082637547399</v>
      </c>
      <c r="AA640" s="52">
        <f t="shared" si="211"/>
        <v>31940.373095595343</v>
      </c>
      <c r="AB640" s="52">
        <f t="shared" si="212"/>
        <v>-5882.2721368172133</v>
      </c>
      <c r="AC640" s="52">
        <f t="shared" si="213"/>
        <v>-3762.7541468889654</v>
      </c>
      <c r="AD640" s="52">
        <f t="shared" si="197"/>
        <v>-192.25674541329818</v>
      </c>
      <c r="AE640" s="52">
        <f t="shared" si="198"/>
        <v>-879.16319893613536</v>
      </c>
      <c r="AF640" s="52">
        <f t="shared" si="199"/>
        <v>-38.154046816604222</v>
      </c>
      <c r="AG640" s="52">
        <f t="shared" si="200"/>
        <v>-692.2360316382651</v>
      </c>
      <c r="AH640" s="52">
        <f t="shared" si="201"/>
        <v>-70.044955996313476</v>
      </c>
      <c r="AI640" s="52">
        <f t="shared" si="202"/>
        <v>-37.168582883961257</v>
      </c>
      <c r="AJ640" s="52">
        <f t="shared" si="203"/>
        <v>-84.057742600380465</v>
      </c>
      <c r="AK640" s="52">
        <f t="shared" si="204"/>
        <v>-149.75858441390898</v>
      </c>
      <c r="AM640" s="52">
        <f t="shared" si="205"/>
        <v>24477.468592243815</v>
      </c>
      <c r="AN640" s="57">
        <f t="shared" si="206"/>
        <v>46807.704645817626</v>
      </c>
      <c r="AO640" s="57">
        <f t="shared" si="207"/>
        <v>53829.057114753945</v>
      </c>
    </row>
    <row r="641" spans="12:41" x14ac:dyDescent="0.25">
      <c r="L641" s="6">
        <v>638</v>
      </c>
      <c r="M641" s="52">
        <f t="shared" si="193"/>
        <v>20695.865504800327</v>
      </c>
      <c r="N641" s="52">
        <f t="shared" si="194"/>
        <v>2548.6596562921486</v>
      </c>
      <c r="P641" s="6">
        <v>638</v>
      </c>
      <c r="Q641" s="52">
        <f t="shared" si="208"/>
        <v>-19512.89414663977</v>
      </c>
      <c r="R641" s="52">
        <f t="shared" si="209"/>
        <v>6534.0617594045034</v>
      </c>
      <c r="T641" s="6">
        <v>638</v>
      </c>
      <c r="U641" s="52">
        <f t="shared" si="195"/>
        <v>-4304.1344951996743</v>
      </c>
      <c r="V641" s="52">
        <f t="shared" si="196"/>
        <v>-19951.340343707852</v>
      </c>
      <c r="X641" s="6">
        <v>637</v>
      </c>
      <c r="Y641" s="55">
        <v>318.5</v>
      </c>
      <c r="Z641" s="52">
        <f t="shared" si="210"/>
        <v>18381.91447596213</v>
      </c>
      <c r="AA641" s="52">
        <f t="shared" si="211"/>
        <v>29949.10062228384</v>
      </c>
      <c r="AB641" s="52">
        <f t="shared" si="212"/>
        <v>-5978.4005095238626</v>
      </c>
      <c r="AC641" s="52">
        <f t="shared" si="213"/>
        <v>-4202.3357463570328</v>
      </c>
      <c r="AD641" s="52">
        <f t="shared" si="197"/>
        <v>-114.0961982735802</v>
      </c>
      <c r="AE641" s="52">
        <f t="shared" si="198"/>
        <v>-1000.2470601738795</v>
      </c>
      <c r="AF641" s="52">
        <f t="shared" si="199"/>
        <v>56.711041288708387</v>
      </c>
      <c r="AG641" s="52">
        <f t="shared" si="200"/>
        <v>-786.80134848973046</v>
      </c>
      <c r="AH641" s="52">
        <f t="shared" si="201"/>
        <v>-81.925805607246318</v>
      </c>
      <c r="AI641" s="52">
        <f t="shared" si="202"/>
        <v>-42.581152137269825</v>
      </c>
      <c r="AJ641" s="52">
        <f t="shared" si="203"/>
        <v>-88.881433955042269</v>
      </c>
      <c r="AK641" s="52">
        <f t="shared" si="204"/>
        <v>-170.86455954687929</v>
      </c>
      <c r="AM641" s="52">
        <f t="shared" si="205"/>
        <v>22507.339236625143</v>
      </c>
      <c r="AN641" s="57">
        <f t="shared" si="206"/>
        <v>43256.652372531978</v>
      </c>
      <c r="AO641" s="57">
        <f t="shared" si="207"/>
        <v>50666.908049666941</v>
      </c>
    </row>
    <row r="642" spans="12:41" x14ac:dyDescent="0.25">
      <c r="L642" s="6">
        <v>639</v>
      </c>
      <c r="M642" s="52">
        <f t="shared" si="193"/>
        <v>20782.172325201147</v>
      </c>
      <c r="N642" s="52">
        <f t="shared" si="194"/>
        <v>2561.5582970243104</v>
      </c>
      <c r="P642" s="6">
        <v>639</v>
      </c>
      <c r="Q642" s="52">
        <f t="shared" si="208"/>
        <v>-19452.479372359197</v>
      </c>
      <c r="R642" s="52">
        <f t="shared" si="209"/>
        <v>6543.0908079170176</v>
      </c>
      <c r="T642" s="6">
        <v>639</v>
      </c>
      <c r="U642" s="52">
        <f t="shared" si="195"/>
        <v>-4217.8276747988521</v>
      </c>
      <c r="V642" s="52">
        <f t="shared" si="196"/>
        <v>-19938.441702975688</v>
      </c>
      <c r="X642" s="6">
        <v>638</v>
      </c>
      <c r="Y642" s="55">
        <v>319</v>
      </c>
      <c r="Z642" s="52">
        <f t="shared" si="210"/>
        <v>15378.452196416003</v>
      </c>
      <c r="AA642" s="52">
        <f t="shared" si="211"/>
        <v>27722.901866583587</v>
      </c>
      <c r="AB642" s="52">
        <f t="shared" si="212"/>
        <v>-6035.448608660653</v>
      </c>
      <c r="AC642" s="52">
        <f t="shared" si="213"/>
        <v>-4702.4592764439722</v>
      </c>
      <c r="AD642" s="52">
        <f t="shared" si="197"/>
        <v>5.9867235152737095</v>
      </c>
      <c r="AE642" s="52">
        <f t="shared" si="198"/>
        <v>-1113.6303724973245</v>
      </c>
      <c r="AF642" s="52">
        <f t="shared" si="199"/>
        <v>198.14064816545238</v>
      </c>
      <c r="AG642" s="52">
        <f t="shared" si="200"/>
        <v>-867.02097520744201</v>
      </c>
      <c r="AH642" s="52">
        <f t="shared" si="201"/>
        <v>-97.921763601430001</v>
      </c>
      <c r="AI642" s="52">
        <f t="shared" si="202"/>
        <v>-49.05409081425983</v>
      </c>
      <c r="AJ642" s="52">
        <f t="shared" si="203"/>
        <v>-94.232161048748665</v>
      </c>
      <c r="AK642" s="52">
        <f t="shared" si="204"/>
        <v>-197.5553064756227</v>
      </c>
      <c r="AM642" s="52">
        <f t="shared" si="205"/>
        <v>20744.263399944623</v>
      </c>
      <c r="AN642" s="57">
        <f t="shared" si="206"/>
        <v>39569.383750402834</v>
      </c>
      <c r="AO642" s="57">
        <f t="shared" si="207"/>
        <v>47334.212339737351</v>
      </c>
    </row>
    <row r="643" spans="12:41" x14ac:dyDescent="0.25">
      <c r="L643" s="6">
        <v>640</v>
      </c>
      <c r="M643" s="52">
        <f t="shared" si="193"/>
        <v>20868.240888334647</v>
      </c>
      <c r="N643" s="52">
        <f t="shared" si="194"/>
        <v>2575.961234938959</v>
      </c>
      <c r="P643" s="6">
        <v>640</v>
      </c>
      <c r="Q643" s="52">
        <f t="shared" si="208"/>
        <v>-19392.231378165747</v>
      </c>
      <c r="R643" s="52">
        <f t="shared" si="209"/>
        <v>6553.1728644572713</v>
      </c>
      <c r="T643" s="6">
        <v>640</v>
      </c>
      <c r="U643" s="52">
        <f t="shared" si="195"/>
        <v>-4131.7591116653512</v>
      </c>
      <c r="V643" s="52">
        <f t="shared" si="196"/>
        <v>-19924.038765061043</v>
      </c>
      <c r="X643" s="6">
        <v>639</v>
      </c>
      <c r="Y643" s="55">
        <v>319.5</v>
      </c>
      <c r="Z643" s="52">
        <f t="shared" si="210"/>
        <v>12361.476232525087</v>
      </c>
      <c r="AA643" s="52">
        <f t="shared" si="211"/>
        <v>25232.468431799436</v>
      </c>
      <c r="AB643" s="52">
        <f t="shared" si="212"/>
        <v>-6032.4552469030159</v>
      </c>
      <c r="AC643" s="52">
        <f t="shared" si="213"/>
        <v>-5259.2744626926342</v>
      </c>
      <c r="AD643" s="52">
        <f t="shared" si="197"/>
        <v>168.87509855956665</v>
      </c>
      <c r="AE643" s="52">
        <f t="shared" si="198"/>
        <v>-1191.6979756418714</v>
      </c>
      <c r="AF643" s="52">
        <f t="shared" si="199"/>
        <v>389.05329940498353</v>
      </c>
      <c r="AG643" s="52">
        <f t="shared" si="200"/>
        <v>-903.16866975814412</v>
      </c>
      <c r="AH643" s="52">
        <f t="shared" si="201"/>
        <v>-120.05496460912806</v>
      </c>
      <c r="AI643" s="52">
        <f t="shared" si="202"/>
        <v>-56.509580877876111</v>
      </c>
      <c r="AJ643" s="52">
        <f t="shared" si="203"/>
        <v>-100.12323623628886</v>
      </c>
      <c r="AK643" s="52">
        <f t="shared" si="204"/>
        <v>-232.01972500585106</v>
      </c>
      <c r="AM643" s="52">
        <f t="shared" si="205"/>
        <v>19307.70525026324</v>
      </c>
      <c r="AN643" s="57">
        <f t="shared" si="206"/>
        <v>35767.208983565557</v>
      </c>
      <c r="AO643" s="57">
        <f t="shared" si="207"/>
        <v>43818.630433735285</v>
      </c>
    </row>
    <row r="644" spans="12:41" x14ac:dyDescent="0.25">
      <c r="L644" s="6">
        <v>641</v>
      </c>
      <c r="M644" s="52">
        <f t="shared" si="193"/>
        <v>20954.044976882724</v>
      </c>
      <c r="N644" s="52">
        <f t="shared" si="194"/>
        <v>2591.86408276168</v>
      </c>
      <c r="P644" s="6">
        <v>641</v>
      </c>
      <c r="Q644" s="52">
        <f t="shared" si="208"/>
        <v>-19332.168516182093</v>
      </c>
      <c r="R644" s="52">
        <f t="shared" si="209"/>
        <v>6564.3048579331762</v>
      </c>
      <c r="T644" s="6">
        <v>641</v>
      </c>
      <c r="U644" s="52">
        <f t="shared" si="195"/>
        <v>-4045.9550231172757</v>
      </c>
      <c r="V644" s="52">
        <f t="shared" si="196"/>
        <v>-19908.13591723832</v>
      </c>
      <c r="X644" s="6">
        <v>640</v>
      </c>
      <c r="Y644" s="55">
        <v>320</v>
      </c>
      <c r="Z644" s="52">
        <f t="shared" si="210"/>
        <v>9366.3579963935244</v>
      </c>
      <c r="AA644" s="52">
        <f t="shared" si="211"/>
        <v>22453.868953497884</v>
      </c>
      <c r="AB644" s="52">
        <f t="shared" si="212"/>
        <v>-5948.0176976232324</v>
      </c>
      <c r="AC644" s="52">
        <f t="shared" si="213"/>
        <v>-5855.1234505135699</v>
      </c>
      <c r="AD644" s="52">
        <f t="shared" si="197"/>
        <v>352.23821964517253</v>
      </c>
      <c r="AE644" s="52">
        <f t="shared" si="198"/>
        <v>-1199.7531909541372</v>
      </c>
      <c r="AF644" s="52">
        <f t="shared" si="199"/>
        <v>610.12244160196917</v>
      </c>
      <c r="AG644" s="52">
        <f t="shared" si="200"/>
        <v>-858.00246370995455</v>
      </c>
      <c r="AH644" s="52">
        <f t="shared" si="201"/>
        <v>-151.43024948991652</v>
      </c>
      <c r="AI644" s="52">
        <f t="shared" si="202"/>
        <v>-64.219488265263138</v>
      </c>
      <c r="AJ644" s="52">
        <f t="shared" si="203"/>
        <v>-106.45397246688013</v>
      </c>
      <c r="AK644" s="52">
        <f t="shared" si="204"/>
        <v>-277.53123897891936</v>
      </c>
      <c r="AM644" s="52">
        <f t="shared" si="205"/>
        <v>18349.183604162117</v>
      </c>
      <c r="AN644" s="57">
        <f t="shared" si="206"/>
        <v>31897.99106343916</v>
      </c>
      <c r="AO644" s="57">
        <f t="shared" si="207"/>
        <v>40114.642484588258</v>
      </c>
    </row>
    <row r="645" spans="12:41" x14ac:dyDescent="0.25">
      <c r="L645" s="6">
        <v>642</v>
      </c>
      <c r="M645" s="52">
        <f t="shared" ref="M645:M708" si="214">$G$20*COS(L645*PI()/180)+$G$19</f>
        <v>21039.55845408879</v>
      </c>
      <c r="N645" s="52">
        <f t="shared" ref="N645:N708" si="215">$G$20*SIN(L645*PI()/180)+$H$19</f>
        <v>2609.2619963309708</v>
      </c>
      <c r="P645" s="6">
        <v>642</v>
      </c>
      <c r="Q645" s="52">
        <f t="shared" si="208"/>
        <v>-19272.309082137846</v>
      </c>
      <c r="R645" s="52">
        <f t="shared" si="209"/>
        <v>6576.4833974316798</v>
      </c>
      <c r="T645" s="6">
        <v>642</v>
      </c>
      <c r="U645" s="52">
        <f t="shared" ref="U645:U708" si="216">$G$40*COS(T645*PI()/180)+$G$39</f>
        <v>-3960.4415459112083</v>
      </c>
      <c r="V645" s="52">
        <f t="shared" ref="V645:V708" si="217">$G$40*SIN(T645*PI()/180)+$H$39</f>
        <v>-19890.73800366903</v>
      </c>
      <c r="X645" s="6">
        <v>641</v>
      </c>
      <c r="Y645" s="55">
        <v>320.5</v>
      </c>
      <c r="Z645" s="52">
        <f t="shared" si="210"/>
        <v>6436.3789250375548</v>
      </c>
      <c r="AA645" s="52">
        <f t="shared" si="211"/>
        <v>19376.338079371832</v>
      </c>
      <c r="AB645" s="52">
        <f t="shared" si="212"/>
        <v>-5771.8985878006461</v>
      </c>
      <c r="AC645" s="52">
        <f t="shared" si="213"/>
        <v>-6455.0000459906387</v>
      </c>
      <c r="AD645" s="52">
        <f t="shared" ref="AD645:AD708" si="218">AF645+AH645+AJ645</f>
        <v>501.22858492334865</v>
      </c>
      <c r="AE645" s="52">
        <f t="shared" ref="AE645:AE708" si="219">AG645+AI645+AK645</f>
        <v>-1118.4307759717674</v>
      </c>
      <c r="AF645" s="52">
        <f t="shared" ref="AF645:AF708" si="220">(($G$19-Z645)/(AM645^2+$G$24^2)^(3/2))*$G$23</f>
        <v>810.51566227522926</v>
      </c>
      <c r="AG645" s="52">
        <f t="shared" ref="AG645:AG708" si="221">(($H$19-AA645)/(AM645^2+$G$24^2)^(3/2))*$G$23</f>
        <v>-709.68939419691333</v>
      </c>
      <c r="AH645" s="52">
        <f t="shared" ref="AH645:AH708" si="222">(($G$29-Z645)/(AN645^2+$G$34^2)^(3/2))*$G$33</f>
        <v>-196.4910796095412</v>
      </c>
      <c r="AI645" s="52">
        <f t="shared" ref="AI645:AI708" si="223">(($H$29-AA645)/(AN645^2+$G$34^2)^(3/2))*$G$33</f>
        <v>-69.690588004658281</v>
      </c>
      <c r="AJ645" s="52">
        <f t="shared" ref="AJ645:AJ708" si="224">(($G$39-Z645)/(AO645^2+$G$44^2)^(3/2))*$G$43</f>
        <v>-112.79599774233944</v>
      </c>
      <c r="AK645" s="52">
        <f t="shared" ref="AK645:AK708" si="225">(($H$39-AA645)/(AO645^2+$G$44^2)^(3/2))*$G$43</f>
        <v>-339.05079377019587</v>
      </c>
      <c r="AM645" s="52">
        <f t="shared" ref="AM645:AM708" si="226">SQRT(($G$19-Z645)^2+($H$19-AA645)^2)</f>
        <v>18028.289515112152</v>
      </c>
      <c r="AN645" s="57">
        <f t="shared" ref="AN645:AN708" si="227">SQRT(($G$29-Z645)^2+($H$29-AA645)^2)</f>
        <v>28049.917048840773</v>
      </c>
      <c r="AO645" s="57">
        <f t="shared" ref="AO645:AO708" si="228">SQRT(($G$39-Z645)^2+($H$39-AA645)^2)</f>
        <v>36228.764575462868</v>
      </c>
    </row>
    <row r="646" spans="12:41" x14ac:dyDescent="0.25">
      <c r="L646" s="6">
        <v>643</v>
      </c>
      <c r="M646" s="52">
        <f t="shared" si="214"/>
        <v>21124.755271719325</v>
      </c>
      <c r="N646" s="52">
        <f t="shared" si="215"/>
        <v>2628.1496760738228</v>
      </c>
      <c r="P646" s="6">
        <v>643</v>
      </c>
      <c r="Q646" s="52">
        <f t="shared" ref="Q646:Q709" si="229">$G$30*COS(P646*PI()/180)+$G$29</f>
        <v>-19212.671309796475</v>
      </c>
      <c r="R646" s="52">
        <f t="shared" ref="R646:R709" si="230">$G$30*SIN(P646*PI()/180)+$H$29</f>
        <v>6589.7047732516767</v>
      </c>
      <c r="T646" s="6">
        <v>643</v>
      </c>
      <c r="U646" s="52">
        <f t="shared" si="216"/>
        <v>-3875.2447282806766</v>
      </c>
      <c r="V646" s="52">
        <f t="shared" si="217"/>
        <v>-19871.850323926177</v>
      </c>
      <c r="X646" s="6">
        <v>642</v>
      </c>
      <c r="Y646" s="55">
        <v>321</v>
      </c>
      <c r="Z646" s="52">
        <f t="shared" ref="Z646:Z709" si="231">Z645+AB645*$G$4+((1/2)*AD645)*$G$4^2</f>
        <v>3613.0832042526504</v>
      </c>
      <c r="AA646" s="52">
        <f t="shared" ref="AA646:AA709" si="232">AA645+AC645*$G$4+((1/2)*AE645)*$G$4^2</f>
        <v>16009.034209380043</v>
      </c>
      <c r="AB646" s="52">
        <f t="shared" ref="AB646:AB709" si="233">AB645+AD645*$G$4</f>
        <v>-5521.2842953389718</v>
      </c>
      <c r="AC646" s="52">
        <f t="shared" ref="AC646:AC709" si="234">AC645+AE645*$G$4</f>
        <v>-7014.215433976522</v>
      </c>
      <c r="AD646" s="52">
        <f t="shared" si="218"/>
        <v>548.58167906184849</v>
      </c>
      <c r="AE646" s="52">
        <f t="shared" si="219"/>
        <v>-971.6225500682815</v>
      </c>
      <c r="AF646" s="52">
        <f t="shared" si="220"/>
        <v>926.68993642462863</v>
      </c>
      <c r="AG646" s="52">
        <f t="shared" si="221"/>
        <v>-481.19096891806504</v>
      </c>
      <c r="AH646" s="52">
        <f t="shared" si="222"/>
        <v>-260.2837093701196</v>
      </c>
      <c r="AI646" s="52">
        <f t="shared" si="223"/>
        <v>-66.236742581235632</v>
      </c>
      <c r="AJ646" s="52">
        <f t="shared" si="224"/>
        <v>-117.82454799266058</v>
      </c>
      <c r="AK646" s="52">
        <f t="shared" si="225"/>
        <v>-424.19483856898074</v>
      </c>
      <c r="AM646" s="52">
        <f t="shared" si="226"/>
        <v>18464.417273424755</v>
      </c>
      <c r="AN646" s="57">
        <f t="shared" si="227"/>
        <v>24365.676484359268</v>
      </c>
      <c r="AO646" s="57">
        <f t="shared" si="228"/>
        <v>32182.998693128036</v>
      </c>
    </row>
    <row r="647" spans="12:41" x14ac:dyDescent="0.25">
      <c r="L647" s="6">
        <v>644</v>
      </c>
      <c r="M647" s="52">
        <f t="shared" si="214"/>
        <v>21209.609477998332</v>
      </c>
      <c r="N647" s="52">
        <f t="shared" si="215"/>
        <v>2648.5213686200159</v>
      </c>
      <c r="P647" s="6">
        <v>644</v>
      </c>
      <c r="Q647" s="52">
        <f t="shared" si="229"/>
        <v>-19153.273365401168</v>
      </c>
      <c r="R647" s="52">
        <f t="shared" si="230"/>
        <v>6603.964958034011</v>
      </c>
      <c r="T647" s="6">
        <v>644</v>
      </c>
      <c r="U647" s="52">
        <f t="shared" si="216"/>
        <v>-3790.3905220016686</v>
      </c>
      <c r="V647" s="52">
        <f t="shared" si="217"/>
        <v>-19851.478631379985</v>
      </c>
      <c r="X647" s="6">
        <v>643</v>
      </c>
      <c r="Y647" s="55">
        <v>321.5</v>
      </c>
      <c r="Z647" s="52">
        <f t="shared" si="231"/>
        <v>921.01376646589551</v>
      </c>
      <c r="AA647" s="52">
        <f t="shared" si="232"/>
        <v>12380.473673633247</v>
      </c>
      <c r="AB647" s="52">
        <f t="shared" si="233"/>
        <v>-5246.9934558080477</v>
      </c>
      <c r="AC647" s="52">
        <f t="shared" si="234"/>
        <v>-7500.0267090106627</v>
      </c>
      <c r="AD647" s="52">
        <f t="shared" si="218"/>
        <v>465.4365795447145</v>
      </c>
      <c r="AE647" s="52">
        <f t="shared" si="219"/>
        <v>-821.06943271960427</v>
      </c>
      <c r="AF647" s="52">
        <f t="shared" si="220"/>
        <v>927.16176783920605</v>
      </c>
      <c r="AG647" s="52">
        <f t="shared" si="221"/>
        <v>-237.17133309657601</v>
      </c>
      <c r="AH647" s="52">
        <f t="shared" si="222"/>
        <v>-343.9199066290073</v>
      </c>
      <c r="AI647" s="52">
        <f t="shared" si="223"/>
        <v>-39.132534049618144</v>
      </c>
      <c r="AJ647" s="52">
        <f t="shared" si="224"/>
        <v>-117.80528166548427</v>
      </c>
      <c r="AK647" s="52">
        <f t="shared" si="225"/>
        <v>-544.76556557341019</v>
      </c>
      <c r="AM647" s="52">
        <f t="shared" si="226"/>
        <v>19693.317114656209</v>
      </c>
      <c r="AN647" s="57">
        <f t="shared" si="227"/>
        <v>21056.007977000681</v>
      </c>
      <c r="AO647" s="57">
        <f t="shared" si="228"/>
        <v>28013.367213086007</v>
      </c>
    </row>
    <row r="648" spans="12:41" x14ac:dyDescent="0.25">
      <c r="L648" s="6">
        <v>645</v>
      </c>
      <c r="M648" s="52">
        <f t="shared" si="214"/>
        <v>21294.095225512599</v>
      </c>
      <c r="N648" s="52">
        <f t="shared" si="215"/>
        <v>2670.370868554658</v>
      </c>
      <c r="P648" s="6">
        <v>645</v>
      </c>
      <c r="Q648" s="52">
        <f t="shared" si="229"/>
        <v>-19094.13334214118</v>
      </c>
      <c r="R648" s="52">
        <f t="shared" si="230"/>
        <v>6619.2596079882605</v>
      </c>
      <c r="T648" s="6">
        <v>645</v>
      </c>
      <c r="U648" s="52">
        <f t="shared" si="216"/>
        <v>-3705.9047744873997</v>
      </c>
      <c r="V648" s="52">
        <f t="shared" si="217"/>
        <v>-19829.629131445341</v>
      </c>
      <c r="X648" s="6">
        <v>644</v>
      </c>
      <c r="Y648" s="55">
        <v>322</v>
      </c>
      <c r="Z648" s="52">
        <f t="shared" si="231"/>
        <v>-1644.3033889950391</v>
      </c>
      <c r="AA648" s="52">
        <f t="shared" si="232"/>
        <v>8527.8266400379653</v>
      </c>
      <c r="AB648" s="52">
        <f t="shared" si="233"/>
        <v>-5014.2751660356907</v>
      </c>
      <c r="AC648" s="52">
        <f t="shared" si="234"/>
        <v>-7910.5614253704643</v>
      </c>
      <c r="AD648" s="52">
        <f t="shared" si="218"/>
        <v>300.13346096047235</v>
      </c>
      <c r="AE648" s="52">
        <f t="shared" si="219"/>
        <v>-723.67650606998723</v>
      </c>
      <c r="AF648" s="52">
        <f t="shared" si="220"/>
        <v>833.80539299032841</v>
      </c>
      <c r="AG648" s="52">
        <f t="shared" si="221"/>
        <v>-39.595055572845396</v>
      </c>
      <c r="AH648" s="52">
        <f t="shared" si="222"/>
        <v>-431.17146176379657</v>
      </c>
      <c r="AI648" s="52">
        <f t="shared" si="223"/>
        <v>34.581043315130159</v>
      </c>
      <c r="AJ648" s="52">
        <f t="shared" si="224"/>
        <v>-102.50047026605952</v>
      </c>
      <c r="AK648" s="52">
        <f t="shared" si="225"/>
        <v>-718.66249381227203</v>
      </c>
      <c r="AM648" s="52">
        <f t="shared" si="226"/>
        <v>21668.693933803068</v>
      </c>
      <c r="AN648" s="57">
        <f t="shared" si="227"/>
        <v>18414.637994732369</v>
      </c>
      <c r="AO648" s="57">
        <f t="shared" si="228"/>
        <v>23765.927841108798</v>
      </c>
    </row>
    <row r="649" spans="12:41" x14ac:dyDescent="0.25">
      <c r="L649" s="6">
        <v>646</v>
      </c>
      <c r="M649" s="52">
        <f t="shared" si="214"/>
        <v>21378.186779084997</v>
      </c>
      <c r="N649" s="52">
        <f t="shared" si="215"/>
        <v>2693.6915203084054</v>
      </c>
      <c r="P649" s="6">
        <v>646</v>
      </c>
      <c r="Q649" s="52">
        <f t="shared" si="229"/>
        <v>-19035.269254640501</v>
      </c>
      <c r="R649" s="52">
        <f t="shared" si="230"/>
        <v>6635.5840642158837</v>
      </c>
      <c r="T649" s="6">
        <v>646</v>
      </c>
      <c r="U649" s="52">
        <f t="shared" si="216"/>
        <v>-3621.8132209150044</v>
      </c>
      <c r="V649" s="52">
        <f t="shared" si="217"/>
        <v>-19806.308479691594</v>
      </c>
      <c r="X649" s="6">
        <v>645</v>
      </c>
      <c r="Y649" s="55">
        <v>322.5</v>
      </c>
      <c r="Z649" s="52">
        <f t="shared" si="231"/>
        <v>-4113.9242893928249</v>
      </c>
      <c r="AA649" s="52">
        <f t="shared" si="232"/>
        <v>4482.0863640939842</v>
      </c>
      <c r="AB649" s="52">
        <f t="shared" si="233"/>
        <v>-4864.2084355554543</v>
      </c>
      <c r="AC649" s="52">
        <f t="shared" si="234"/>
        <v>-8272.399678405458</v>
      </c>
      <c r="AD649" s="52">
        <f t="shared" si="218"/>
        <v>179.62721716990251</v>
      </c>
      <c r="AE649" s="52">
        <f t="shared" si="219"/>
        <v>-717.95478911642522</v>
      </c>
      <c r="AF649" s="52">
        <f t="shared" si="220"/>
        <v>695.72385013594101</v>
      </c>
      <c r="AG649" s="52">
        <f t="shared" si="221"/>
        <v>87.071455850670972</v>
      </c>
      <c r="AH649" s="52">
        <f t="shared" si="222"/>
        <v>-472.02586310363711</v>
      </c>
      <c r="AI649" s="52">
        <f t="shared" si="223"/>
        <v>163.95477359967308</v>
      </c>
      <c r="AJ649" s="52">
        <f t="shared" si="224"/>
        <v>-44.070769862401391</v>
      </c>
      <c r="AK649" s="52">
        <f t="shared" si="225"/>
        <v>-968.98101856676919</v>
      </c>
      <c r="AM649" s="52">
        <f t="shared" si="226"/>
        <v>24302.039983268001</v>
      </c>
      <c r="AN649" s="57">
        <f t="shared" si="227"/>
        <v>16817.097620471282</v>
      </c>
      <c r="AO649" s="57">
        <f t="shared" si="228"/>
        <v>19502.226007893172</v>
      </c>
    </row>
    <row r="650" spans="12:41" x14ac:dyDescent="0.25">
      <c r="L650" s="6">
        <v>647</v>
      </c>
      <c r="M650" s="52">
        <f t="shared" si="214"/>
        <v>21461.858523613686</v>
      </c>
      <c r="N650" s="52">
        <f t="shared" si="215"/>
        <v>2718.4762201848234</v>
      </c>
      <c r="P650" s="6">
        <v>647</v>
      </c>
      <c r="Q650" s="52">
        <f t="shared" si="229"/>
        <v>-18976.699033470421</v>
      </c>
      <c r="R650" s="52">
        <f t="shared" si="230"/>
        <v>6652.9333541293763</v>
      </c>
      <c r="T650" s="6">
        <v>647</v>
      </c>
      <c r="U650" s="52">
        <f t="shared" si="216"/>
        <v>-3538.1414763863131</v>
      </c>
      <c r="V650" s="52">
        <f t="shared" si="217"/>
        <v>-19781.523779815176</v>
      </c>
      <c r="X650" s="6">
        <v>646</v>
      </c>
      <c r="Y650" s="55">
        <v>323</v>
      </c>
      <c r="Z650" s="52">
        <f t="shared" si="231"/>
        <v>-6523.5751050243143</v>
      </c>
      <c r="AA650" s="52">
        <f t="shared" si="232"/>
        <v>256.1421762517021</v>
      </c>
      <c r="AB650" s="52">
        <f t="shared" si="233"/>
        <v>-4774.3948269705033</v>
      </c>
      <c r="AC650" s="52">
        <f t="shared" si="234"/>
        <v>-8631.3770729636708</v>
      </c>
      <c r="AD650" s="52">
        <f t="shared" si="218"/>
        <v>272.58475387933237</v>
      </c>
      <c r="AE650" s="52">
        <f t="shared" si="219"/>
        <v>-853.01820002006048</v>
      </c>
      <c r="AF650" s="52">
        <f t="shared" si="220"/>
        <v>554.54934348318363</v>
      </c>
      <c r="AG650" s="52">
        <f t="shared" si="221"/>
        <v>151.45305957205576</v>
      </c>
      <c r="AH650" s="52">
        <f t="shared" si="222"/>
        <v>-412.02853552387393</v>
      </c>
      <c r="AI650" s="52">
        <f t="shared" si="223"/>
        <v>297.90894104033777</v>
      </c>
      <c r="AJ650" s="52">
        <f t="shared" si="224"/>
        <v>130.06394592002266</v>
      </c>
      <c r="AK650" s="52">
        <f t="shared" si="225"/>
        <v>-1302.380200632454</v>
      </c>
      <c r="AM650" s="52">
        <f t="shared" si="226"/>
        <v>27494.972495395315</v>
      </c>
      <c r="AN650" s="57">
        <f t="shared" si="227"/>
        <v>16629.996790118192</v>
      </c>
      <c r="AO650" s="57">
        <f t="shared" si="228"/>
        <v>15332.030367914613</v>
      </c>
    </row>
    <row r="651" spans="12:41" x14ac:dyDescent="0.25">
      <c r="L651" s="6">
        <v>648</v>
      </c>
      <c r="M651" s="52">
        <f t="shared" si="214"/>
        <v>21545.084971874734</v>
      </c>
      <c r="N651" s="52">
        <f t="shared" si="215"/>
        <v>2744.7174185242311</v>
      </c>
      <c r="P651" s="6">
        <v>648</v>
      </c>
      <c r="Q651" s="52">
        <f t="shared" si="229"/>
        <v>-18918.440519687687</v>
      </c>
      <c r="R651" s="52">
        <f t="shared" si="230"/>
        <v>6671.3021929669612</v>
      </c>
      <c r="T651" s="6">
        <v>648</v>
      </c>
      <c r="U651" s="52">
        <f t="shared" si="216"/>
        <v>-3454.9150281252651</v>
      </c>
      <c r="V651" s="52">
        <f t="shared" si="217"/>
        <v>-19755.282581475767</v>
      </c>
      <c r="X651" s="6">
        <v>647</v>
      </c>
      <c r="Y651" s="55">
        <v>323.5</v>
      </c>
      <c r="Z651" s="52">
        <f t="shared" si="231"/>
        <v>-8876.6994242746496</v>
      </c>
      <c r="AA651" s="52">
        <f t="shared" si="232"/>
        <v>-4166.1736352326407</v>
      </c>
      <c r="AB651" s="52">
        <f t="shared" si="233"/>
        <v>-4638.1024500308367</v>
      </c>
      <c r="AC651" s="52">
        <f t="shared" si="234"/>
        <v>-9057.8861729737018</v>
      </c>
      <c r="AD651" s="52">
        <f t="shared" si="218"/>
        <v>728.08962686566974</v>
      </c>
      <c r="AE651" s="52">
        <f t="shared" si="219"/>
        <v>-1074.0018803664602</v>
      </c>
      <c r="AF651" s="52">
        <f t="shared" si="220"/>
        <v>432.00901093261814</v>
      </c>
      <c r="AG651" s="52">
        <f t="shared" si="221"/>
        <v>174.53144694536485</v>
      </c>
      <c r="AH651" s="52">
        <f t="shared" si="222"/>
        <v>-276.85379442123991</v>
      </c>
      <c r="AI651" s="52">
        <f t="shared" si="223"/>
        <v>352.58949415637233</v>
      </c>
      <c r="AJ651" s="52">
        <f t="shared" si="224"/>
        <v>572.93441035429146</v>
      </c>
      <c r="AK651" s="52">
        <f t="shared" si="225"/>
        <v>-1601.1228214681973</v>
      </c>
      <c r="AM651" s="52">
        <f t="shared" si="226"/>
        <v>31144.235051246662</v>
      </c>
      <c r="AN651" s="57">
        <f t="shared" si="227"/>
        <v>18011.337850406679</v>
      </c>
      <c r="AO651" s="57">
        <f t="shared" si="228"/>
        <v>11506.545620997631</v>
      </c>
    </row>
    <row r="652" spans="12:41" x14ac:dyDescent="0.25">
      <c r="L652" s="6">
        <v>649</v>
      </c>
      <c r="M652" s="52">
        <f t="shared" si="214"/>
        <v>21627.840772285785</v>
      </c>
      <c r="N652" s="52">
        <f t="shared" si="215"/>
        <v>2772.4071220034166</v>
      </c>
      <c r="P652" s="6">
        <v>649</v>
      </c>
      <c r="Q652" s="52">
        <f t="shared" si="229"/>
        <v>-18860.51145939995</v>
      </c>
      <c r="R652" s="52">
        <f t="shared" si="230"/>
        <v>6690.6849854023912</v>
      </c>
      <c r="T652" s="6">
        <v>649</v>
      </c>
      <c r="U652" s="52">
        <f t="shared" si="216"/>
        <v>-3372.1592277142154</v>
      </c>
      <c r="V652" s="52">
        <f t="shared" si="217"/>
        <v>-19727.592877996583</v>
      </c>
      <c r="X652" s="6">
        <v>648</v>
      </c>
      <c r="Y652" s="55">
        <v>324</v>
      </c>
      <c r="Z652" s="52">
        <f t="shared" si="231"/>
        <v>-11104.73944593186</v>
      </c>
      <c r="AA652" s="52">
        <f t="shared" si="232"/>
        <v>-8829.3669567652996</v>
      </c>
      <c r="AB652" s="52">
        <f t="shared" si="233"/>
        <v>-4274.0576365980014</v>
      </c>
      <c r="AC652" s="52">
        <f t="shared" si="234"/>
        <v>-9594.8871131569322</v>
      </c>
      <c r="AD652" s="52">
        <f t="shared" si="218"/>
        <v>1560.2178758859857</v>
      </c>
      <c r="AE652" s="52">
        <f t="shared" si="219"/>
        <v>-897.17082998277192</v>
      </c>
      <c r="AF652" s="52">
        <f t="shared" si="220"/>
        <v>334.2079021185038</v>
      </c>
      <c r="AG652" s="52">
        <f t="shared" si="221"/>
        <v>175.45247350585066</v>
      </c>
      <c r="AH652" s="52">
        <f t="shared" si="222"/>
        <v>-150.65202867283153</v>
      </c>
      <c r="AI652" s="52">
        <f t="shared" si="223"/>
        <v>318.89817205686575</v>
      </c>
      <c r="AJ652" s="52">
        <f t="shared" si="224"/>
        <v>1376.6620024403135</v>
      </c>
      <c r="AK652" s="52">
        <f t="shared" si="225"/>
        <v>-1391.5214755454883</v>
      </c>
      <c r="AM652" s="52">
        <f t="shared" si="226"/>
        <v>35130.514388605356</v>
      </c>
      <c r="AN652" s="57">
        <f t="shared" si="227"/>
        <v>20824.762191134032</v>
      </c>
      <c r="AO652" s="57">
        <f t="shared" si="228"/>
        <v>8680.1241844213473</v>
      </c>
    </row>
    <row r="653" spans="12:41" x14ac:dyDescent="0.25">
      <c r="L653" s="6">
        <v>650</v>
      </c>
      <c r="M653" s="52">
        <f t="shared" si="214"/>
        <v>21710.100716628338</v>
      </c>
      <c r="N653" s="52">
        <f t="shared" si="215"/>
        <v>2801.5368960704564</v>
      </c>
      <c r="P653" s="6">
        <v>650</v>
      </c>
      <c r="Q653" s="52">
        <f t="shared" si="229"/>
        <v>-18802.929498360161</v>
      </c>
      <c r="R653" s="52">
        <f t="shared" si="230"/>
        <v>6711.0758272493204</v>
      </c>
      <c r="T653" s="6">
        <v>650</v>
      </c>
      <c r="U653" s="52">
        <f t="shared" si="216"/>
        <v>-3289.8992833716602</v>
      </c>
      <c r="V653" s="52">
        <f t="shared" si="217"/>
        <v>-19698.463103929542</v>
      </c>
      <c r="X653" s="6">
        <v>649</v>
      </c>
      <c r="Y653" s="55">
        <v>324.5</v>
      </c>
      <c r="Z653" s="52">
        <f t="shared" si="231"/>
        <v>-13046.741029745113</v>
      </c>
      <c r="AA653" s="52">
        <f t="shared" si="232"/>
        <v>-13738.956867091612</v>
      </c>
      <c r="AB653" s="52">
        <f t="shared" si="233"/>
        <v>-3493.9486986550087</v>
      </c>
      <c r="AC653" s="52">
        <f t="shared" si="234"/>
        <v>-10043.472528148319</v>
      </c>
      <c r="AD653" s="52">
        <f t="shared" si="218"/>
        <v>2150.1898635708289</v>
      </c>
      <c r="AE653" s="52">
        <f t="shared" si="219"/>
        <v>110.11933735532642</v>
      </c>
      <c r="AF653" s="52">
        <f t="shared" si="220"/>
        <v>259.77622280912095</v>
      </c>
      <c r="AG653" s="52">
        <f t="shared" si="221"/>
        <v>166.95673520038642</v>
      </c>
      <c r="AH653" s="52">
        <f t="shared" si="222"/>
        <v>-73.500693021583601</v>
      </c>
      <c r="AI653" s="52">
        <f t="shared" si="223"/>
        <v>250.9369762876463</v>
      </c>
      <c r="AJ653" s="52">
        <f t="shared" si="224"/>
        <v>1963.9143337832918</v>
      </c>
      <c r="AK653" s="52">
        <f t="shared" si="225"/>
        <v>-307.77437413270633</v>
      </c>
      <c r="AM653" s="52">
        <f t="shared" si="226"/>
        <v>39283.334653377089</v>
      </c>
      <c r="AN653" s="57">
        <f t="shared" si="227"/>
        <v>24736.327202013359</v>
      </c>
      <c r="AO653" s="57">
        <f t="shared" si="228"/>
        <v>8144.9537127499289</v>
      </c>
    </row>
    <row r="654" spans="12:41" x14ac:dyDescent="0.25">
      <c r="L654" s="6">
        <v>651</v>
      </c>
      <c r="M654" s="52">
        <f t="shared" si="214"/>
        <v>21791.839747726503</v>
      </c>
      <c r="N654" s="52">
        <f t="shared" si="215"/>
        <v>2832.0978675139904</v>
      </c>
      <c r="P654" s="6">
        <v>651</v>
      </c>
      <c r="Q654" s="52">
        <f t="shared" si="229"/>
        <v>-18745.712176591449</v>
      </c>
      <c r="R654" s="52">
        <f t="shared" si="230"/>
        <v>6732.4685072597931</v>
      </c>
      <c r="T654" s="6">
        <v>651</v>
      </c>
      <c r="U654" s="52">
        <f t="shared" si="216"/>
        <v>-3208.1602522734993</v>
      </c>
      <c r="V654" s="52">
        <f t="shared" si="217"/>
        <v>-19667.902132486008</v>
      </c>
      <c r="X654" s="6">
        <v>650</v>
      </c>
      <c r="Y654" s="55">
        <v>325</v>
      </c>
      <c r="Z654" s="52">
        <f t="shared" si="231"/>
        <v>-14524.941646126263</v>
      </c>
      <c r="AA654" s="52">
        <f t="shared" si="232"/>
        <v>-18746.928213996354</v>
      </c>
      <c r="AB654" s="52">
        <f t="shared" si="233"/>
        <v>-2418.8537668695944</v>
      </c>
      <c r="AC654" s="52">
        <f t="shared" si="234"/>
        <v>-9988.4128594706563</v>
      </c>
      <c r="AD654" s="52">
        <f t="shared" si="218"/>
        <v>1871.0311685451866</v>
      </c>
      <c r="AE654" s="52">
        <f t="shared" si="219"/>
        <v>1014.9651265386265</v>
      </c>
      <c r="AF654" s="52">
        <f t="shared" si="220"/>
        <v>205.0438183214564</v>
      </c>
      <c r="AG654" s="52">
        <f t="shared" si="221"/>
        <v>155.8806510194585</v>
      </c>
      <c r="AH654" s="52">
        <f t="shared" si="222"/>
        <v>-36.095078978017455</v>
      </c>
      <c r="AI654" s="52">
        <f t="shared" si="223"/>
        <v>189.51809774327856</v>
      </c>
      <c r="AJ654" s="52">
        <f t="shared" si="224"/>
        <v>1702.0824292017476</v>
      </c>
      <c r="AK654" s="52">
        <f t="shared" si="225"/>
        <v>669.56637777588946</v>
      </c>
      <c r="AM654" s="52">
        <f t="shared" si="226"/>
        <v>43369.030843899447</v>
      </c>
      <c r="AN654" s="57">
        <f t="shared" si="227"/>
        <v>29263.665965134685</v>
      </c>
      <c r="AO654" s="57">
        <f t="shared" si="228"/>
        <v>10235.427905219811</v>
      </c>
    </row>
    <row r="655" spans="12:41" x14ac:dyDescent="0.25">
      <c r="L655" s="6">
        <v>652</v>
      </c>
      <c r="M655" s="52">
        <f t="shared" si="214"/>
        <v>21873.032967079555</v>
      </c>
      <c r="N655" s="52">
        <f t="shared" si="215"/>
        <v>2864.0807271660606</v>
      </c>
      <c r="P655" s="6">
        <v>652</v>
      </c>
      <c r="Q655" s="52">
        <f t="shared" si="229"/>
        <v>-18688.87692304431</v>
      </c>
      <c r="R655" s="52">
        <f t="shared" si="230"/>
        <v>6754.8565090162429</v>
      </c>
      <c r="T655" s="6">
        <v>652</v>
      </c>
      <c r="U655" s="52">
        <f t="shared" si="216"/>
        <v>-3126.9670329204455</v>
      </c>
      <c r="V655" s="52">
        <f t="shared" si="217"/>
        <v>-19635.91927283394</v>
      </c>
      <c r="X655" s="6">
        <v>651</v>
      </c>
      <c r="Y655" s="55">
        <v>325.5</v>
      </c>
      <c r="Z655" s="52">
        <f t="shared" si="231"/>
        <v>-15500.489633492911</v>
      </c>
      <c r="AA655" s="52">
        <f t="shared" si="232"/>
        <v>-23614.264002914355</v>
      </c>
      <c r="AB655" s="52">
        <f t="shared" si="233"/>
        <v>-1483.3381825970012</v>
      </c>
      <c r="AC655" s="52">
        <f t="shared" si="234"/>
        <v>-9480.9302962013426</v>
      </c>
      <c r="AD655" s="52">
        <f t="shared" si="218"/>
        <v>1291.9273470421408</v>
      </c>
      <c r="AE655" s="52">
        <f t="shared" si="219"/>
        <v>1230.4755815359331</v>
      </c>
      <c r="AF655" s="52">
        <f t="shared" si="220"/>
        <v>165.44420611712422</v>
      </c>
      <c r="AG655" s="52">
        <f t="shared" si="221"/>
        <v>145.00292136884252</v>
      </c>
      <c r="AH655" s="52">
        <f t="shared" si="222"/>
        <v>-19.459870341350737</v>
      </c>
      <c r="AI655" s="52">
        <f t="shared" si="223"/>
        <v>145.37786688653384</v>
      </c>
      <c r="AJ655" s="52">
        <f t="shared" si="224"/>
        <v>1145.9430112663674</v>
      </c>
      <c r="AK655" s="52">
        <f t="shared" si="225"/>
        <v>940.09479328055681</v>
      </c>
      <c r="AM655" s="52">
        <f t="shared" si="226"/>
        <v>47205.743174541691</v>
      </c>
      <c r="AN655" s="57">
        <f t="shared" si="227"/>
        <v>33914.072860627166</v>
      </c>
      <c r="AO655" s="57">
        <f t="shared" si="228"/>
        <v>13581.819718101036</v>
      </c>
    </row>
    <row r="656" spans="12:41" x14ac:dyDescent="0.25">
      <c r="L656" s="6">
        <v>653</v>
      </c>
      <c r="M656" s="52">
        <f t="shared" si="214"/>
        <v>21953.655642446374</v>
      </c>
      <c r="N656" s="52">
        <f t="shared" si="215"/>
        <v>2897.4757327378011</v>
      </c>
      <c r="P656" s="6">
        <v>653</v>
      </c>
      <c r="Q656" s="52">
        <f t="shared" si="229"/>
        <v>-18632.44105028754</v>
      </c>
      <c r="R656" s="52">
        <f t="shared" si="230"/>
        <v>6778.2330129164602</v>
      </c>
      <c r="T656" s="6">
        <v>653</v>
      </c>
      <c r="U656" s="52">
        <f t="shared" si="216"/>
        <v>-3046.3443575536257</v>
      </c>
      <c r="V656" s="52">
        <f t="shared" si="217"/>
        <v>-19602.524267262197</v>
      </c>
      <c r="X656" s="6">
        <v>652</v>
      </c>
      <c r="Y656" s="55">
        <v>326</v>
      </c>
      <c r="Z656" s="52">
        <f t="shared" si="231"/>
        <v>-16080.667806411144</v>
      </c>
      <c r="AA656" s="52">
        <f t="shared" si="232"/>
        <v>-28200.919703323034</v>
      </c>
      <c r="AB656" s="52">
        <f t="shared" si="233"/>
        <v>-837.37450907593075</v>
      </c>
      <c r="AC656" s="52">
        <f t="shared" si="234"/>
        <v>-8865.6925054333769</v>
      </c>
      <c r="AD656" s="52">
        <f t="shared" si="218"/>
        <v>857.94681176051915</v>
      </c>
      <c r="AE656" s="52">
        <f t="shared" si="219"/>
        <v>1124.0208910376223</v>
      </c>
      <c r="AF656" s="52">
        <f t="shared" si="220"/>
        <v>136.44382861704563</v>
      </c>
      <c r="AG656" s="52">
        <f t="shared" si="221"/>
        <v>135.00776082103334</v>
      </c>
      <c r="AH656" s="52">
        <f t="shared" si="222"/>
        <v>-11.834988229781839</v>
      </c>
      <c r="AI656" s="52">
        <f t="shared" si="223"/>
        <v>115.35318077789248</v>
      </c>
      <c r="AJ656" s="52">
        <f t="shared" si="224"/>
        <v>733.33797137325541</v>
      </c>
      <c r="AK656" s="52">
        <f t="shared" si="225"/>
        <v>873.65994943869634</v>
      </c>
      <c r="AM656" s="52">
        <f t="shared" si="226"/>
        <v>50757.957573366883</v>
      </c>
      <c r="AN656" s="57">
        <f t="shared" si="227"/>
        <v>38401.450897374125</v>
      </c>
      <c r="AO656" s="57">
        <f t="shared" si="228"/>
        <v>17235.007399175047</v>
      </c>
    </row>
    <row r="657" spans="12:41" x14ac:dyDescent="0.25">
      <c r="L657" s="6">
        <v>654</v>
      </c>
      <c r="M657" s="52">
        <f t="shared" si="214"/>
        <v>22033.683215379002</v>
      </c>
      <c r="N657" s="52">
        <f t="shared" si="215"/>
        <v>2932.2727117869954</v>
      </c>
      <c r="P657" s="6">
        <v>654</v>
      </c>
      <c r="Q657" s="52">
        <f t="shared" si="229"/>
        <v>-18576.421749234698</v>
      </c>
      <c r="R657" s="52">
        <f t="shared" si="230"/>
        <v>6802.5908982508972</v>
      </c>
      <c r="T657" s="6">
        <v>654</v>
      </c>
      <c r="U657" s="52">
        <f t="shared" si="216"/>
        <v>-2966.3167846209981</v>
      </c>
      <c r="V657" s="52">
        <f t="shared" si="217"/>
        <v>-19567.727288213006</v>
      </c>
      <c r="X657" s="6">
        <v>653</v>
      </c>
      <c r="Y657" s="55">
        <v>326.5</v>
      </c>
      <c r="Z657" s="52">
        <f t="shared" si="231"/>
        <v>-16392.111709479046</v>
      </c>
      <c r="AA657" s="52">
        <f t="shared" si="232"/>
        <v>-32493.263344660019</v>
      </c>
      <c r="AB657" s="52">
        <f t="shared" si="233"/>
        <v>-408.40110319567117</v>
      </c>
      <c r="AC657" s="52">
        <f t="shared" si="234"/>
        <v>-8303.6820599145649</v>
      </c>
      <c r="AD657" s="52">
        <f t="shared" si="218"/>
        <v>587.52369456175575</v>
      </c>
      <c r="AE657" s="52">
        <f t="shared" si="219"/>
        <v>959.01994862118238</v>
      </c>
      <c r="AF657" s="52">
        <f t="shared" si="220"/>
        <v>114.59513474112136</v>
      </c>
      <c r="AG657" s="52">
        <f t="shared" si="221"/>
        <v>125.93480252822819</v>
      </c>
      <c r="AH657" s="52">
        <f t="shared" si="222"/>
        <v>-8.0276261468497783</v>
      </c>
      <c r="AI657" s="52">
        <f t="shared" si="223"/>
        <v>94.548390754446189</v>
      </c>
      <c r="AJ657" s="52">
        <f t="shared" si="224"/>
        <v>480.95618596748415</v>
      </c>
      <c r="AK657" s="52">
        <f t="shared" si="225"/>
        <v>738.53675533850799</v>
      </c>
      <c r="AM657" s="52">
        <f t="shared" si="226"/>
        <v>54072.607738396793</v>
      </c>
      <c r="AN657" s="57">
        <f t="shared" si="227"/>
        <v>42646.152084279602</v>
      </c>
      <c r="AO657" s="57">
        <f t="shared" si="228"/>
        <v>20875.690926215484</v>
      </c>
    </row>
    <row r="658" spans="12:41" x14ac:dyDescent="0.25">
      <c r="L658" s="6">
        <v>655</v>
      </c>
      <c r="M658" s="52">
        <f t="shared" si="214"/>
        <v>22113.091308703493</v>
      </c>
      <c r="N658" s="52">
        <f t="shared" si="215"/>
        <v>2968.4610648167481</v>
      </c>
      <c r="P658" s="6">
        <v>655</v>
      </c>
      <c r="Q658" s="52">
        <f t="shared" si="229"/>
        <v>-18520.836083907554</v>
      </c>
      <c r="R658" s="52">
        <f t="shared" si="230"/>
        <v>6827.9227453717231</v>
      </c>
      <c r="T658" s="6">
        <v>655</v>
      </c>
      <c r="U658" s="52">
        <f t="shared" si="216"/>
        <v>-2886.9086912965067</v>
      </c>
      <c r="V658" s="52">
        <f t="shared" si="217"/>
        <v>-19531.538935183253</v>
      </c>
      <c r="X658" s="6">
        <v>654</v>
      </c>
      <c r="Y658" s="55">
        <v>327</v>
      </c>
      <c r="Z658" s="52">
        <f t="shared" si="231"/>
        <v>-16522.87179925666</v>
      </c>
      <c r="AA658" s="52">
        <f t="shared" si="232"/>
        <v>-36525.226881039656</v>
      </c>
      <c r="AB658" s="52">
        <f t="shared" si="233"/>
        <v>-114.6392559147933</v>
      </c>
      <c r="AC658" s="52">
        <f t="shared" si="234"/>
        <v>-7824.1720856039738</v>
      </c>
      <c r="AD658" s="52">
        <f t="shared" si="218"/>
        <v>420.21413021071311</v>
      </c>
      <c r="AE658" s="52">
        <f t="shared" si="219"/>
        <v>810.95406970925706</v>
      </c>
      <c r="AF658" s="52">
        <f t="shared" si="220"/>
        <v>97.657364099697389</v>
      </c>
      <c r="AG658" s="52">
        <f t="shared" si="221"/>
        <v>117.71767660343124</v>
      </c>
      <c r="AH658" s="52">
        <f t="shared" si="222"/>
        <v>-5.9472646668706286</v>
      </c>
      <c r="AI658" s="52">
        <f t="shared" si="223"/>
        <v>79.576541897015559</v>
      </c>
      <c r="AJ658" s="52">
        <f t="shared" si="224"/>
        <v>328.50403077788633</v>
      </c>
      <c r="AK658" s="52">
        <f t="shared" si="225"/>
        <v>613.65985120881021</v>
      </c>
      <c r="AM658" s="52">
        <f t="shared" si="226"/>
        <v>57202.629016435552</v>
      </c>
      <c r="AN658" s="57">
        <f t="shared" si="227"/>
        <v>46654.979979168565</v>
      </c>
      <c r="AO658" s="57">
        <f t="shared" si="228"/>
        <v>24415.404292829899</v>
      </c>
    </row>
    <row r="659" spans="12:41" x14ac:dyDescent="0.25">
      <c r="L659" s="6">
        <v>656</v>
      </c>
      <c r="M659" s="52">
        <f t="shared" si="214"/>
        <v>22191.855733945376</v>
      </c>
      <c r="N659" s="52">
        <f t="shared" si="215"/>
        <v>3006.0297685041605</v>
      </c>
      <c r="P659" s="6">
        <v>656</v>
      </c>
      <c r="Q659" s="52">
        <f t="shared" si="229"/>
        <v>-18465.700986238237</v>
      </c>
      <c r="R659" s="52">
        <f t="shared" si="230"/>
        <v>6854.2208379529129</v>
      </c>
      <c r="T659" s="6">
        <v>656</v>
      </c>
      <c r="U659" s="52">
        <f t="shared" si="216"/>
        <v>-2808.1442660546222</v>
      </c>
      <c r="V659" s="52">
        <f t="shared" si="217"/>
        <v>-19493.970231495841</v>
      </c>
      <c r="X659" s="6">
        <v>655</v>
      </c>
      <c r="Y659" s="55">
        <v>327.5</v>
      </c>
      <c r="Z659" s="52">
        <f t="shared" si="231"/>
        <v>-16527.664660937717</v>
      </c>
      <c r="AA659" s="52">
        <f t="shared" si="232"/>
        <v>-40335.94366512799</v>
      </c>
      <c r="AB659" s="52">
        <f t="shared" si="233"/>
        <v>95.467809190563258</v>
      </c>
      <c r="AC659" s="52">
        <f t="shared" si="234"/>
        <v>-7418.6950507493457</v>
      </c>
      <c r="AD659" s="52">
        <f t="shared" si="218"/>
        <v>312.77198562235719</v>
      </c>
      <c r="AE659" s="52">
        <f t="shared" si="219"/>
        <v>691.38733561911715</v>
      </c>
      <c r="AF659" s="52">
        <f t="shared" si="220"/>
        <v>84.209309502297103</v>
      </c>
      <c r="AG659" s="52">
        <f t="shared" si="221"/>
        <v>110.27893030727907</v>
      </c>
      <c r="AH659" s="52">
        <f t="shared" si="222"/>
        <v>-4.7181041354819042</v>
      </c>
      <c r="AI659" s="52">
        <f t="shared" si="223"/>
        <v>68.394956356363792</v>
      </c>
      <c r="AJ659" s="52">
        <f t="shared" si="224"/>
        <v>233.28078025554203</v>
      </c>
      <c r="AK659" s="52">
        <f t="shared" si="225"/>
        <v>512.71344895547429</v>
      </c>
      <c r="AM659" s="52">
        <f t="shared" si="226"/>
        <v>60187.604969089916</v>
      </c>
      <c r="AN659" s="57">
        <f t="shared" si="227"/>
        <v>50455.567952068872</v>
      </c>
      <c r="AO659" s="57">
        <f t="shared" si="228"/>
        <v>27835.177275123853</v>
      </c>
    </row>
    <row r="660" spans="12:41" x14ac:dyDescent="0.25">
      <c r="L660" s="6">
        <v>657</v>
      </c>
      <c r="M660" s="52">
        <f t="shared" si="214"/>
        <v>22269.952498697734</v>
      </c>
      <c r="N660" s="52">
        <f t="shared" si="215"/>
        <v>3044.9673790581619</v>
      </c>
      <c r="P660" s="6">
        <v>657</v>
      </c>
      <c r="Q660" s="52">
        <f t="shared" si="229"/>
        <v>-18411.033250911583</v>
      </c>
      <c r="R660" s="52">
        <f t="shared" si="230"/>
        <v>6881.4771653407133</v>
      </c>
      <c r="T660" s="6">
        <v>657</v>
      </c>
      <c r="U660" s="52">
        <f t="shared" si="216"/>
        <v>-2730.0475013022642</v>
      </c>
      <c r="V660" s="52">
        <f t="shared" si="217"/>
        <v>-19455.032620941838</v>
      </c>
      <c r="X660" s="6">
        <v>656</v>
      </c>
      <c r="Y660" s="55">
        <v>328</v>
      </c>
      <c r="Z660" s="52">
        <f t="shared" si="231"/>
        <v>-16440.834258139639</v>
      </c>
      <c r="AA660" s="52">
        <f t="shared" si="232"/>
        <v>-43958.867773550272</v>
      </c>
      <c r="AB660" s="52">
        <f t="shared" si="233"/>
        <v>251.85380200174185</v>
      </c>
      <c r="AC660" s="52">
        <f t="shared" si="234"/>
        <v>-7073.0013829397867</v>
      </c>
      <c r="AD660" s="52">
        <f t="shared" si="218"/>
        <v>240.65026790337799</v>
      </c>
      <c r="AE660" s="52">
        <f t="shared" si="219"/>
        <v>596.83052669362507</v>
      </c>
      <c r="AF660" s="52">
        <f t="shared" si="220"/>
        <v>73.323594259724644</v>
      </c>
      <c r="AG660" s="52">
        <f t="shared" si="221"/>
        <v>103.54178817544022</v>
      </c>
      <c r="AH660" s="52">
        <f t="shared" si="222"/>
        <v>-3.9427463383448873</v>
      </c>
      <c r="AI660" s="52">
        <f t="shared" si="223"/>
        <v>59.774156014493379</v>
      </c>
      <c r="AJ660" s="52">
        <f t="shared" si="224"/>
        <v>171.26941998199825</v>
      </c>
      <c r="AK660" s="52">
        <f t="shared" si="225"/>
        <v>433.51458250369149</v>
      </c>
      <c r="AM660" s="52">
        <f t="shared" si="226"/>
        <v>63055.130433335355</v>
      </c>
      <c r="AN660" s="57">
        <f t="shared" si="227"/>
        <v>54076.122939625711</v>
      </c>
      <c r="AO660" s="57">
        <f t="shared" si="228"/>
        <v>31136.934840285579</v>
      </c>
    </row>
    <row r="661" spans="12:41" x14ac:dyDescent="0.25">
      <c r="L661" s="6">
        <v>658</v>
      </c>
      <c r="M661" s="52">
        <f t="shared" si="214"/>
        <v>22347.357813929451</v>
      </c>
      <c r="N661" s="52">
        <f t="shared" si="215"/>
        <v>3085.2620357053638</v>
      </c>
      <c r="P661" s="6">
        <v>658</v>
      </c>
      <c r="Q661" s="52">
        <f t="shared" si="229"/>
        <v>-18356.849530249383</v>
      </c>
      <c r="R661" s="52">
        <f t="shared" si="230"/>
        <v>6909.6834249937547</v>
      </c>
      <c r="T661" s="6">
        <v>658</v>
      </c>
      <c r="U661" s="52">
        <f t="shared" si="216"/>
        <v>-2652.6421860705491</v>
      </c>
      <c r="V661" s="52">
        <f t="shared" si="217"/>
        <v>-19414.737964294636</v>
      </c>
      <c r="X661" s="6">
        <v>657</v>
      </c>
      <c r="Y661" s="55">
        <v>328.5</v>
      </c>
      <c r="Z661" s="52">
        <f t="shared" si="231"/>
        <v>-16284.826073650847</v>
      </c>
      <c r="AA661" s="52">
        <f t="shared" si="232"/>
        <v>-47420.76464918346</v>
      </c>
      <c r="AB661" s="52">
        <f t="shared" si="233"/>
        <v>372.17893595343082</v>
      </c>
      <c r="AC661" s="52">
        <f t="shared" si="234"/>
        <v>-6774.5861195929738</v>
      </c>
      <c r="AD661" s="52">
        <f t="shared" si="218"/>
        <v>190.20640192393483</v>
      </c>
      <c r="AE661" s="52">
        <f t="shared" si="219"/>
        <v>521.74226148686444</v>
      </c>
      <c r="AF661" s="52">
        <f t="shared" si="220"/>
        <v>64.371681475114002</v>
      </c>
      <c r="AG661" s="52">
        <f t="shared" si="221"/>
        <v>97.433069162048938</v>
      </c>
      <c r="AH661" s="52">
        <f t="shared" si="222"/>
        <v>-3.4258891336113382</v>
      </c>
      <c r="AI661" s="52">
        <f t="shared" si="223"/>
        <v>52.949653920671977</v>
      </c>
      <c r="AJ661" s="52">
        <f t="shared" si="224"/>
        <v>129.26060958243218</v>
      </c>
      <c r="AK661" s="52">
        <f t="shared" si="225"/>
        <v>371.35953840414345</v>
      </c>
      <c r="AM661" s="52">
        <f t="shared" si="226"/>
        <v>65824.607806245927</v>
      </c>
      <c r="AN661" s="57">
        <f t="shared" si="227"/>
        <v>57540.82663813531</v>
      </c>
      <c r="AO661" s="57">
        <f t="shared" si="228"/>
        <v>34328.607311545486</v>
      </c>
    </row>
    <row r="662" spans="12:41" x14ac:dyDescent="0.25">
      <c r="L662" s="6">
        <v>659</v>
      </c>
      <c r="M662" s="52">
        <f t="shared" si="214"/>
        <v>22424.048101231678</v>
      </c>
      <c r="N662" s="52">
        <f t="shared" si="215"/>
        <v>3126.9014643030168</v>
      </c>
      <c r="P662" s="6">
        <v>659</v>
      </c>
      <c r="Q662" s="52">
        <f t="shared" si="229"/>
        <v>-18303.166329137825</v>
      </c>
      <c r="R662" s="52">
        <f t="shared" si="230"/>
        <v>6938.8310250121121</v>
      </c>
      <c r="T662" s="6">
        <v>659</v>
      </c>
      <c r="U662" s="52">
        <f t="shared" si="216"/>
        <v>-2575.9518987683223</v>
      </c>
      <c r="V662" s="52">
        <f t="shared" si="217"/>
        <v>-19373.098535696983</v>
      </c>
      <c r="X662" s="6">
        <v>658</v>
      </c>
      <c r="Y662" s="55">
        <v>329</v>
      </c>
      <c r="Z662" s="52">
        <f t="shared" si="231"/>
        <v>-16074.96080543364</v>
      </c>
      <c r="AA662" s="52">
        <f t="shared" si="232"/>
        <v>-50742.839926294087</v>
      </c>
      <c r="AB662" s="52">
        <f t="shared" si="233"/>
        <v>467.28213691539827</v>
      </c>
      <c r="AC662" s="52">
        <f t="shared" si="234"/>
        <v>-6513.7149888495414</v>
      </c>
      <c r="AD662" s="52">
        <f t="shared" si="218"/>
        <v>153.64422668830912</v>
      </c>
      <c r="AE662" s="52">
        <f t="shared" si="219"/>
        <v>461.39072695341775</v>
      </c>
      <c r="AF662" s="52">
        <f t="shared" si="220"/>
        <v>56.912486817038612</v>
      </c>
      <c r="AG662" s="52">
        <f t="shared" si="221"/>
        <v>91.884919220558999</v>
      </c>
      <c r="AH662" s="52">
        <f t="shared" si="222"/>
        <v>-3.0646313432540917</v>
      </c>
      <c r="AI662" s="52">
        <f t="shared" si="223"/>
        <v>47.427401839474712</v>
      </c>
      <c r="AJ662" s="52">
        <f t="shared" si="224"/>
        <v>99.796371214524584</v>
      </c>
      <c r="AK662" s="52">
        <f t="shared" si="225"/>
        <v>322.07840589338406</v>
      </c>
      <c r="AM662" s="52">
        <f t="shared" si="226"/>
        <v>68510.081008516485</v>
      </c>
      <c r="AN662" s="57">
        <f t="shared" si="227"/>
        <v>60869.52057467078</v>
      </c>
      <c r="AO662" s="57">
        <f t="shared" si="228"/>
        <v>37419.318043472864</v>
      </c>
    </row>
    <row r="663" spans="12:41" x14ac:dyDescent="0.25">
      <c r="L663" s="6">
        <v>660</v>
      </c>
      <c r="M663" s="52">
        <f t="shared" si="214"/>
        <v>22499.999999999996</v>
      </c>
      <c r="N663" s="52">
        <f t="shared" si="215"/>
        <v>3169.8729810778041</v>
      </c>
      <c r="P663" s="6">
        <v>660</v>
      </c>
      <c r="Q663" s="52">
        <f t="shared" si="229"/>
        <v>-18250.000000000004</v>
      </c>
      <c r="R663" s="52">
        <f t="shared" si="230"/>
        <v>6968.9110867544623</v>
      </c>
      <c r="T663" s="6">
        <v>660</v>
      </c>
      <c r="U663" s="52">
        <f t="shared" si="216"/>
        <v>-2500.0000000000045</v>
      </c>
      <c r="V663" s="52">
        <f t="shared" si="217"/>
        <v>-19330.127018922198</v>
      </c>
      <c r="X663" s="6">
        <v>659</v>
      </c>
      <c r="Y663" s="55">
        <v>329.5</v>
      </c>
      <c r="Z663" s="52">
        <f t="shared" si="231"/>
        <v>-15822.114208639903</v>
      </c>
      <c r="AA663" s="52">
        <f t="shared" si="232"/>
        <v>-53942.023579849687</v>
      </c>
      <c r="AB663" s="52">
        <f t="shared" si="233"/>
        <v>544.10425025955283</v>
      </c>
      <c r="AC663" s="52">
        <f t="shared" si="234"/>
        <v>-6283.0196253728327</v>
      </c>
      <c r="AD663" s="52">
        <f t="shared" si="218"/>
        <v>126.32899661607863</v>
      </c>
      <c r="AE663" s="52">
        <f t="shared" si="219"/>
        <v>412.19608272045014</v>
      </c>
      <c r="AF663" s="52">
        <f t="shared" si="220"/>
        <v>50.627224171648528</v>
      </c>
      <c r="AG663" s="52">
        <f t="shared" si="221"/>
        <v>86.835720617140808</v>
      </c>
      <c r="AH663" s="52">
        <f t="shared" si="222"/>
        <v>-2.8014762548644416</v>
      </c>
      <c r="AI663" s="52">
        <f t="shared" si="223"/>
        <v>42.876246430043103</v>
      </c>
      <c r="AJ663" s="52">
        <f t="shared" si="224"/>
        <v>78.503248699294545</v>
      </c>
      <c r="AK663" s="52">
        <f t="shared" si="225"/>
        <v>282.48411567326622</v>
      </c>
      <c r="AM663" s="52">
        <f t="shared" si="226"/>
        <v>71122.050926303054</v>
      </c>
      <c r="AN663" s="57">
        <f t="shared" si="227"/>
        <v>64078.366935898906</v>
      </c>
      <c r="AO663" s="57">
        <f t="shared" si="228"/>
        <v>40417.809891660567</v>
      </c>
    </row>
    <row r="664" spans="12:41" x14ac:dyDescent="0.25">
      <c r="L664" s="6">
        <v>661</v>
      </c>
      <c r="M664" s="52">
        <f t="shared" si="214"/>
        <v>22575.190374550271</v>
      </c>
      <c r="N664" s="52">
        <f t="shared" si="215"/>
        <v>3214.1634964894374</v>
      </c>
      <c r="P664" s="6">
        <v>661</v>
      </c>
      <c r="Q664" s="52">
        <f t="shared" si="229"/>
        <v>-18197.366737814809</v>
      </c>
      <c r="R664" s="52">
        <f t="shared" si="230"/>
        <v>6999.9144475426065</v>
      </c>
      <c r="T664" s="6">
        <v>661</v>
      </c>
      <c r="U664" s="52">
        <f t="shared" si="216"/>
        <v>-2424.8096254497304</v>
      </c>
      <c r="V664" s="52">
        <f t="shared" si="217"/>
        <v>-19285.836503510563</v>
      </c>
      <c r="X664" s="6">
        <v>660</v>
      </c>
      <c r="Y664" s="55">
        <v>330</v>
      </c>
      <c r="Z664" s="52">
        <f t="shared" si="231"/>
        <v>-15534.270958933117</v>
      </c>
      <c r="AA664" s="52">
        <f t="shared" si="232"/>
        <v>-57032.008882196045</v>
      </c>
      <c r="AB664" s="52">
        <f t="shared" si="233"/>
        <v>607.26874856759218</v>
      </c>
      <c r="AC664" s="52">
        <f t="shared" si="234"/>
        <v>-6076.921584012608</v>
      </c>
      <c r="AD664" s="52">
        <f t="shared" si="218"/>
        <v>105.39268373373949</v>
      </c>
      <c r="AE664" s="52">
        <f t="shared" si="219"/>
        <v>371.53397345986286</v>
      </c>
      <c r="AF664" s="52">
        <f t="shared" si="220"/>
        <v>45.27977113198699</v>
      </c>
      <c r="AG664" s="52">
        <f t="shared" si="221"/>
        <v>82.230323403852339</v>
      </c>
      <c r="AH664" s="52">
        <f t="shared" si="222"/>
        <v>-2.6026689184443779</v>
      </c>
      <c r="AI664" s="52">
        <f t="shared" si="223"/>
        <v>39.066885709863691</v>
      </c>
      <c r="AJ664" s="52">
        <f t="shared" si="224"/>
        <v>62.715581520196871</v>
      </c>
      <c r="AK664" s="52">
        <f t="shared" si="225"/>
        <v>250.23676434614686</v>
      </c>
      <c r="AM664" s="52">
        <f t="shared" si="226"/>
        <v>73668.613282419727</v>
      </c>
      <c r="AN664" s="57">
        <f t="shared" si="227"/>
        <v>67180.59951095283</v>
      </c>
      <c r="AO664" s="57">
        <f t="shared" si="228"/>
        <v>43331.981668384717</v>
      </c>
    </row>
    <row r="665" spans="12:41" x14ac:dyDescent="0.25">
      <c r="L665" s="6">
        <v>662</v>
      </c>
      <c r="M665" s="52">
        <f t="shared" si="214"/>
        <v>22649.596321166027</v>
      </c>
      <c r="N665" s="52">
        <f t="shared" si="215"/>
        <v>3259.7595192178705</v>
      </c>
      <c r="P665" s="6">
        <v>662</v>
      </c>
      <c r="Q665" s="52">
        <f t="shared" si="229"/>
        <v>-18145.282575183781</v>
      </c>
      <c r="R665" s="52">
        <f t="shared" si="230"/>
        <v>7031.831663452509</v>
      </c>
      <c r="T665" s="6">
        <v>662</v>
      </c>
      <c r="U665" s="52">
        <f t="shared" si="216"/>
        <v>-2350.403678833974</v>
      </c>
      <c r="V665" s="52">
        <f t="shared" si="217"/>
        <v>-19240.240480782129</v>
      </c>
      <c r="X665" s="6">
        <v>661</v>
      </c>
      <c r="Y665" s="55">
        <v>330.5</v>
      </c>
      <c r="Z665" s="52">
        <f t="shared" si="231"/>
        <v>-15217.462499182604</v>
      </c>
      <c r="AA665" s="52">
        <f t="shared" si="232"/>
        <v>-60024.02792751987</v>
      </c>
      <c r="AB665" s="52">
        <f t="shared" si="233"/>
        <v>659.9650904344619</v>
      </c>
      <c r="AC665" s="52">
        <f t="shared" si="234"/>
        <v>-5891.1545972826771</v>
      </c>
      <c r="AD665" s="52">
        <f t="shared" si="218"/>
        <v>88.99322061590992</v>
      </c>
      <c r="AE665" s="52">
        <f t="shared" si="219"/>
        <v>337.48588131497377</v>
      </c>
      <c r="AF665" s="52">
        <f t="shared" si="220"/>
        <v>40.691595855906037</v>
      </c>
      <c r="AG665" s="52">
        <f t="shared" si="221"/>
        <v>78.019830504634569</v>
      </c>
      <c r="AH665" s="52">
        <f t="shared" si="222"/>
        <v>-2.4475436517077713</v>
      </c>
      <c r="AI665" s="52">
        <f t="shared" si="223"/>
        <v>35.835968874622893</v>
      </c>
      <c r="AJ665" s="52">
        <f t="shared" si="224"/>
        <v>50.749168411711651</v>
      </c>
      <c r="AK665" s="52">
        <f t="shared" si="225"/>
        <v>223.6300819357163</v>
      </c>
      <c r="AM665" s="52">
        <f t="shared" si="226"/>
        <v>76156.181708629651</v>
      </c>
      <c r="AN665" s="57">
        <f t="shared" si="227"/>
        <v>70187.158028665101</v>
      </c>
      <c r="AO665" s="57">
        <f t="shared" si="228"/>
        <v>46168.816648689317</v>
      </c>
    </row>
    <row r="666" spans="12:41" x14ac:dyDescent="0.25">
      <c r="L666" s="6">
        <v>663</v>
      </c>
      <c r="M666" s="52">
        <f t="shared" si="214"/>
        <v>22723.195175075132</v>
      </c>
      <c r="N666" s="52">
        <f t="shared" si="215"/>
        <v>3306.647160272878</v>
      </c>
      <c r="P666" s="6">
        <v>663</v>
      </c>
      <c r="Q666" s="52">
        <f t="shared" si="229"/>
        <v>-18093.763377447409</v>
      </c>
      <c r="R666" s="52">
        <f t="shared" si="230"/>
        <v>7064.6530121910146</v>
      </c>
      <c r="T666" s="6">
        <v>663</v>
      </c>
      <c r="U666" s="52">
        <f t="shared" si="216"/>
        <v>-2276.8048249248677</v>
      </c>
      <c r="V666" s="52">
        <f t="shared" si="217"/>
        <v>-19193.352839727122</v>
      </c>
      <c r="X666" s="6">
        <v>662</v>
      </c>
      <c r="Y666" s="55">
        <v>331</v>
      </c>
      <c r="Z666" s="52">
        <f t="shared" si="231"/>
        <v>-14876.355801388383</v>
      </c>
      <c r="AA666" s="52">
        <f t="shared" si="232"/>
        <v>-62927.419490996836</v>
      </c>
      <c r="AB666" s="52">
        <f t="shared" si="233"/>
        <v>704.46170074241684</v>
      </c>
      <c r="AC666" s="52">
        <f t="shared" si="234"/>
        <v>-5722.4116566251905</v>
      </c>
      <c r="AD666" s="52">
        <f t="shared" si="218"/>
        <v>75.907230247794644</v>
      </c>
      <c r="AE666" s="52">
        <f t="shared" si="219"/>
        <v>308.63790332596744</v>
      </c>
      <c r="AF666" s="52">
        <f t="shared" si="220"/>
        <v>36.725330266347342</v>
      </c>
      <c r="AG666" s="52">
        <f t="shared" si="221"/>
        <v>74.161138145932185</v>
      </c>
      <c r="AH666" s="52">
        <f t="shared" si="222"/>
        <v>-2.3229845790688808</v>
      </c>
      <c r="AI666" s="52">
        <f t="shared" si="223"/>
        <v>33.064214512549249</v>
      </c>
      <c r="AJ666" s="52">
        <f t="shared" si="224"/>
        <v>41.504884560516189</v>
      </c>
      <c r="AK666" s="52">
        <f t="shared" si="225"/>
        <v>201.41255066748602</v>
      </c>
      <c r="AM666" s="52">
        <f t="shared" si="226"/>
        <v>78589.958710676758</v>
      </c>
      <c r="AN666" s="57">
        <f t="shared" si="227"/>
        <v>73107.183255065916</v>
      </c>
      <c r="AO666" s="57">
        <f t="shared" si="228"/>
        <v>48934.445362971077</v>
      </c>
    </row>
    <row r="667" spans="12:41" x14ac:dyDescent="0.25">
      <c r="L667" s="6">
        <v>664</v>
      </c>
      <c r="M667" s="52">
        <f t="shared" si="214"/>
        <v>22795.964517353736</v>
      </c>
      <c r="N667" s="52">
        <f t="shared" si="215"/>
        <v>3354.8121372247915</v>
      </c>
      <c r="P667" s="6">
        <v>664</v>
      </c>
      <c r="Q667" s="52">
        <f t="shared" si="229"/>
        <v>-18042.824837852386</v>
      </c>
      <c r="R667" s="52">
        <f t="shared" si="230"/>
        <v>7098.3684960573537</v>
      </c>
      <c r="T667" s="6">
        <v>664</v>
      </c>
      <c r="U667" s="52">
        <f t="shared" si="216"/>
        <v>-2204.0354826462662</v>
      </c>
      <c r="V667" s="52">
        <f t="shared" si="217"/>
        <v>-19145.187862775208</v>
      </c>
      <c r="X667" s="6">
        <v>663</v>
      </c>
      <c r="Y667" s="55">
        <v>331.5</v>
      </c>
      <c r="Z667" s="52">
        <f t="shared" si="231"/>
        <v>-14514.636547236199</v>
      </c>
      <c r="AA667" s="52">
        <f t="shared" si="232"/>
        <v>-65750.045581393686</v>
      </c>
      <c r="AB667" s="52">
        <f t="shared" si="233"/>
        <v>742.41531586631413</v>
      </c>
      <c r="AC667" s="52">
        <f t="shared" si="234"/>
        <v>-5568.0927049622069</v>
      </c>
      <c r="AD667" s="52">
        <f t="shared" si="218"/>
        <v>65.297715267202577</v>
      </c>
      <c r="AE667" s="52">
        <f t="shared" si="219"/>
        <v>283.93514978926009</v>
      </c>
      <c r="AF667" s="52">
        <f t="shared" si="220"/>
        <v>33.27367685940812</v>
      </c>
      <c r="AG667" s="52">
        <f t="shared" si="221"/>
        <v>70.616370051486996</v>
      </c>
      <c r="AH667" s="52">
        <f t="shared" si="222"/>
        <v>-2.2204029314612188</v>
      </c>
      <c r="AI667" s="52">
        <f t="shared" si="223"/>
        <v>30.66262148636698</v>
      </c>
      <c r="AJ667" s="52">
        <f t="shared" si="224"/>
        <v>34.24444133925568</v>
      </c>
      <c r="AK667" s="52">
        <f t="shared" si="225"/>
        <v>182.65615825140614</v>
      </c>
      <c r="AM667" s="52">
        <f t="shared" si="226"/>
        <v>80974.250929934919</v>
      </c>
      <c r="AN667" s="57">
        <f t="shared" si="227"/>
        <v>75948.394438540563</v>
      </c>
      <c r="AO667" s="57">
        <f t="shared" si="228"/>
        <v>51634.246727724611</v>
      </c>
    </row>
    <row r="668" spans="12:41" x14ac:dyDescent="0.25">
      <c r="L668" s="6">
        <v>665</v>
      </c>
      <c r="M668" s="52">
        <f t="shared" si="214"/>
        <v>22867.882181755234</v>
      </c>
      <c r="N668" s="52">
        <f t="shared" si="215"/>
        <v>3404.2397785550424</v>
      </c>
      <c r="P668" s="6">
        <v>665</v>
      </c>
      <c r="Q668" s="52">
        <f t="shared" si="229"/>
        <v>-17992.482472771339</v>
      </c>
      <c r="R668" s="52">
        <f t="shared" si="230"/>
        <v>7132.9678449885305</v>
      </c>
      <c r="T668" s="6">
        <v>665</v>
      </c>
      <c r="U668" s="52">
        <f t="shared" si="216"/>
        <v>-2132.117818244767</v>
      </c>
      <c r="V668" s="52">
        <f t="shared" si="217"/>
        <v>-19095.760221444958</v>
      </c>
      <c r="X668" s="6">
        <v>664</v>
      </c>
      <c r="Y668" s="55">
        <v>332</v>
      </c>
      <c r="Z668" s="52">
        <f t="shared" si="231"/>
        <v>-14135.266674894643</v>
      </c>
      <c r="AA668" s="52">
        <f t="shared" si="232"/>
        <v>-68498.600040151141</v>
      </c>
      <c r="AB668" s="52">
        <f t="shared" si="233"/>
        <v>775.06417349991546</v>
      </c>
      <c r="AC668" s="52">
        <f t="shared" si="234"/>
        <v>-5426.1251300675767</v>
      </c>
      <c r="AD668" s="52">
        <f t="shared" si="218"/>
        <v>56.576761827016085</v>
      </c>
      <c r="AE668" s="52">
        <f t="shared" si="219"/>
        <v>262.57977633661386</v>
      </c>
      <c r="AF668" s="52">
        <f t="shared" si="220"/>
        <v>30.251719800057767</v>
      </c>
      <c r="AG668" s="52">
        <f t="shared" si="221"/>
        <v>67.352289217714386</v>
      </c>
      <c r="AH668" s="52">
        <f t="shared" si="222"/>
        <v>-2.1340175346251402</v>
      </c>
      <c r="AI668" s="52">
        <f t="shared" si="223"/>
        <v>28.563513401728105</v>
      </c>
      <c r="AJ668" s="52">
        <f t="shared" si="224"/>
        <v>28.459059561583455</v>
      </c>
      <c r="AK668" s="52">
        <f t="shared" si="225"/>
        <v>166.66397371717136</v>
      </c>
      <c r="AM668" s="52">
        <f t="shared" si="226"/>
        <v>83312.685942952492</v>
      </c>
      <c r="AN668" s="57">
        <f t="shared" si="227"/>
        <v>78717.376132834979</v>
      </c>
      <c r="AO668" s="57">
        <f t="shared" si="228"/>
        <v>54272.951858891007</v>
      </c>
    </row>
    <row r="669" spans="12:41" x14ac:dyDescent="0.25">
      <c r="L669" s="6">
        <v>666</v>
      </c>
      <c r="M669" s="52">
        <f t="shared" si="214"/>
        <v>22938.926261462366</v>
      </c>
      <c r="N669" s="52">
        <f t="shared" si="215"/>
        <v>3454.9150281252614</v>
      </c>
      <c r="P669" s="6">
        <v>666</v>
      </c>
      <c r="Q669" s="52">
        <f t="shared" si="229"/>
        <v>-17942.751616976344</v>
      </c>
      <c r="R669" s="52">
        <f t="shared" si="230"/>
        <v>7168.4405196876833</v>
      </c>
      <c r="T669" s="6">
        <v>666</v>
      </c>
      <c r="U669" s="52">
        <f t="shared" si="216"/>
        <v>-2061.073738537636</v>
      </c>
      <c r="V669" s="52">
        <f t="shared" si="217"/>
        <v>-19045.084971874738</v>
      </c>
      <c r="X669" s="6">
        <v>665</v>
      </c>
      <c r="Y669" s="55">
        <v>332.5</v>
      </c>
      <c r="Z669" s="52">
        <f t="shared" si="231"/>
        <v>-13740.662492916308</v>
      </c>
      <c r="AA669" s="52">
        <f t="shared" si="232"/>
        <v>-71178.840133142847</v>
      </c>
      <c r="AB669" s="52">
        <f t="shared" si="233"/>
        <v>803.35255441342349</v>
      </c>
      <c r="AC669" s="52">
        <f t="shared" si="234"/>
        <v>-5294.8352418992699</v>
      </c>
      <c r="AD669" s="52">
        <f t="shared" si="218"/>
        <v>49.321681681123295</v>
      </c>
      <c r="AE669" s="52">
        <f t="shared" si="219"/>
        <v>243.96001437544879</v>
      </c>
      <c r="AF669" s="52">
        <f t="shared" si="220"/>
        <v>27.591474712779995</v>
      </c>
      <c r="AG669" s="52">
        <f t="shared" si="221"/>
        <v>64.339733353493983</v>
      </c>
      <c r="AH669" s="52">
        <f t="shared" si="222"/>
        <v>-2.0598405348071713</v>
      </c>
      <c r="AI669" s="52">
        <f t="shared" si="223"/>
        <v>26.714562888746787</v>
      </c>
      <c r="AJ669" s="52">
        <f t="shared" si="224"/>
        <v>23.790047503150468</v>
      </c>
      <c r="AK669" s="52">
        <f t="shared" si="225"/>
        <v>152.90571813320801</v>
      </c>
      <c r="AM669" s="52">
        <f t="shared" si="226"/>
        <v>85608.365187974123</v>
      </c>
      <c r="AN669" s="57">
        <f t="shared" si="227"/>
        <v>81419.797293962532</v>
      </c>
      <c r="AO669" s="57">
        <f t="shared" si="228"/>
        <v>56854.738232800752</v>
      </c>
    </row>
    <row r="670" spans="12:41" x14ac:dyDescent="0.25">
      <c r="L670" s="6">
        <v>667</v>
      </c>
      <c r="M670" s="52">
        <f t="shared" si="214"/>
        <v>23009.075115760235</v>
      </c>
      <c r="N670" s="52">
        <f t="shared" si="215"/>
        <v>3506.8224497635315</v>
      </c>
      <c r="P670" s="6">
        <v>667</v>
      </c>
      <c r="Q670" s="52">
        <f t="shared" si="229"/>
        <v>-17893.647418967834</v>
      </c>
      <c r="R670" s="52">
        <f t="shared" si="230"/>
        <v>7204.7757148344717</v>
      </c>
      <c r="T670" s="6">
        <v>667</v>
      </c>
      <c r="U670" s="52">
        <f t="shared" si="216"/>
        <v>-1990.9248842397647</v>
      </c>
      <c r="V670" s="52">
        <f t="shared" si="217"/>
        <v>-18993.177550236469</v>
      </c>
      <c r="X670" s="6">
        <v>666</v>
      </c>
      <c r="Y670" s="55">
        <v>333</v>
      </c>
      <c r="Z670" s="52">
        <f t="shared" si="231"/>
        <v>-13332.821005499456</v>
      </c>
      <c r="AA670" s="52">
        <f t="shared" si="232"/>
        <v>-73795.762752295559</v>
      </c>
      <c r="AB670" s="52">
        <f t="shared" si="233"/>
        <v>828.0133952539851</v>
      </c>
      <c r="AC670" s="52">
        <f t="shared" si="234"/>
        <v>-5172.8552347115456</v>
      </c>
      <c r="AD670" s="52">
        <f t="shared" si="218"/>
        <v>43.222229533948422</v>
      </c>
      <c r="AE670" s="52">
        <f t="shared" si="219"/>
        <v>227.6005336101374</v>
      </c>
      <c r="AF670" s="52">
        <f t="shared" si="220"/>
        <v>25.237949405404844</v>
      </c>
      <c r="AG670" s="52">
        <f t="shared" si="221"/>
        <v>61.553096477424525</v>
      </c>
      <c r="AH670" s="52">
        <f t="shared" si="222"/>
        <v>-1.9950597946415942</v>
      </c>
      <c r="AI670" s="52">
        <f t="shared" si="223"/>
        <v>25.074706613745899</v>
      </c>
      <c r="AJ670" s="52">
        <f t="shared" si="224"/>
        <v>19.979339923185172</v>
      </c>
      <c r="AK670" s="52">
        <f t="shared" si="225"/>
        <v>140.97273051896698</v>
      </c>
      <c r="AM670" s="52">
        <f t="shared" si="226"/>
        <v>87863.97440169772</v>
      </c>
      <c r="AN670" s="57">
        <f t="shared" si="227"/>
        <v>84060.580125191336</v>
      </c>
      <c r="AO670" s="57">
        <f t="shared" si="228"/>
        <v>59383.310984938507</v>
      </c>
    </row>
    <row r="671" spans="12:41" x14ac:dyDescent="0.25">
      <c r="L671" s="6">
        <v>668</v>
      </c>
      <c r="M671" s="52">
        <f t="shared" si="214"/>
        <v>23078.307376628294</v>
      </c>
      <c r="N671" s="52">
        <f t="shared" si="215"/>
        <v>3559.946231966393</v>
      </c>
      <c r="P671" s="6">
        <v>668</v>
      </c>
      <c r="Q671" s="52">
        <f t="shared" si="229"/>
        <v>-17845.184836360193</v>
      </c>
      <c r="R671" s="52">
        <f t="shared" si="230"/>
        <v>7241.9623623764746</v>
      </c>
      <c r="T671" s="6">
        <v>668</v>
      </c>
      <c r="U671" s="52">
        <f t="shared" si="216"/>
        <v>-1921.6926233717054</v>
      </c>
      <c r="V671" s="52">
        <f t="shared" si="217"/>
        <v>-18940.053768033606</v>
      </c>
      <c r="X671" s="6">
        <v>667</v>
      </c>
      <c r="Y671" s="55">
        <v>333.5</v>
      </c>
      <c r="Z671" s="52">
        <f t="shared" si="231"/>
        <v>-12913.411529180721</v>
      </c>
      <c r="AA671" s="52">
        <f t="shared" si="232"/>
        <v>-76353.740302950071</v>
      </c>
      <c r="AB671" s="52">
        <f t="shared" si="233"/>
        <v>849.62451002095929</v>
      </c>
      <c r="AC671" s="52">
        <f t="shared" si="234"/>
        <v>-5059.054967906477</v>
      </c>
      <c r="AD671" s="52">
        <f t="shared" si="218"/>
        <v>38.046460670829134</v>
      </c>
      <c r="AE671" s="52">
        <f t="shared" si="219"/>
        <v>213.12738182800584</v>
      </c>
      <c r="AF671" s="52">
        <f t="shared" si="220"/>
        <v>23.146247714078807</v>
      </c>
      <c r="AG671" s="52">
        <f t="shared" si="221"/>
        <v>58.969865311085499</v>
      </c>
      <c r="AH671" s="52">
        <f t="shared" si="222"/>
        <v>-1.9376521130725071</v>
      </c>
      <c r="AI671" s="52">
        <f t="shared" si="223"/>
        <v>23.611291675637752</v>
      </c>
      <c r="AJ671" s="52">
        <f t="shared" si="224"/>
        <v>16.837865069822833</v>
      </c>
      <c r="AK671" s="52">
        <f t="shared" si="225"/>
        <v>130.54622484128259</v>
      </c>
      <c r="AM671" s="52">
        <f t="shared" si="226"/>
        <v>90081.865107710764</v>
      </c>
      <c r="AN671" s="57">
        <f t="shared" si="227"/>
        <v>86644.031533995993</v>
      </c>
      <c r="AO671" s="57">
        <f t="shared" si="228"/>
        <v>61861.971607701045</v>
      </c>
    </row>
    <row r="672" spans="12:41" x14ac:dyDescent="0.25">
      <c r="L672" s="6">
        <v>669</v>
      </c>
      <c r="M672" s="52">
        <f t="shared" si="214"/>
        <v>23146.601955249185</v>
      </c>
      <c r="N672" s="52">
        <f t="shared" si="215"/>
        <v>3614.2701927151447</v>
      </c>
      <c r="P672" s="6">
        <v>669</v>
      </c>
      <c r="Q672" s="52">
        <f t="shared" si="229"/>
        <v>-17797.37863132557</v>
      </c>
      <c r="R672" s="52">
        <f t="shared" si="230"/>
        <v>7279.9891349006011</v>
      </c>
      <c r="T672" s="6">
        <v>669</v>
      </c>
      <c r="U672" s="52">
        <f t="shared" si="216"/>
        <v>-1853.3980447508138</v>
      </c>
      <c r="V672" s="52">
        <f t="shared" si="217"/>
        <v>-18885.729807284857</v>
      </c>
      <c r="X672" s="6">
        <v>668</v>
      </c>
      <c r="Y672" s="55">
        <v>334</v>
      </c>
      <c r="Z672" s="52">
        <f t="shared" si="231"/>
        <v>-12483.843466586388</v>
      </c>
      <c r="AA672" s="52">
        <f t="shared" si="232"/>
        <v>-78856.626864174803</v>
      </c>
      <c r="AB672" s="52">
        <f t="shared" si="233"/>
        <v>868.6477403563739</v>
      </c>
      <c r="AC672" s="52">
        <f t="shared" si="234"/>
        <v>-4952.491276992474</v>
      </c>
      <c r="AD672" s="52">
        <f t="shared" si="218"/>
        <v>33.618093114462347</v>
      </c>
      <c r="AE672" s="52">
        <f t="shared" si="219"/>
        <v>200.2429236545708</v>
      </c>
      <c r="AF672" s="52">
        <f t="shared" si="220"/>
        <v>21.279407951343916</v>
      </c>
      <c r="AG672" s="52">
        <f t="shared" si="221"/>
        <v>56.570211410942669</v>
      </c>
      <c r="AH672" s="52">
        <f t="shared" si="222"/>
        <v>-1.8861348672702902</v>
      </c>
      <c r="AI672" s="52">
        <f t="shared" si="223"/>
        <v>22.298043071813087</v>
      </c>
      <c r="AJ672" s="52">
        <f t="shared" si="224"/>
        <v>14.224820030388722</v>
      </c>
      <c r="AK672" s="52">
        <f t="shared" si="225"/>
        <v>121.37466917181506</v>
      </c>
      <c r="AM672" s="52">
        <f t="shared" si="226"/>
        <v>92264.115937454277</v>
      </c>
      <c r="AN672" s="57">
        <f t="shared" si="227"/>
        <v>89173.946569129519</v>
      </c>
      <c r="AO672" s="57">
        <f t="shared" si="228"/>
        <v>64293.675486029097</v>
      </c>
    </row>
    <row r="673" spans="12:41" x14ac:dyDescent="0.25">
      <c r="L673" s="6">
        <v>670</v>
      </c>
      <c r="M673" s="52">
        <f t="shared" si="214"/>
        <v>23213.93804843269</v>
      </c>
      <c r="N673" s="52">
        <f t="shared" si="215"/>
        <v>3669.7777844051061</v>
      </c>
      <c r="P673" s="6">
        <v>670</v>
      </c>
      <c r="Q673" s="52">
        <f t="shared" si="229"/>
        <v>-17750.243366097115</v>
      </c>
      <c r="R673" s="52">
        <f t="shared" si="230"/>
        <v>7318.8444490835736</v>
      </c>
      <c r="T673" s="6">
        <v>670</v>
      </c>
      <c r="U673" s="52">
        <f t="shared" si="216"/>
        <v>-1786.0619515673084</v>
      </c>
      <c r="V673" s="52">
        <f t="shared" si="217"/>
        <v>-18830.222215594895</v>
      </c>
      <c r="X673" s="6">
        <v>669</v>
      </c>
      <c r="Y673" s="55">
        <v>334.5</v>
      </c>
      <c r="Z673" s="52">
        <f t="shared" si="231"/>
        <v>-12045.317334768893</v>
      </c>
      <c r="AA673" s="52">
        <f t="shared" si="232"/>
        <v>-81307.842137214218</v>
      </c>
      <c r="AB673" s="52">
        <f t="shared" si="233"/>
        <v>885.45678691360513</v>
      </c>
      <c r="AC673" s="52">
        <f t="shared" si="234"/>
        <v>-4852.3698151651888</v>
      </c>
      <c r="AD673" s="52">
        <f t="shared" si="218"/>
        <v>29.801157680792496</v>
      </c>
      <c r="AE673" s="52">
        <f t="shared" si="219"/>
        <v>188.70769837725379</v>
      </c>
      <c r="AF673" s="52">
        <f t="shared" si="220"/>
        <v>19.60676784421937</v>
      </c>
      <c r="AG673" s="52">
        <f t="shared" si="221"/>
        <v>54.336636000206404</v>
      </c>
      <c r="AH673" s="52">
        <f t="shared" si="222"/>
        <v>-1.839402921999242</v>
      </c>
      <c r="AI673" s="52">
        <f t="shared" si="223"/>
        <v>21.113590409172893</v>
      </c>
      <c r="AJ673" s="52">
        <f t="shared" si="224"/>
        <v>12.033792758572368</v>
      </c>
      <c r="AK673" s="52">
        <f t="shared" si="225"/>
        <v>113.25747196787449</v>
      </c>
      <c r="AM673" s="52">
        <f t="shared" si="226"/>
        <v>94412.579607562904</v>
      </c>
      <c r="AN673" s="57">
        <f t="shared" si="227"/>
        <v>91653.690662509383</v>
      </c>
      <c r="AO673" s="57">
        <f t="shared" si="228"/>
        <v>66681.079964569537</v>
      </c>
    </row>
    <row r="674" spans="12:41" x14ac:dyDescent="0.25">
      <c r="L674" s="6">
        <v>671</v>
      </c>
      <c r="M674" s="52">
        <f t="shared" si="214"/>
        <v>23280.295144952528</v>
      </c>
      <c r="N674" s="52">
        <f t="shared" si="215"/>
        <v>3726.4520988861323</v>
      </c>
      <c r="P674" s="6">
        <v>671</v>
      </c>
      <c r="Q674" s="52">
        <f t="shared" si="229"/>
        <v>-17703.793398533231</v>
      </c>
      <c r="R674" s="52">
        <f t="shared" si="230"/>
        <v>7358.5164692202925</v>
      </c>
      <c r="T674" s="6">
        <v>671</v>
      </c>
      <c r="U674" s="52">
        <f t="shared" si="216"/>
        <v>-1719.7048550474724</v>
      </c>
      <c r="V674" s="52">
        <f t="shared" si="217"/>
        <v>-18773.547901113867</v>
      </c>
      <c r="X674" s="6">
        <v>670</v>
      </c>
      <c r="Y674" s="55">
        <v>335</v>
      </c>
      <c r="Z674" s="52">
        <f t="shared" si="231"/>
        <v>-11598.863796601992</v>
      </c>
      <c r="AA674" s="52">
        <f t="shared" si="232"/>
        <v>-83710.438582499657</v>
      </c>
      <c r="AB674" s="52">
        <f t="shared" si="233"/>
        <v>900.35736575400142</v>
      </c>
      <c r="AC674" s="52">
        <f t="shared" si="234"/>
        <v>-4758.0159659765623</v>
      </c>
      <c r="AD674" s="52">
        <f t="shared" si="218"/>
        <v>26.489375934858032</v>
      </c>
      <c r="AE674" s="52">
        <f t="shared" si="219"/>
        <v>178.32711896676699</v>
      </c>
      <c r="AF674" s="52">
        <f t="shared" si="220"/>
        <v>18.102712742346775</v>
      </c>
      <c r="AG674" s="52">
        <f t="shared" si="221"/>
        <v>52.253662644035096</v>
      </c>
      <c r="AH674" s="52">
        <f t="shared" si="222"/>
        <v>-1.796619343011548</v>
      </c>
      <c r="AI674" s="52">
        <f t="shared" si="223"/>
        <v>20.040382934312767</v>
      </c>
      <c r="AJ674" s="52">
        <f t="shared" si="224"/>
        <v>10.183282535522807</v>
      </c>
      <c r="AK674" s="52">
        <f t="shared" si="225"/>
        <v>106.03307338841913</v>
      </c>
      <c r="AM674" s="52">
        <f t="shared" si="226"/>
        <v>96528.919499019292</v>
      </c>
      <c r="AN674" s="57">
        <f t="shared" si="227"/>
        <v>94086.265675881121</v>
      </c>
      <c r="AO674" s="57">
        <f t="shared" si="228"/>
        <v>69026.584542519282</v>
      </c>
    </row>
    <row r="675" spans="12:41" x14ac:dyDescent="0.25">
      <c r="L675" s="6">
        <v>672</v>
      </c>
      <c r="M675" s="52">
        <f t="shared" si="214"/>
        <v>23345.653031794292</v>
      </c>
      <c r="N675" s="52">
        <f t="shared" si="215"/>
        <v>3784.2758726130292</v>
      </c>
      <c r="P675" s="6">
        <v>672</v>
      </c>
      <c r="Q675" s="52">
        <f t="shared" si="229"/>
        <v>-17658.042877743996</v>
      </c>
      <c r="R675" s="52">
        <f t="shared" si="230"/>
        <v>7398.9931108291203</v>
      </c>
      <c r="T675" s="6">
        <v>672</v>
      </c>
      <c r="U675" s="52">
        <f t="shared" si="216"/>
        <v>-1654.3469682057084</v>
      </c>
      <c r="V675" s="52">
        <f t="shared" si="217"/>
        <v>-18715.724127386969</v>
      </c>
      <c r="X675" s="6">
        <v>671</v>
      </c>
      <c r="Y675" s="55">
        <v>335.5</v>
      </c>
      <c r="Z675" s="52">
        <f t="shared" si="231"/>
        <v>-11145.373941733134</v>
      </c>
      <c r="AA675" s="52">
        <f t="shared" si="232"/>
        <v>-86067.15567561709</v>
      </c>
      <c r="AB675" s="52">
        <f t="shared" si="233"/>
        <v>913.60205372143048</v>
      </c>
      <c r="AC675" s="52">
        <f t="shared" si="234"/>
        <v>-4668.8524064931789</v>
      </c>
      <c r="AD675" s="52">
        <f t="shared" si="218"/>
        <v>23.598672661855531</v>
      </c>
      <c r="AE675" s="52">
        <f t="shared" si="219"/>
        <v>168.94159936671605</v>
      </c>
      <c r="AF675" s="52">
        <f t="shared" si="220"/>
        <v>16.745706764235809</v>
      </c>
      <c r="AG675" s="52">
        <f t="shared" si="221"/>
        <v>50.307572310377473</v>
      </c>
      <c r="AH675" s="52">
        <f t="shared" si="222"/>
        <v>-1.7571408062570615</v>
      </c>
      <c r="AI675" s="52">
        <f t="shared" si="223"/>
        <v>19.06387895636518</v>
      </c>
      <c r="AJ675" s="52">
        <f t="shared" si="224"/>
        <v>8.6101067038767827</v>
      </c>
      <c r="AK675" s="52">
        <f t="shared" si="225"/>
        <v>99.570148099973409</v>
      </c>
      <c r="AM675" s="52">
        <f t="shared" si="226"/>
        <v>98614.63856444211</v>
      </c>
      <c r="AN675" s="57">
        <f t="shared" si="227"/>
        <v>96474.363445606563</v>
      </c>
      <c r="AO675" s="57">
        <f t="shared" si="228"/>
        <v>71332.364580925874</v>
      </c>
    </row>
    <row r="676" spans="12:41" x14ac:dyDescent="0.25">
      <c r="L676" s="6">
        <v>673</v>
      </c>
      <c r="M676" s="52">
        <f t="shared" si="214"/>
        <v>23409.991800312488</v>
      </c>
      <c r="N676" s="52">
        <f t="shared" si="215"/>
        <v>3843.2314919041441</v>
      </c>
      <c r="P676" s="6">
        <v>673</v>
      </c>
      <c r="Q676" s="52">
        <f t="shared" si="229"/>
        <v>-17613.005739781256</v>
      </c>
      <c r="R676" s="52">
        <f t="shared" si="230"/>
        <v>7440.2620443329015</v>
      </c>
      <c r="T676" s="6">
        <v>673</v>
      </c>
      <c r="U676" s="52">
        <f t="shared" si="216"/>
        <v>-1590.008199687511</v>
      </c>
      <c r="V676" s="52">
        <f t="shared" si="217"/>
        <v>-18656.768508095854</v>
      </c>
      <c r="X676" s="6">
        <v>672</v>
      </c>
      <c r="Y676" s="55">
        <v>336</v>
      </c>
      <c r="Z676" s="52">
        <f t="shared" si="231"/>
        <v>-10685.623080789686</v>
      </c>
      <c r="AA676" s="52">
        <f t="shared" si="232"/>
        <v>-88380.464178942842</v>
      </c>
      <c r="AB676" s="52">
        <f t="shared" si="233"/>
        <v>925.40139005235824</v>
      </c>
      <c r="AC676" s="52">
        <f t="shared" si="234"/>
        <v>-4584.3816068098213</v>
      </c>
      <c r="AD676" s="52">
        <f t="shared" si="218"/>
        <v>21.061808171058999</v>
      </c>
      <c r="AE676" s="52">
        <f t="shared" si="219"/>
        <v>160.41913933566798</v>
      </c>
      <c r="AF676" s="52">
        <f t="shared" si="220"/>
        <v>15.517535464951143</v>
      </c>
      <c r="AG676" s="52">
        <f t="shared" si="221"/>
        <v>48.486175411056188</v>
      </c>
      <c r="AH676" s="52">
        <f t="shared" si="222"/>
        <v>-1.7204658259789365</v>
      </c>
      <c r="AI676" s="52">
        <f t="shared" si="223"/>
        <v>18.171932275440511</v>
      </c>
      <c r="AJ676" s="52">
        <f t="shared" si="224"/>
        <v>7.2647385320867919</v>
      </c>
      <c r="AK676" s="52">
        <f t="shared" si="225"/>
        <v>93.761031649171301</v>
      </c>
      <c r="AM676" s="52">
        <f t="shared" si="226"/>
        <v>100671.10248241962</v>
      </c>
      <c r="AN676" s="57">
        <f t="shared" si="227"/>
        <v>98820.409579486033</v>
      </c>
      <c r="AO676" s="57">
        <f t="shared" si="228"/>
        <v>73600.39967917242</v>
      </c>
    </row>
    <row r="677" spans="12:41" x14ac:dyDescent="0.25">
      <c r="L677" s="6">
        <v>674</v>
      </c>
      <c r="M677" s="52">
        <f t="shared" si="214"/>
        <v>23473.29185229498</v>
      </c>
      <c r="N677" s="52">
        <f t="shared" si="215"/>
        <v>3903.3009983067373</v>
      </c>
      <c r="P677" s="6">
        <v>674</v>
      </c>
      <c r="Q677" s="52">
        <f t="shared" si="229"/>
        <v>-17568.695703393514</v>
      </c>
      <c r="R677" s="52">
        <f t="shared" si="230"/>
        <v>7482.3106988147156</v>
      </c>
      <c r="T677" s="6">
        <v>674</v>
      </c>
      <c r="U677" s="52">
        <f t="shared" si="216"/>
        <v>-1526.708147705021</v>
      </c>
      <c r="V677" s="52">
        <f t="shared" si="217"/>
        <v>-18596.699001693261</v>
      </c>
      <c r="X677" s="6">
        <v>673</v>
      </c>
      <c r="Y677" s="55">
        <v>336.5</v>
      </c>
      <c r="Z677" s="52">
        <f t="shared" si="231"/>
        <v>-10220.289659742126</v>
      </c>
      <c r="AA677" s="52">
        <f t="shared" si="232"/>
        <v>-90652.602589930801</v>
      </c>
      <c r="AB677" s="52">
        <f t="shared" si="233"/>
        <v>935.93229413788777</v>
      </c>
      <c r="AC677" s="52">
        <f t="shared" si="234"/>
        <v>-4504.1720371419869</v>
      </c>
      <c r="AD677" s="52">
        <f t="shared" si="218"/>
        <v>18.824470551071006</v>
      </c>
      <c r="AE677" s="52">
        <f t="shared" si="219"/>
        <v>152.64969231139219</v>
      </c>
      <c r="AF677" s="52">
        <f t="shared" si="220"/>
        <v>14.40270845508287</v>
      </c>
      <c r="AG677" s="52">
        <f t="shared" si="221"/>
        <v>46.778615795122334</v>
      </c>
      <c r="AH677" s="52">
        <f t="shared" si="222"/>
        <v>-1.686198262422544</v>
      </c>
      <c r="AI677" s="52">
        <f t="shared" si="223"/>
        <v>17.354322131280316</v>
      </c>
      <c r="AJ677" s="52">
        <f t="shared" si="224"/>
        <v>6.1079603584106783</v>
      </c>
      <c r="AK677" s="52">
        <f t="shared" si="225"/>
        <v>88.51675438498954</v>
      </c>
      <c r="AM677" s="52">
        <f t="shared" si="226"/>
        <v>102699.55843281708</v>
      </c>
      <c r="AN677" s="57">
        <f t="shared" si="227"/>
        <v>101126.5995792694</v>
      </c>
      <c r="AO677" s="57">
        <f t="shared" si="228"/>
        <v>75832.497669281714</v>
      </c>
    </row>
    <row r="678" spans="12:41" x14ac:dyDescent="0.25">
      <c r="L678" s="6">
        <v>675</v>
      </c>
      <c r="M678" s="52">
        <f t="shared" si="214"/>
        <v>23535.533905932738</v>
      </c>
      <c r="N678" s="52">
        <f t="shared" si="215"/>
        <v>3964.4660940672638</v>
      </c>
      <c r="P678" s="6">
        <v>675</v>
      </c>
      <c r="Q678" s="52">
        <f t="shared" si="229"/>
        <v>-17525.126265847084</v>
      </c>
      <c r="R678" s="52">
        <f t="shared" si="230"/>
        <v>7525.1262658470841</v>
      </c>
      <c r="T678" s="6">
        <v>675</v>
      </c>
      <c r="U678" s="52">
        <f t="shared" si="216"/>
        <v>-1464.4660940672611</v>
      </c>
      <c r="V678" s="52">
        <f t="shared" si="217"/>
        <v>-18535.533905932738</v>
      </c>
      <c r="X678" s="6">
        <v>674</v>
      </c>
      <c r="Y678" s="55">
        <v>337</v>
      </c>
      <c r="Z678" s="52">
        <f t="shared" si="231"/>
        <v>-9749.9704538542974</v>
      </c>
      <c r="AA678" s="52">
        <f t="shared" si="232"/>
        <v>-92885.607396962863</v>
      </c>
      <c r="AB678" s="52">
        <f t="shared" si="233"/>
        <v>945.34452941342329</v>
      </c>
      <c r="AC678" s="52">
        <f t="shared" si="234"/>
        <v>-4427.847190986291</v>
      </c>
      <c r="AD678" s="52">
        <f t="shared" si="218"/>
        <v>16.842390353510918</v>
      </c>
      <c r="AE678" s="52">
        <f t="shared" si="219"/>
        <v>145.54084205438335</v>
      </c>
      <c r="AF678" s="52">
        <f t="shared" si="220"/>
        <v>13.387984244119632</v>
      </c>
      <c r="AG678" s="52">
        <f t="shared" si="221"/>
        <v>45.175202182185672</v>
      </c>
      <c r="AH678" s="52">
        <f t="shared" si="222"/>
        <v>-1.6540212306042132</v>
      </c>
      <c r="AI678" s="52">
        <f t="shared" si="223"/>
        <v>16.602389114300358</v>
      </c>
      <c r="AJ678" s="52">
        <f t="shared" si="224"/>
        <v>5.1084273399954991</v>
      </c>
      <c r="AK678" s="52">
        <f t="shared" si="225"/>
        <v>83.76325075789731</v>
      </c>
      <c r="AM678" s="52">
        <f t="shared" si="226"/>
        <v>104701.1504925441</v>
      </c>
      <c r="AN678" s="57">
        <f t="shared" si="227"/>
        <v>103394.92886567909</v>
      </c>
      <c r="AO678" s="57">
        <f t="shared" si="228"/>
        <v>78030.314999404713</v>
      </c>
    </row>
    <row r="679" spans="12:41" x14ac:dyDescent="0.25">
      <c r="L679" s="6">
        <v>676</v>
      </c>
      <c r="M679" s="52">
        <f t="shared" si="214"/>
        <v>23596.699001693254</v>
      </c>
      <c r="N679" s="52">
        <f t="shared" si="215"/>
        <v>4026.708147705011</v>
      </c>
      <c r="P679" s="6">
        <v>676</v>
      </c>
      <c r="Q679" s="52">
        <f t="shared" si="229"/>
        <v>-17482.310698814723</v>
      </c>
      <c r="R679" s="52">
        <f t="shared" si="230"/>
        <v>7568.6957033935078</v>
      </c>
      <c r="T679" s="6">
        <v>676</v>
      </c>
      <c r="U679" s="52">
        <f t="shared" si="216"/>
        <v>-1403.3009983067468</v>
      </c>
      <c r="V679" s="52">
        <f t="shared" si="217"/>
        <v>-18473.291852294988</v>
      </c>
      <c r="X679" s="6">
        <v>675</v>
      </c>
      <c r="Y679" s="55">
        <v>337.5</v>
      </c>
      <c r="Z679" s="52">
        <f t="shared" si="231"/>
        <v>-9275.1928903533972</v>
      </c>
      <c r="AA679" s="52">
        <f t="shared" si="232"/>
        <v>-95081.338387199212</v>
      </c>
      <c r="AB679" s="52">
        <f t="shared" si="233"/>
        <v>953.76572459017871</v>
      </c>
      <c r="AC679" s="52">
        <f t="shared" si="234"/>
        <v>-4355.0767699590997</v>
      </c>
      <c r="AD679" s="52">
        <f t="shared" si="218"/>
        <v>15.079182395476479</v>
      </c>
      <c r="AE679" s="52">
        <f t="shared" si="219"/>
        <v>139.01445073147605</v>
      </c>
      <c r="AF679" s="52">
        <f t="shared" si="220"/>
        <v>12.461989379263397</v>
      </c>
      <c r="AG679" s="52">
        <f t="shared" si="221"/>
        <v>43.667263074230398</v>
      </c>
      <c r="AH679" s="52">
        <f t="shared" si="222"/>
        <v>-1.6236781973043439</v>
      </c>
      <c r="AI679" s="52">
        <f t="shared" si="223"/>
        <v>15.908750277605458</v>
      </c>
      <c r="AJ679" s="52">
        <f t="shared" si="224"/>
        <v>4.2408712135174271</v>
      </c>
      <c r="AK679" s="52">
        <f t="shared" si="225"/>
        <v>79.438437379640192</v>
      </c>
      <c r="AM679" s="52">
        <f t="shared" si="226"/>
        <v>106676.93238969927</v>
      </c>
      <c r="AN679" s="57">
        <f t="shared" si="227"/>
        <v>105627.21791652089</v>
      </c>
      <c r="AO679" s="57">
        <f t="shared" si="228"/>
        <v>80195.374131771678</v>
      </c>
    </row>
    <row r="680" spans="12:41" x14ac:dyDescent="0.25">
      <c r="L680" s="6">
        <v>677</v>
      </c>
      <c r="M680" s="52">
        <f t="shared" si="214"/>
        <v>23656.768508095851</v>
      </c>
      <c r="N680" s="52">
        <f t="shared" si="215"/>
        <v>4090.0081996875078</v>
      </c>
      <c r="P680" s="6">
        <v>677</v>
      </c>
      <c r="Q680" s="52">
        <f t="shared" si="229"/>
        <v>-17440.262044332903</v>
      </c>
      <c r="R680" s="52">
        <f t="shared" si="230"/>
        <v>7613.0057397812552</v>
      </c>
      <c r="T680" s="6">
        <v>677</v>
      </c>
      <c r="U680" s="52">
        <f t="shared" si="216"/>
        <v>-1343.2314919041478</v>
      </c>
      <c r="V680" s="52">
        <f t="shared" si="217"/>
        <v>-18409.991800312491</v>
      </c>
      <c r="X680" s="6">
        <v>676</v>
      </c>
      <c r="Y680" s="55">
        <v>338</v>
      </c>
      <c r="Z680" s="52">
        <f t="shared" si="231"/>
        <v>-8796.4251302588727</v>
      </c>
      <c r="AA680" s="52">
        <f t="shared" si="232"/>
        <v>-97241.499965837327</v>
      </c>
      <c r="AB680" s="52">
        <f t="shared" si="233"/>
        <v>961.30531578791692</v>
      </c>
      <c r="AC680" s="52">
        <f t="shared" si="234"/>
        <v>-4285.5695445933616</v>
      </c>
      <c r="AD680" s="52">
        <f t="shared" si="218"/>
        <v>13.504712050534142</v>
      </c>
      <c r="AE680" s="52">
        <f t="shared" si="219"/>
        <v>133.00403573489749</v>
      </c>
      <c r="AF680" s="52">
        <f t="shared" si="220"/>
        <v>11.614910978232926</v>
      </c>
      <c r="AG680" s="52">
        <f t="shared" si="221"/>
        <v>42.247021716297702</v>
      </c>
      <c r="AH680" s="52">
        <f t="shared" si="222"/>
        <v>-1.5949591159370073</v>
      </c>
      <c r="AI680" s="52">
        <f t="shared" si="223"/>
        <v>15.267074122852963</v>
      </c>
      <c r="AJ680" s="52">
        <f t="shared" si="224"/>
        <v>3.4847601882382229</v>
      </c>
      <c r="AK680" s="52">
        <f t="shared" si="225"/>
        <v>75.489939895746815</v>
      </c>
      <c r="AM680" s="52">
        <f t="shared" si="226"/>
        <v>108627.87816843383</v>
      </c>
      <c r="AN680" s="57">
        <f t="shared" si="227"/>
        <v>107825.13345590897</v>
      </c>
      <c r="AO680" s="57">
        <f t="shared" si="228"/>
        <v>82329.078461989862</v>
      </c>
    </row>
    <row r="681" spans="12:41" x14ac:dyDescent="0.25">
      <c r="L681" s="6">
        <v>678</v>
      </c>
      <c r="M681" s="52">
        <f t="shared" si="214"/>
        <v>23715.724127386966</v>
      </c>
      <c r="N681" s="52">
        <f t="shared" si="215"/>
        <v>4154.3469682057048</v>
      </c>
      <c r="P681" s="6">
        <v>678</v>
      </c>
      <c r="Q681" s="52">
        <f t="shared" si="229"/>
        <v>-17398.993110829124</v>
      </c>
      <c r="R681" s="52">
        <f t="shared" si="230"/>
        <v>7658.0428777439938</v>
      </c>
      <c r="T681" s="6">
        <v>678</v>
      </c>
      <c r="U681" s="52">
        <f t="shared" si="216"/>
        <v>-1284.2758726130323</v>
      </c>
      <c r="V681" s="52">
        <f t="shared" si="217"/>
        <v>-18345.653031794296</v>
      </c>
      <c r="X681" s="6">
        <v>677</v>
      </c>
      <c r="Y681" s="55">
        <v>338.5</v>
      </c>
      <c r="Z681" s="52">
        <f t="shared" si="231"/>
        <v>-8314.0843833585968</v>
      </c>
      <c r="AA681" s="52">
        <f t="shared" si="232"/>
        <v>-99367.659233667146</v>
      </c>
      <c r="AB681" s="52">
        <f t="shared" si="233"/>
        <v>968.05767181318402</v>
      </c>
      <c r="AC681" s="52">
        <f t="shared" si="234"/>
        <v>-4219.067526725913</v>
      </c>
      <c r="AD681" s="52">
        <f t="shared" si="218"/>
        <v>12.093844856916705</v>
      </c>
      <c r="AE681" s="52">
        <f t="shared" si="219"/>
        <v>127.45269868980191</v>
      </c>
      <c r="AF681" s="52">
        <f t="shared" si="220"/>
        <v>10.838246856717769</v>
      </c>
      <c r="AG681" s="52">
        <f t="shared" si="221"/>
        <v>40.907488163552848</v>
      </c>
      <c r="AH681" s="52">
        <f t="shared" si="222"/>
        <v>-1.5676901384214441</v>
      </c>
      <c r="AI681" s="52">
        <f t="shared" si="223"/>
        <v>14.671901326986816</v>
      </c>
      <c r="AJ681" s="52">
        <f t="shared" si="224"/>
        <v>2.8232881386203812</v>
      </c>
      <c r="AK681" s="52">
        <f t="shared" si="225"/>
        <v>71.873309199262238</v>
      </c>
      <c r="AM681" s="52">
        <f t="shared" si="226"/>
        <v>110554.89118329932</v>
      </c>
      <c r="AN681" s="57">
        <f t="shared" si="227"/>
        <v>109990.20642789431</v>
      </c>
      <c r="AO681" s="57">
        <f t="shared" si="228"/>
        <v>84432.725171394311</v>
      </c>
    </row>
    <row r="682" spans="12:41" x14ac:dyDescent="0.25">
      <c r="L682" s="6">
        <v>679</v>
      </c>
      <c r="M682" s="52">
        <f t="shared" si="214"/>
        <v>23773.54790111386</v>
      </c>
      <c r="N682" s="52">
        <f t="shared" si="215"/>
        <v>4219.7048550474619</v>
      </c>
      <c r="P682" s="6">
        <v>679</v>
      </c>
      <c r="Q682" s="52">
        <f t="shared" si="229"/>
        <v>-17358.5164692203</v>
      </c>
      <c r="R682" s="52">
        <f t="shared" si="230"/>
        <v>7703.7933985332238</v>
      </c>
      <c r="T682" s="6">
        <v>679</v>
      </c>
      <c r="U682" s="52">
        <f t="shared" si="216"/>
        <v>-1226.4520988861409</v>
      </c>
      <c r="V682" s="52">
        <f t="shared" si="217"/>
        <v>-18280.295144952539</v>
      </c>
      <c r="X682" s="6">
        <v>678</v>
      </c>
      <c r="Y682" s="55">
        <v>339</v>
      </c>
      <c r="Z682" s="52">
        <f t="shared" si="231"/>
        <v>-7828.5438168448909</v>
      </c>
      <c r="AA682" s="52">
        <f t="shared" si="232"/>
        <v>-101461.26140969388</v>
      </c>
      <c r="AB682" s="52">
        <f t="shared" si="233"/>
        <v>974.10459424164242</v>
      </c>
      <c r="AC682" s="52">
        <f t="shared" si="234"/>
        <v>-4155.3411773810121</v>
      </c>
      <c r="AD682" s="52">
        <f t="shared" si="218"/>
        <v>10.825479690777255</v>
      </c>
      <c r="AE682" s="52">
        <f t="shared" si="219"/>
        <v>122.31147686895014</v>
      </c>
      <c r="AF682" s="52">
        <f t="shared" si="220"/>
        <v>10.124601197000919</v>
      </c>
      <c r="AG682" s="52">
        <f t="shared" si="221"/>
        <v>39.642365944694006</v>
      </c>
      <c r="AH682" s="52">
        <f t="shared" si="222"/>
        <v>-1.5417258977583217</v>
      </c>
      <c r="AI682" s="52">
        <f t="shared" si="223"/>
        <v>14.118500755066584</v>
      </c>
      <c r="AJ682" s="52">
        <f t="shared" si="224"/>
        <v>2.242604391534659</v>
      </c>
      <c r="AK682" s="52">
        <f t="shared" si="225"/>
        <v>68.550610169189554</v>
      </c>
      <c r="AM682" s="52">
        <f t="shared" si="226"/>
        <v>112458.8117443791</v>
      </c>
      <c r="AN682" s="57">
        <f t="shared" si="227"/>
        <v>112123.84733257497</v>
      </c>
      <c r="AO682" s="57">
        <f t="shared" si="228"/>
        <v>86507.51634788292</v>
      </c>
    </row>
    <row r="683" spans="12:41" x14ac:dyDescent="0.25">
      <c r="L683" s="6">
        <v>680</v>
      </c>
      <c r="M683" s="52">
        <f t="shared" si="214"/>
        <v>23830.222215594891</v>
      </c>
      <c r="N683" s="52">
        <f t="shared" si="215"/>
        <v>4286.0619515673043</v>
      </c>
      <c r="P683" s="6">
        <v>680</v>
      </c>
      <c r="Q683" s="52">
        <f t="shared" si="229"/>
        <v>-17318.844449083575</v>
      </c>
      <c r="R683" s="52">
        <f t="shared" si="230"/>
        <v>7750.2433660971128</v>
      </c>
      <c r="T683" s="6">
        <v>680</v>
      </c>
      <c r="U683" s="52">
        <f t="shared" si="216"/>
        <v>-1169.7777844051088</v>
      </c>
      <c r="V683" s="52">
        <f t="shared" si="217"/>
        <v>-18213.938048432694</v>
      </c>
      <c r="X683" s="6">
        <v>679</v>
      </c>
      <c r="Y683" s="55">
        <v>339.5</v>
      </c>
      <c r="Z683" s="52">
        <f t="shared" si="231"/>
        <v>-7340.1383347627225</v>
      </c>
      <c r="AA683" s="52">
        <f t="shared" si="232"/>
        <v>-103523.64306377577</v>
      </c>
      <c r="AB683" s="52">
        <f t="shared" si="233"/>
        <v>979.51733408703103</v>
      </c>
      <c r="AC683" s="52">
        <f t="shared" si="234"/>
        <v>-4094.185438946537</v>
      </c>
      <c r="AD683" s="52">
        <f t="shared" si="218"/>
        <v>9.6817940884287985</v>
      </c>
      <c r="AE683" s="52">
        <f t="shared" si="219"/>
        <v>117.53802064899344</v>
      </c>
      <c r="AF683" s="52">
        <f t="shared" si="220"/>
        <v>9.4675164828963467</v>
      </c>
      <c r="AG683" s="52">
        <f t="shared" si="221"/>
        <v>38.44597118811982</v>
      </c>
      <c r="AH683" s="52">
        <f t="shared" si="222"/>
        <v>-1.5169436591667154</v>
      </c>
      <c r="AI683" s="52">
        <f t="shared" si="223"/>
        <v>13.602752941919492</v>
      </c>
      <c r="AJ683" s="52">
        <f t="shared" si="224"/>
        <v>1.7312212646991665</v>
      </c>
      <c r="AK683" s="52">
        <f t="shared" si="225"/>
        <v>65.489296518954134</v>
      </c>
      <c r="AM683" s="52">
        <f t="shared" si="226"/>
        <v>114340.42366248539</v>
      </c>
      <c r="AN683" s="57">
        <f t="shared" si="227"/>
        <v>114227.35938405698</v>
      </c>
      <c r="AO683" s="57">
        <f t="shared" si="228"/>
        <v>88554.568649554174</v>
      </c>
    </row>
    <row r="684" spans="12:41" x14ac:dyDescent="0.25">
      <c r="L684" s="6">
        <v>681</v>
      </c>
      <c r="M684" s="52">
        <f t="shared" si="214"/>
        <v>23885.72980728485</v>
      </c>
      <c r="N684" s="52">
        <f t="shared" si="215"/>
        <v>4353.3980447508093</v>
      </c>
      <c r="P684" s="6">
        <v>681</v>
      </c>
      <c r="Q684" s="52">
        <f t="shared" si="229"/>
        <v>-17279.989134900603</v>
      </c>
      <c r="R684" s="52">
        <f t="shared" si="230"/>
        <v>7797.3786313255669</v>
      </c>
      <c r="T684" s="6">
        <v>681</v>
      </c>
      <c r="U684" s="52">
        <f t="shared" si="216"/>
        <v>-1114.2701927151484</v>
      </c>
      <c r="V684" s="52">
        <f t="shared" si="217"/>
        <v>-18146.601955249189</v>
      </c>
      <c r="X684" s="6">
        <v>680</v>
      </c>
      <c r="Y684" s="55">
        <v>340</v>
      </c>
      <c r="Z684" s="52">
        <f t="shared" si="231"/>
        <v>-6849.1694434581532</v>
      </c>
      <c r="AA684" s="52">
        <f t="shared" si="232"/>
        <v>-105556.04353066791</v>
      </c>
      <c r="AB684" s="52">
        <f t="shared" si="233"/>
        <v>984.35823113124547</v>
      </c>
      <c r="AC684" s="52">
        <f t="shared" si="234"/>
        <v>-4035.4164286220403</v>
      </c>
      <c r="AD684" s="52">
        <f t="shared" si="218"/>
        <v>8.6476499600962917</v>
      </c>
      <c r="AE684" s="52">
        <f t="shared" si="219"/>
        <v>113.09552476872263</v>
      </c>
      <c r="AF684" s="52">
        <f t="shared" si="220"/>
        <v>8.8613345070813949</v>
      </c>
      <c r="AG684" s="52">
        <f t="shared" si="221"/>
        <v>37.313162400876465</v>
      </c>
      <c r="AH684" s="52">
        <f t="shared" si="222"/>
        <v>-1.4932388439436499</v>
      </c>
      <c r="AI684" s="52">
        <f t="shared" si="223"/>
        <v>13.121055138726632</v>
      </c>
      <c r="AJ684" s="52">
        <f t="shared" si="224"/>
        <v>1.2795542969585465</v>
      </c>
      <c r="AK684" s="52">
        <f t="shared" si="225"/>
        <v>62.661307229119529</v>
      </c>
      <c r="AM684" s="52">
        <f t="shared" si="226"/>
        <v>116200.45988984642</v>
      </c>
      <c r="AN684" s="57">
        <f t="shared" si="227"/>
        <v>116301.9498580677</v>
      </c>
      <c r="AO684" s="57">
        <f t="shared" si="228"/>
        <v>90574.921736421282</v>
      </c>
    </row>
    <row r="685" spans="12:41" x14ac:dyDescent="0.25">
      <c r="L685" s="6">
        <v>682</v>
      </c>
      <c r="M685" s="52">
        <f t="shared" si="214"/>
        <v>23940.053768033606</v>
      </c>
      <c r="N685" s="52">
        <f t="shared" si="215"/>
        <v>4421.6926233717013</v>
      </c>
      <c r="P685" s="6">
        <v>682</v>
      </c>
      <c r="Q685" s="52">
        <f t="shared" si="229"/>
        <v>-17241.962362376478</v>
      </c>
      <c r="R685" s="52">
        <f t="shared" si="230"/>
        <v>7845.1848363601912</v>
      </c>
      <c r="T685" s="6">
        <v>682</v>
      </c>
      <c r="U685" s="52">
        <f t="shared" si="216"/>
        <v>-1059.9462319663962</v>
      </c>
      <c r="V685" s="52">
        <f t="shared" si="217"/>
        <v>-18078.307376628298</v>
      </c>
      <c r="X685" s="6">
        <v>681</v>
      </c>
      <c r="Y685" s="55">
        <v>340.5</v>
      </c>
      <c r="Z685" s="52">
        <f t="shared" si="231"/>
        <v>-6355.9093716475181</v>
      </c>
      <c r="AA685" s="52">
        <f t="shared" si="232"/>
        <v>-107559.61480438284</v>
      </c>
      <c r="AB685" s="52">
        <f t="shared" si="233"/>
        <v>988.6820561112936</v>
      </c>
      <c r="AC685" s="52">
        <f t="shared" si="234"/>
        <v>-3978.868666237679</v>
      </c>
      <c r="AD685" s="52">
        <f t="shared" si="218"/>
        <v>7.7101217553132031</v>
      </c>
      <c r="AE685" s="52">
        <f t="shared" si="219"/>
        <v>108.95185874260173</v>
      </c>
      <c r="AF685" s="52">
        <f t="shared" si="220"/>
        <v>8.3010808292307328</v>
      </c>
      <c r="AG685" s="52">
        <f t="shared" si="221"/>
        <v>36.239279366274062</v>
      </c>
      <c r="AH685" s="52">
        <f t="shared" si="222"/>
        <v>-1.4705215719417488</v>
      </c>
      <c r="AI685" s="52">
        <f t="shared" si="223"/>
        <v>12.670243423902118</v>
      </c>
      <c r="AJ685" s="52">
        <f t="shared" si="224"/>
        <v>0.8795624980242196</v>
      </c>
      <c r="AK685" s="52">
        <f t="shared" si="225"/>
        <v>60.042335952425553</v>
      </c>
      <c r="AM685" s="52">
        <f t="shared" si="226"/>
        <v>118039.60741098494</v>
      </c>
      <c r="AN685" s="57">
        <f t="shared" si="227"/>
        <v>118348.73992582079</v>
      </c>
      <c r="AO685" s="57">
        <f t="shared" si="228"/>
        <v>92569.545656008529</v>
      </c>
    </row>
    <row r="686" spans="12:41" x14ac:dyDescent="0.25">
      <c r="L686" s="6">
        <v>683</v>
      </c>
      <c r="M686" s="52">
        <f t="shared" si="214"/>
        <v>23993.177550236465</v>
      </c>
      <c r="N686" s="52">
        <f t="shared" si="215"/>
        <v>4490.924884239761</v>
      </c>
      <c r="P686" s="6">
        <v>683</v>
      </c>
      <c r="Q686" s="52">
        <f t="shared" si="229"/>
        <v>-17204.775714834475</v>
      </c>
      <c r="R686" s="52">
        <f t="shared" si="230"/>
        <v>7893.647418967832</v>
      </c>
      <c r="T686" s="6">
        <v>683</v>
      </c>
      <c r="U686" s="52">
        <f t="shared" si="216"/>
        <v>-1006.8224497635338</v>
      </c>
      <c r="V686" s="52">
        <f t="shared" si="217"/>
        <v>-18009.075115760239</v>
      </c>
      <c r="X686" s="6">
        <v>682</v>
      </c>
      <c r="Y686" s="55">
        <v>341</v>
      </c>
      <c r="Z686" s="52">
        <f t="shared" si="231"/>
        <v>-5860.6045783724567</v>
      </c>
      <c r="AA686" s="52">
        <f t="shared" si="232"/>
        <v>-109535.43015515886</v>
      </c>
      <c r="AB686" s="52">
        <f t="shared" si="233"/>
        <v>992.53711698895017</v>
      </c>
      <c r="AC686" s="52">
        <f t="shared" si="234"/>
        <v>-3924.3927368663781</v>
      </c>
      <c r="AD686" s="52">
        <f t="shared" si="218"/>
        <v>6.8581189713763582</v>
      </c>
      <c r="AE686" s="52">
        <f t="shared" si="219"/>
        <v>105.07885473445425</v>
      </c>
      <c r="AF686" s="52">
        <f t="shared" si="220"/>
        <v>7.7823682612696841</v>
      </c>
      <c r="AG686" s="52">
        <f t="shared" si="221"/>
        <v>35.220089859974784</v>
      </c>
      <c r="AH686" s="52">
        <f t="shared" si="222"/>
        <v>-1.4487139670987466</v>
      </c>
      <c r="AI686" s="52">
        <f t="shared" si="223"/>
        <v>12.24752841723709</v>
      </c>
      <c r="AJ686" s="52">
        <f t="shared" si="224"/>
        <v>0.52446467720542067</v>
      </c>
      <c r="AK686" s="52">
        <f t="shared" si="225"/>
        <v>57.611236457242377</v>
      </c>
      <c r="AM686" s="52">
        <f t="shared" si="226"/>
        <v>119858.51150736857</v>
      </c>
      <c r="AN686" s="57">
        <f t="shared" si="227"/>
        <v>120368.77321493313</v>
      </c>
      <c r="AO686" s="57">
        <f t="shared" si="228"/>
        <v>94539.347336763618</v>
      </c>
    </row>
    <row r="687" spans="12:41" x14ac:dyDescent="0.25">
      <c r="L687" s="6">
        <v>684</v>
      </c>
      <c r="M687" s="52">
        <f t="shared" si="214"/>
        <v>24045.084971874734</v>
      </c>
      <c r="N687" s="52">
        <f t="shared" si="215"/>
        <v>4561.0737385376324</v>
      </c>
      <c r="P687" s="6">
        <v>684</v>
      </c>
      <c r="Q687" s="52">
        <f t="shared" si="229"/>
        <v>-17168.440519687683</v>
      </c>
      <c r="R687" s="52">
        <f t="shared" si="230"/>
        <v>7942.751616976343</v>
      </c>
      <c r="T687" s="6">
        <v>684</v>
      </c>
      <c r="U687" s="52">
        <f t="shared" si="216"/>
        <v>-954.9150281252646</v>
      </c>
      <c r="V687" s="52">
        <f t="shared" si="217"/>
        <v>-17938.926261462366</v>
      </c>
      <c r="X687" s="6">
        <v>683</v>
      </c>
      <c r="Y687" s="55">
        <v>341.5</v>
      </c>
      <c r="Z687" s="52">
        <f t="shared" si="231"/>
        <v>-5363.4787550065603</v>
      </c>
      <c r="AA687" s="52">
        <f t="shared" si="232"/>
        <v>-111484.49166675024</v>
      </c>
      <c r="AB687" s="52">
        <f t="shared" si="233"/>
        <v>995.96617647463836</v>
      </c>
      <c r="AC687" s="52">
        <f t="shared" si="234"/>
        <v>-3871.8533094991508</v>
      </c>
      <c r="AD687" s="52">
        <f t="shared" si="218"/>
        <v>6.0820819716076873</v>
      </c>
      <c r="AE687" s="52">
        <f t="shared" si="219"/>
        <v>101.45172081781044</v>
      </c>
      <c r="AF687" s="52">
        <f t="shared" si="220"/>
        <v>7.3013158758202561</v>
      </c>
      <c r="AG687" s="52">
        <f t="shared" si="221"/>
        <v>34.251743082023523</v>
      </c>
      <c r="AH687" s="52">
        <f t="shared" si="222"/>
        <v>-1.4277480397301323</v>
      </c>
      <c r="AI687" s="52">
        <f t="shared" si="223"/>
        <v>11.850441913862845</v>
      </c>
      <c r="AJ687" s="52">
        <f t="shared" si="224"/>
        <v>0.20851413551756337</v>
      </c>
      <c r="AK687" s="52">
        <f t="shared" si="225"/>
        <v>55.349535821924079</v>
      </c>
      <c r="AM687" s="52">
        <f t="shared" si="226"/>
        <v>121657.77949539696</v>
      </c>
      <c r="AN687" s="57">
        <f t="shared" si="227"/>
        <v>122363.02329414655</v>
      </c>
      <c r="AO687" s="57">
        <f t="shared" si="228"/>
        <v>96485.176317383273</v>
      </c>
    </row>
    <row r="688" spans="12:41" x14ac:dyDescent="0.25">
      <c r="L688" s="6">
        <v>685</v>
      </c>
      <c r="M688" s="52">
        <f t="shared" si="214"/>
        <v>24095.760221444954</v>
      </c>
      <c r="N688" s="52">
        <f t="shared" si="215"/>
        <v>4632.1178182447629</v>
      </c>
      <c r="P688" s="6">
        <v>685</v>
      </c>
      <c r="Q688" s="52">
        <f t="shared" si="229"/>
        <v>-17132.967844988532</v>
      </c>
      <c r="R688" s="52">
        <f t="shared" si="230"/>
        <v>7992.482472771334</v>
      </c>
      <c r="T688" s="6">
        <v>685</v>
      </c>
      <c r="U688" s="52">
        <f t="shared" si="216"/>
        <v>-904.23977855504563</v>
      </c>
      <c r="V688" s="52">
        <f t="shared" si="217"/>
        <v>-17867.882181755238</v>
      </c>
      <c r="X688" s="6">
        <v>684</v>
      </c>
      <c r="Y688" s="55">
        <v>342</v>
      </c>
      <c r="Z688" s="52">
        <f t="shared" si="231"/>
        <v>-4864.7354065227901</v>
      </c>
      <c r="AA688" s="52">
        <f t="shared" si="232"/>
        <v>-113407.73685639759</v>
      </c>
      <c r="AB688" s="52">
        <f t="shared" si="233"/>
        <v>999.00721746044223</v>
      </c>
      <c r="AC688" s="52">
        <f t="shared" si="234"/>
        <v>-3821.1274490902456</v>
      </c>
      <c r="AD688" s="52">
        <f t="shared" si="218"/>
        <v>5.3737352269387975</v>
      </c>
      <c r="AE688" s="52">
        <f t="shared" si="219"/>
        <v>98.048554759220593</v>
      </c>
      <c r="AF688" s="52">
        <f t="shared" si="220"/>
        <v>6.8544807452560832</v>
      </c>
      <c r="AG688" s="52">
        <f t="shared" si="221"/>
        <v>33.330728869017335</v>
      </c>
      <c r="AH688" s="52">
        <f t="shared" si="222"/>
        <v>-1.4075640085159324</v>
      </c>
      <c r="AI688" s="52">
        <f t="shared" si="223"/>
        <v>11.476792341399245</v>
      </c>
      <c r="AJ688" s="52">
        <f t="shared" si="224"/>
        <v>-7.318150980135342E-2</v>
      </c>
      <c r="AK688" s="52">
        <f t="shared" si="225"/>
        <v>53.241033548804005</v>
      </c>
      <c r="AM688" s="52">
        <f t="shared" si="226"/>
        <v>123437.98401858429</v>
      </c>
      <c r="AN688" s="57">
        <f t="shared" si="227"/>
        <v>124332.40024359072</v>
      </c>
      <c r="AO688" s="57">
        <f t="shared" si="228"/>
        <v>98407.829819116727</v>
      </c>
    </row>
    <row r="689" spans="12:41" x14ac:dyDescent="0.25">
      <c r="L689" s="6">
        <v>686</v>
      </c>
      <c r="M689" s="52">
        <f t="shared" si="214"/>
        <v>24145.187862775212</v>
      </c>
      <c r="N689" s="52">
        <f t="shared" si="215"/>
        <v>4704.0354826462699</v>
      </c>
      <c r="P689" s="6">
        <v>686</v>
      </c>
      <c r="Q689" s="52">
        <f t="shared" si="229"/>
        <v>-17098.368496057352</v>
      </c>
      <c r="R689" s="52">
        <f t="shared" si="230"/>
        <v>8042.8248378523895</v>
      </c>
      <c r="T689" s="6">
        <v>686</v>
      </c>
      <c r="U689" s="52">
        <f t="shared" si="216"/>
        <v>-854.81213722478878</v>
      </c>
      <c r="V689" s="52">
        <f t="shared" si="217"/>
        <v>-17795.964517353728</v>
      </c>
      <c r="X689" s="6">
        <v>685</v>
      </c>
      <c r="Y689" s="55">
        <v>342.5</v>
      </c>
      <c r="Z689" s="52">
        <f t="shared" si="231"/>
        <v>-4364.5600808892013</v>
      </c>
      <c r="AA689" s="52">
        <f t="shared" si="232"/>
        <v>-115306.04451159781</v>
      </c>
      <c r="AB689" s="52">
        <f t="shared" si="233"/>
        <v>1001.6940850739117</v>
      </c>
      <c r="AC689" s="52">
        <f t="shared" si="234"/>
        <v>-3772.1031717106353</v>
      </c>
      <c r="AD689" s="52">
        <f t="shared" si="218"/>
        <v>4.7258858760648854</v>
      </c>
      <c r="AE689" s="52">
        <f t="shared" si="219"/>
        <v>94.849938908111156</v>
      </c>
      <c r="AF689" s="52">
        <f t="shared" si="220"/>
        <v>6.4388001727121233</v>
      </c>
      <c r="AG689" s="52">
        <f t="shared" si="221"/>
        <v>32.453841891099337</v>
      </c>
      <c r="AH689" s="52">
        <f t="shared" si="222"/>
        <v>-1.3881089604287706</v>
      </c>
      <c r="AI689" s="52">
        <f t="shared" si="223"/>
        <v>11.124627390229987</v>
      </c>
      <c r="AJ689" s="52">
        <f t="shared" si="224"/>
        <v>-0.32480533621846674</v>
      </c>
      <c r="AK689" s="52">
        <f t="shared" si="225"/>
        <v>51.27146962678183</v>
      </c>
      <c r="AM689" s="52">
        <f t="shared" si="226"/>
        <v>125199.66596009671</v>
      </c>
      <c r="AN689" s="57">
        <f t="shared" si="227"/>
        <v>126277.75644430278</v>
      </c>
      <c r="AO689" s="57">
        <f t="shared" si="228"/>
        <v>100308.05725091799</v>
      </c>
    </row>
    <row r="690" spans="12:41" x14ac:dyDescent="0.25">
      <c r="L690" s="6">
        <v>687</v>
      </c>
      <c r="M690" s="52">
        <f t="shared" si="214"/>
        <v>24193.352839727118</v>
      </c>
      <c r="N690" s="52">
        <f t="shared" si="215"/>
        <v>4776.8048249248641</v>
      </c>
      <c r="P690" s="6">
        <v>687</v>
      </c>
      <c r="Q690" s="52">
        <f t="shared" si="229"/>
        <v>-17064.653012191018</v>
      </c>
      <c r="R690" s="52">
        <f t="shared" si="230"/>
        <v>8093.7633774474052</v>
      </c>
      <c r="T690" s="6">
        <v>687</v>
      </c>
      <c r="U690" s="52">
        <f t="shared" si="216"/>
        <v>-806.64716027288068</v>
      </c>
      <c r="V690" s="52">
        <f t="shared" si="217"/>
        <v>-17723.195175075136</v>
      </c>
      <c r="X690" s="6">
        <v>686</v>
      </c>
      <c r="Y690" s="55">
        <v>343</v>
      </c>
      <c r="Z690" s="52">
        <f t="shared" si="231"/>
        <v>-3863.1223026177372</v>
      </c>
      <c r="AA690" s="52">
        <f t="shared" si="232"/>
        <v>-117180.2398550896</v>
      </c>
      <c r="AB690" s="52">
        <f t="shared" si="233"/>
        <v>1004.0570280119441</v>
      </c>
      <c r="AC690" s="52">
        <f t="shared" si="234"/>
        <v>-3724.6782022565799</v>
      </c>
      <c r="AD690" s="52">
        <f t="shared" si="218"/>
        <v>4.1322583045614341</v>
      </c>
      <c r="AE690" s="52">
        <f t="shared" si="219"/>
        <v>91.83860092464684</v>
      </c>
      <c r="AF690" s="52">
        <f t="shared" si="220"/>
        <v>6.0515426105363721</v>
      </c>
      <c r="AG690" s="52">
        <f t="shared" si="221"/>
        <v>31.618150156830147</v>
      </c>
      <c r="AH690" s="52">
        <f t="shared" si="222"/>
        <v>-1.3693357724291986</v>
      </c>
      <c r="AI690" s="52">
        <f t="shared" si="223"/>
        <v>10.792202509408062</v>
      </c>
      <c r="AJ690" s="52">
        <f t="shared" si="224"/>
        <v>-0.54994853354573925</v>
      </c>
      <c r="AK690" s="52">
        <f t="shared" si="225"/>
        <v>49.428248258408622</v>
      </c>
      <c r="AM690" s="52">
        <f t="shared" si="226"/>
        <v>126943.33703015832</v>
      </c>
      <c r="AN690" s="57">
        <f t="shared" si="227"/>
        <v>128199.89169815392</v>
      </c>
      <c r="AO690" s="57">
        <f t="shared" si="228"/>
        <v>102186.56422320132</v>
      </c>
    </row>
    <row r="691" spans="12:41" x14ac:dyDescent="0.25">
      <c r="L691" s="6">
        <v>688</v>
      </c>
      <c r="M691" s="52">
        <f t="shared" si="214"/>
        <v>24240.240480782126</v>
      </c>
      <c r="N691" s="52">
        <f t="shared" si="215"/>
        <v>4850.4036788339699</v>
      </c>
      <c r="P691" s="6">
        <v>688</v>
      </c>
      <c r="Q691" s="52">
        <f t="shared" si="229"/>
        <v>-17031.831663452511</v>
      </c>
      <c r="R691" s="52">
        <f t="shared" si="230"/>
        <v>8145.282575183779</v>
      </c>
      <c r="T691" s="6">
        <v>688</v>
      </c>
      <c r="U691" s="52">
        <f t="shared" si="216"/>
        <v>-759.75951921787328</v>
      </c>
      <c r="V691" s="52">
        <f t="shared" si="217"/>
        <v>-17649.596321166031</v>
      </c>
      <c r="X691" s="6">
        <v>687</v>
      </c>
      <c r="Y691" s="55">
        <v>343.5</v>
      </c>
      <c r="Z691" s="52">
        <f t="shared" si="231"/>
        <v>-3360.5772563236951</v>
      </c>
      <c r="AA691" s="52">
        <f t="shared" si="232"/>
        <v>-119031.09913110231</v>
      </c>
      <c r="AB691" s="52">
        <f t="shared" si="233"/>
        <v>1006.1231571642248</v>
      </c>
      <c r="AC691" s="52">
        <f t="shared" si="234"/>
        <v>-3678.7589017942564</v>
      </c>
      <c r="AD691" s="52">
        <f t="shared" si="218"/>
        <v>3.5873575427461666</v>
      </c>
      <c r="AE691" s="52">
        <f t="shared" si="219"/>
        <v>88.999128259229465</v>
      </c>
      <c r="AF691" s="52">
        <f t="shared" si="220"/>
        <v>5.6902658040097585</v>
      </c>
      <c r="AG691" s="52">
        <f t="shared" si="221"/>
        <v>30.820967248768557</v>
      </c>
      <c r="AH691" s="52">
        <f t="shared" si="222"/>
        <v>-1.3512022374437673</v>
      </c>
      <c r="AI691" s="52">
        <f t="shared" si="223"/>
        <v>10.477954225427284</v>
      </c>
      <c r="AJ691" s="52">
        <f t="shared" si="224"/>
        <v>-0.75170602381982443</v>
      </c>
      <c r="AK691" s="52">
        <f t="shared" si="225"/>
        <v>47.700206785033622</v>
      </c>
      <c r="AM691" s="52">
        <f t="shared" si="226"/>
        <v>128669.48207354186</v>
      </c>
      <c r="AN691" s="57">
        <f t="shared" si="227"/>
        <v>130099.55777105133</v>
      </c>
      <c r="AO691" s="57">
        <f t="shared" si="228"/>
        <v>104044.01613431558</v>
      </c>
    </row>
    <row r="692" spans="12:41" x14ac:dyDescent="0.25">
      <c r="L692" s="6">
        <v>689</v>
      </c>
      <c r="M692" s="52">
        <f t="shared" si="214"/>
        <v>24285.836503510556</v>
      </c>
      <c r="N692" s="52">
        <f t="shared" si="215"/>
        <v>4924.8096254497186</v>
      </c>
      <c r="P692" s="6">
        <v>689</v>
      </c>
      <c r="Q692" s="52">
        <f t="shared" si="229"/>
        <v>-16999.914447542611</v>
      </c>
      <c r="R692" s="52">
        <f t="shared" si="230"/>
        <v>8197.3667378148039</v>
      </c>
      <c r="T692" s="6">
        <v>689</v>
      </c>
      <c r="U692" s="52">
        <f t="shared" si="216"/>
        <v>-714.1634964894447</v>
      </c>
      <c r="V692" s="52">
        <f t="shared" si="217"/>
        <v>-17575.190374550282</v>
      </c>
      <c r="X692" s="6">
        <v>688</v>
      </c>
      <c r="Y692" s="55">
        <v>344</v>
      </c>
      <c r="Z692" s="52">
        <f t="shared" si="231"/>
        <v>-2857.0672580487394</v>
      </c>
      <c r="AA692" s="52">
        <f t="shared" si="232"/>
        <v>-120859.35369096704</v>
      </c>
      <c r="AB692" s="52">
        <f t="shared" si="233"/>
        <v>1007.9168359355979</v>
      </c>
      <c r="AC692" s="52">
        <f t="shared" si="234"/>
        <v>-3634.2593376646419</v>
      </c>
      <c r="AD692" s="52">
        <f t="shared" si="218"/>
        <v>3.0863558665279633</v>
      </c>
      <c r="AE692" s="52">
        <f t="shared" si="219"/>
        <v>86.317726755901205</v>
      </c>
      <c r="AF692" s="52">
        <f t="shared" si="220"/>
        <v>5.3527809696670356</v>
      </c>
      <c r="AG692" s="52">
        <f t="shared" si="221"/>
        <v>30.059827796753968</v>
      </c>
      <c r="AH692" s="52">
        <f t="shared" si="222"/>
        <v>-1.3336703509136862</v>
      </c>
      <c r="AI692" s="52">
        <f t="shared" si="223"/>
        <v>10.180477447145687</v>
      </c>
      <c r="AJ692" s="52">
        <f t="shared" si="224"/>
        <v>-0.93275475222538629</v>
      </c>
      <c r="AK692" s="52">
        <f t="shared" si="225"/>
        <v>46.07742151200155</v>
      </c>
      <c r="AM692" s="52">
        <f t="shared" si="226"/>
        <v>130378.56113488036</v>
      </c>
      <c r="AN692" s="57">
        <f t="shared" si="227"/>
        <v>131977.46243738994</v>
      </c>
      <c r="AO692" s="57">
        <f t="shared" si="228"/>
        <v>105881.0413842147</v>
      </c>
    </row>
    <row r="693" spans="12:41" x14ac:dyDescent="0.25">
      <c r="L693" s="6">
        <v>690</v>
      </c>
      <c r="M693" s="52">
        <f t="shared" si="214"/>
        <v>24330.127018922194</v>
      </c>
      <c r="N693" s="52">
        <f t="shared" si="215"/>
        <v>5000</v>
      </c>
      <c r="P693" s="6">
        <v>690</v>
      </c>
      <c r="Q693" s="52">
        <f t="shared" si="229"/>
        <v>-16968.911086754466</v>
      </c>
      <c r="R693" s="52">
        <f t="shared" si="230"/>
        <v>8250</v>
      </c>
      <c r="T693" s="6">
        <v>690</v>
      </c>
      <c r="U693" s="52">
        <f t="shared" si="216"/>
        <v>-669.8729810778068</v>
      </c>
      <c r="V693" s="52">
        <f t="shared" si="217"/>
        <v>-17500</v>
      </c>
      <c r="X693" s="6">
        <v>689</v>
      </c>
      <c r="Y693" s="55">
        <v>344.5</v>
      </c>
      <c r="Z693" s="52">
        <f t="shared" si="231"/>
        <v>-2352.7230455976242</v>
      </c>
      <c r="AA693" s="52">
        <f t="shared" si="232"/>
        <v>-122665.69364395487</v>
      </c>
      <c r="AB693" s="52">
        <f t="shared" si="233"/>
        <v>1009.4600138688619</v>
      </c>
      <c r="AC693" s="52">
        <f t="shared" si="234"/>
        <v>-3591.1004742866912</v>
      </c>
      <c r="AD693" s="52">
        <f t="shared" si="218"/>
        <v>2.6249981908611764</v>
      </c>
      <c r="AE693" s="52">
        <f t="shared" si="219"/>
        <v>83.782015664441531</v>
      </c>
      <c r="AF693" s="52">
        <f t="shared" si="220"/>
        <v>5.0371220340688421</v>
      </c>
      <c r="AG693" s="52">
        <f t="shared" si="221"/>
        <v>29.332465766981901</v>
      </c>
      <c r="AH693" s="52">
        <f t="shared" si="222"/>
        <v>-1.3167057244300449</v>
      </c>
      <c r="AI693" s="52">
        <f t="shared" si="223"/>
        <v>9.8985060815799724</v>
      </c>
      <c r="AJ693" s="52">
        <f t="shared" si="224"/>
        <v>-1.0954181187776211</v>
      </c>
      <c r="AK693" s="52">
        <f t="shared" si="225"/>
        <v>44.551043815879659</v>
      </c>
      <c r="AM693" s="52">
        <f t="shared" si="226"/>
        <v>132071.01131347902</v>
      </c>
      <c r="AN693" s="57">
        <f t="shared" si="227"/>
        <v>133834.27309152565</v>
      </c>
      <c r="AO693" s="57">
        <f t="shared" si="228"/>
        <v>107698.23426178933</v>
      </c>
    </row>
    <row r="694" spans="12:41" x14ac:dyDescent="0.25">
      <c r="L694" s="6">
        <v>691</v>
      </c>
      <c r="M694" s="52">
        <f t="shared" si="214"/>
        <v>24373.098535696976</v>
      </c>
      <c r="N694" s="52">
        <f t="shared" si="215"/>
        <v>5075.9518987683105</v>
      </c>
      <c r="P694" s="6">
        <v>691</v>
      </c>
      <c r="Q694" s="52">
        <f t="shared" si="229"/>
        <v>-16938.831025012118</v>
      </c>
      <c r="R694" s="52">
        <f t="shared" si="230"/>
        <v>8303.1663291378172</v>
      </c>
      <c r="T694" s="6">
        <v>691</v>
      </c>
      <c r="U694" s="52">
        <f t="shared" si="216"/>
        <v>-626.9014643030232</v>
      </c>
      <c r="V694" s="52">
        <f t="shared" si="217"/>
        <v>-17424.048101231689</v>
      </c>
      <c r="X694" s="6">
        <v>690</v>
      </c>
      <c r="Y694" s="55">
        <v>345</v>
      </c>
      <c r="Z694" s="52">
        <f t="shared" si="231"/>
        <v>-1847.6649138893356</v>
      </c>
      <c r="AA694" s="52">
        <f t="shared" si="232"/>
        <v>-124450.77112914016</v>
      </c>
      <c r="AB694" s="52">
        <f t="shared" si="233"/>
        <v>1010.7725129642924</v>
      </c>
      <c r="AC694" s="52">
        <f t="shared" si="234"/>
        <v>-3549.2094664544707</v>
      </c>
      <c r="AD694" s="52">
        <f t="shared" si="218"/>
        <v>2.1995227693241226</v>
      </c>
      <c r="AE694" s="52">
        <f t="shared" si="219"/>
        <v>81.380852843314614</v>
      </c>
      <c r="AF694" s="52">
        <f t="shared" si="220"/>
        <v>4.7415191324349175</v>
      </c>
      <c r="AG694" s="52">
        <f t="shared" si="221"/>
        <v>28.636795205084496</v>
      </c>
      <c r="AH694" s="52">
        <f t="shared" si="222"/>
        <v>-1.3002771006271316</v>
      </c>
      <c r="AI694" s="52">
        <f t="shared" si="223"/>
        <v>9.6308964125859049</v>
      </c>
      <c r="AJ694" s="52">
        <f t="shared" si="224"/>
        <v>-1.2417192624836633</v>
      </c>
      <c r="AK694" s="52">
        <f t="shared" si="225"/>
        <v>43.11316122564422</v>
      </c>
      <c r="AM694" s="52">
        <f t="shared" si="226"/>
        <v>133747.24843436712</v>
      </c>
      <c r="AN694" s="57">
        <f t="shared" si="227"/>
        <v>135670.61998199491</v>
      </c>
      <c r="AO694" s="57">
        <f t="shared" si="228"/>
        <v>109496.15754563511</v>
      </c>
    </row>
    <row r="695" spans="12:41" x14ac:dyDescent="0.25">
      <c r="L695" s="6">
        <v>692</v>
      </c>
      <c r="M695" s="52">
        <f t="shared" si="214"/>
        <v>24414.737964294633</v>
      </c>
      <c r="N695" s="52">
        <f t="shared" si="215"/>
        <v>5152.642186070545</v>
      </c>
      <c r="P695" s="6">
        <v>692</v>
      </c>
      <c r="Q695" s="52">
        <f t="shared" si="229"/>
        <v>-16909.683424993756</v>
      </c>
      <c r="R695" s="52">
        <f t="shared" si="230"/>
        <v>8356.8495302493811</v>
      </c>
      <c r="T695" s="6">
        <v>692</v>
      </c>
      <c r="U695" s="52">
        <f t="shared" si="216"/>
        <v>-585.26203570536654</v>
      </c>
      <c r="V695" s="52">
        <f t="shared" si="217"/>
        <v>-17347.357813929455</v>
      </c>
      <c r="X695" s="6">
        <v>691</v>
      </c>
      <c r="Y695" s="55">
        <v>345.5</v>
      </c>
      <c r="Z695" s="52">
        <f t="shared" si="231"/>
        <v>-1342.0037170610237</v>
      </c>
      <c r="AA695" s="52">
        <f t="shared" si="232"/>
        <v>-126215.20325576198</v>
      </c>
      <c r="AB695" s="52">
        <f t="shared" si="233"/>
        <v>1011.8722743489545</v>
      </c>
      <c r="AC695" s="52">
        <f t="shared" si="234"/>
        <v>-3508.5190400328133</v>
      </c>
      <c r="AD695" s="52">
        <f t="shared" si="218"/>
        <v>1.806594426558606</v>
      </c>
      <c r="AE695" s="52">
        <f t="shared" si="219"/>
        <v>79.104185115091994</v>
      </c>
      <c r="AF695" s="52">
        <f t="shared" si="220"/>
        <v>4.4643757063664786</v>
      </c>
      <c r="AG695" s="52">
        <f t="shared" si="221"/>
        <v>27.970893122357936</v>
      </c>
      <c r="AH695" s="52">
        <f t="shared" si="222"/>
        <v>-1.2843559492764649</v>
      </c>
      <c r="AI695" s="52">
        <f t="shared" si="223"/>
        <v>9.376612795416591</v>
      </c>
      <c r="AJ695" s="52">
        <f t="shared" si="224"/>
        <v>-1.3734253305314075</v>
      </c>
      <c r="AK695" s="52">
        <f t="shared" si="225"/>
        <v>41.756679197317467</v>
      </c>
      <c r="AM695" s="52">
        <f t="shared" si="226"/>
        <v>135407.6685582792</v>
      </c>
      <c r="AN695" s="57">
        <f t="shared" si="227"/>
        <v>137487.09911589057</v>
      </c>
      <c r="AO695" s="57">
        <f t="shared" si="228"/>
        <v>111275.34485242653</v>
      </c>
    </row>
    <row r="696" spans="12:41" x14ac:dyDescent="0.25">
      <c r="L696" s="6">
        <v>693</v>
      </c>
      <c r="M696" s="52">
        <f t="shared" si="214"/>
        <v>24455.032620941834</v>
      </c>
      <c r="N696" s="52">
        <f t="shared" si="215"/>
        <v>5230.0475013022597</v>
      </c>
      <c r="P696" s="6">
        <v>693</v>
      </c>
      <c r="Q696" s="52">
        <f t="shared" si="229"/>
        <v>-16881.477165340715</v>
      </c>
      <c r="R696" s="52">
        <f t="shared" si="230"/>
        <v>8411.0332509115815</v>
      </c>
      <c r="T696" s="6">
        <v>693</v>
      </c>
      <c r="U696" s="52">
        <f t="shared" si="216"/>
        <v>-544.96737905816371</v>
      </c>
      <c r="V696" s="52">
        <f t="shared" si="217"/>
        <v>-17269.952498697741</v>
      </c>
      <c r="X696" s="6">
        <v>692</v>
      </c>
      <c r="Y696" s="55">
        <v>346</v>
      </c>
      <c r="Z696" s="52">
        <f t="shared" si="231"/>
        <v>-835.84175558322659</v>
      </c>
      <c r="AA696" s="52">
        <f t="shared" si="232"/>
        <v>-127959.574752639</v>
      </c>
      <c r="AB696" s="52">
        <f t="shared" si="233"/>
        <v>1012.7755715622338</v>
      </c>
      <c r="AC696" s="52">
        <f t="shared" si="234"/>
        <v>-3468.9669474752673</v>
      </c>
      <c r="AD696" s="52">
        <f t="shared" si="218"/>
        <v>1.4432481046154066</v>
      </c>
      <c r="AE696" s="52">
        <f t="shared" si="219"/>
        <v>76.942919670639199</v>
      </c>
      <c r="AF696" s="52">
        <f t="shared" si="220"/>
        <v>4.2042486530551066</v>
      </c>
      <c r="AG696" s="52">
        <f t="shared" si="221"/>
        <v>27.332984257503963</v>
      </c>
      <c r="AH696" s="52">
        <f t="shared" si="222"/>
        <v>-1.2689161289042541</v>
      </c>
      <c r="AI696" s="52">
        <f t="shared" si="223"/>
        <v>9.1347153007044763</v>
      </c>
      <c r="AJ696" s="52">
        <f t="shared" si="224"/>
        <v>-1.4920844195354457</v>
      </c>
      <c r="AK696" s="52">
        <f t="shared" si="225"/>
        <v>40.475220112430762</v>
      </c>
      <c r="AM696" s="52">
        <f t="shared" si="226"/>
        <v>137052.64934991038</v>
      </c>
      <c r="AN696" s="57">
        <f t="shared" si="227"/>
        <v>139284.27487389249</v>
      </c>
      <c r="AO696" s="57">
        <f t="shared" si="228"/>
        <v>113036.30276234969</v>
      </c>
    </row>
    <row r="697" spans="12:41" x14ac:dyDescent="0.25">
      <c r="L697" s="6">
        <v>694</v>
      </c>
      <c r="M697" s="52">
        <f t="shared" si="214"/>
        <v>24493.970231495834</v>
      </c>
      <c r="N697" s="52">
        <f t="shared" si="215"/>
        <v>5308.1442660546099</v>
      </c>
      <c r="P697" s="6">
        <v>694</v>
      </c>
      <c r="Q697" s="52">
        <f t="shared" si="229"/>
        <v>-16854.220837952918</v>
      </c>
      <c r="R697" s="52">
        <f t="shared" si="230"/>
        <v>8465.7009862382274</v>
      </c>
      <c r="T697" s="6">
        <v>694</v>
      </c>
      <c r="U697" s="52">
        <f t="shared" si="216"/>
        <v>-506.0297685041669</v>
      </c>
      <c r="V697" s="52">
        <f t="shared" si="217"/>
        <v>-17191.855733945391</v>
      </c>
      <c r="X697" s="6">
        <v>693</v>
      </c>
      <c r="Y697" s="55">
        <v>346.5</v>
      </c>
      <c r="Z697" s="52">
        <f t="shared" si="231"/>
        <v>-329.27356378903272</v>
      </c>
      <c r="AA697" s="52">
        <f t="shared" si="232"/>
        <v>-129684.44036141782</v>
      </c>
      <c r="AB697" s="52">
        <f t="shared" si="233"/>
        <v>1013.4971956145415</v>
      </c>
      <c r="AC697" s="52">
        <f t="shared" si="234"/>
        <v>-3430.4954876399474</v>
      </c>
      <c r="AD697" s="52">
        <f t="shared" si="218"/>
        <v>1.1068409378238431</v>
      </c>
      <c r="AE697" s="52">
        <f t="shared" si="219"/>
        <v>74.888813163043295</v>
      </c>
      <c r="AF697" s="52">
        <f t="shared" si="220"/>
        <v>3.9598310703854556</v>
      </c>
      <c r="AG697" s="52">
        <f t="shared" si="221"/>
        <v>26.721427482986488</v>
      </c>
      <c r="AH697" s="52">
        <f t="shared" si="222"/>
        <v>-1.253933601602897</v>
      </c>
      <c r="AI697" s="52">
        <f t="shared" si="223"/>
        <v>8.9043490060358241</v>
      </c>
      <c r="AJ697" s="52">
        <f t="shared" si="224"/>
        <v>-1.5990565309587157</v>
      </c>
      <c r="AK697" s="52">
        <f t="shared" si="225"/>
        <v>39.263036674020974</v>
      </c>
      <c r="AM697" s="52">
        <f t="shared" si="226"/>
        <v>138682.55132101793</v>
      </c>
      <c r="AN697" s="57">
        <f t="shared" si="227"/>
        <v>141062.68237067782</v>
      </c>
      <c r="AO697" s="57">
        <f t="shared" si="228"/>
        <v>114779.51274706441</v>
      </c>
    </row>
    <row r="698" spans="12:41" x14ac:dyDescent="0.25">
      <c r="L698" s="6">
        <v>695</v>
      </c>
      <c r="M698" s="52">
        <f t="shared" si="214"/>
        <v>24531.538935183249</v>
      </c>
      <c r="N698" s="52">
        <f t="shared" si="215"/>
        <v>5386.9086912965031</v>
      </c>
      <c r="P698" s="6">
        <v>695</v>
      </c>
      <c r="Q698" s="52">
        <f t="shared" si="229"/>
        <v>-16827.922745371725</v>
      </c>
      <c r="R698" s="52">
        <f t="shared" si="230"/>
        <v>8520.8360839075522</v>
      </c>
      <c r="T698" s="6">
        <v>695</v>
      </c>
      <c r="U698" s="52">
        <f t="shared" si="216"/>
        <v>-468.46106481674997</v>
      </c>
      <c r="V698" s="52">
        <f t="shared" si="217"/>
        <v>-17113.091308703497</v>
      </c>
      <c r="X698" s="6">
        <v>694</v>
      </c>
      <c r="Y698" s="55">
        <v>347</v>
      </c>
      <c r="Z698" s="52">
        <f t="shared" si="231"/>
        <v>177.61338913546601</v>
      </c>
      <c r="AA698" s="52">
        <f t="shared" si="232"/>
        <v>-131390.32700359239</v>
      </c>
      <c r="AB698" s="52">
        <f t="shared" si="233"/>
        <v>1014.0506160834534</v>
      </c>
      <c r="AC698" s="52">
        <f t="shared" si="234"/>
        <v>-3393.051081058426</v>
      </c>
      <c r="AD698" s="52">
        <f t="shared" si="218"/>
        <v>0.79501141201524983</v>
      </c>
      <c r="AE698" s="52">
        <f t="shared" si="219"/>
        <v>72.934375728886266</v>
      </c>
      <c r="AF698" s="52">
        <f t="shared" si="220"/>
        <v>3.7299372174722909</v>
      </c>
      <c r="AG698" s="52">
        <f t="shared" si="221"/>
        <v>26.13470365640304</v>
      </c>
      <c r="AH698" s="52">
        <f t="shared" si="222"/>
        <v>-1.2393861912810726</v>
      </c>
      <c r="AI698" s="52">
        <f t="shared" si="223"/>
        <v>8.6847346853876868</v>
      </c>
      <c r="AJ698" s="52">
        <f t="shared" si="224"/>
        <v>-1.6955396141759682</v>
      </c>
      <c r="AK698" s="52">
        <f t="shared" si="225"/>
        <v>38.114937387095537</v>
      </c>
      <c r="AM698" s="52">
        <f t="shared" si="226"/>
        <v>140297.71896262394</v>
      </c>
      <c r="AN698" s="57">
        <f t="shared" si="227"/>
        <v>142822.82959059524</v>
      </c>
      <c r="AO698" s="57">
        <f t="shared" si="228"/>
        <v>116505.43292229132</v>
      </c>
    </row>
    <row r="699" spans="12:41" x14ac:dyDescent="0.25">
      <c r="L699" s="6">
        <v>696</v>
      </c>
      <c r="M699" s="52">
        <f t="shared" si="214"/>
        <v>24567.727288213002</v>
      </c>
      <c r="N699" s="52">
        <f t="shared" si="215"/>
        <v>5466.3167846209944</v>
      </c>
      <c r="P699" s="6">
        <v>696</v>
      </c>
      <c r="Q699" s="52">
        <f t="shared" si="229"/>
        <v>-16802.590898250899</v>
      </c>
      <c r="R699" s="52">
        <f t="shared" si="230"/>
        <v>8576.4217492346961</v>
      </c>
      <c r="T699" s="6">
        <v>696</v>
      </c>
      <c r="U699" s="52">
        <f t="shared" si="216"/>
        <v>-432.27271178699812</v>
      </c>
      <c r="V699" s="52">
        <f t="shared" si="217"/>
        <v>-17033.683215379006</v>
      </c>
      <c r="X699" s="6">
        <v>695</v>
      </c>
      <c r="Y699" s="55">
        <v>347.5</v>
      </c>
      <c r="Z699" s="52">
        <f t="shared" si="231"/>
        <v>684.7380736036946</v>
      </c>
      <c r="AA699" s="52">
        <f t="shared" si="232"/>
        <v>-133077.7357471555</v>
      </c>
      <c r="AB699" s="52">
        <f t="shared" si="233"/>
        <v>1014.4481217894611</v>
      </c>
      <c r="AC699" s="52">
        <f t="shared" si="234"/>
        <v>-3356.5838931939829</v>
      </c>
      <c r="AD699" s="52">
        <f t="shared" si="218"/>
        <v>0.50564443401341697</v>
      </c>
      <c r="AE699" s="52">
        <f t="shared" si="219"/>
        <v>71.0727876548479</v>
      </c>
      <c r="AF699" s="52">
        <f t="shared" si="220"/>
        <v>3.5134893717728168</v>
      </c>
      <c r="AG699" s="52">
        <f t="shared" si="221"/>
        <v>25.571404743961963</v>
      </c>
      <c r="AH699" s="52">
        <f t="shared" si="222"/>
        <v>-1.2252533775887777</v>
      </c>
      <c r="AI699" s="52">
        <f t="shared" si="223"/>
        <v>8.4751606889172955</v>
      </c>
      <c r="AJ699" s="52">
        <f t="shared" si="224"/>
        <v>-1.7825915601706224</v>
      </c>
      <c r="AK699" s="52">
        <f t="shared" si="225"/>
        <v>37.026222221968645</v>
      </c>
      <c r="AM699" s="52">
        <f t="shared" si="226"/>
        <v>141898.48177863771</v>
      </c>
      <c r="AN699" s="57">
        <f t="shared" si="227"/>
        <v>144565.19932441021</v>
      </c>
      <c r="AO699" s="57">
        <f t="shared" si="228"/>
        <v>118214.49964425075</v>
      </c>
    </row>
    <row r="700" spans="12:41" x14ac:dyDescent="0.25">
      <c r="L700" s="6">
        <v>697</v>
      </c>
      <c r="M700" s="52">
        <f t="shared" si="214"/>
        <v>24602.524267262204</v>
      </c>
      <c r="N700" s="52">
        <f t="shared" si="215"/>
        <v>5546.3443575536376</v>
      </c>
      <c r="P700" s="6">
        <v>697</v>
      </c>
      <c r="Q700" s="52">
        <f t="shared" si="229"/>
        <v>-16778.233012916455</v>
      </c>
      <c r="R700" s="52">
        <f t="shared" si="230"/>
        <v>8632.4410502875471</v>
      </c>
      <c r="T700" s="6">
        <v>697</v>
      </c>
      <c r="U700" s="52">
        <f t="shared" si="216"/>
        <v>-397.47573273779562</v>
      </c>
      <c r="V700" s="52">
        <f t="shared" si="217"/>
        <v>-16953.655642446363</v>
      </c>
      <c r="X700" s="6">
        <v>696</v>
      </c>
      <c r="Y700" s="55">
        <v>348</v>
      </c>
      <c r="Z700" s="52">
        <f t="shared" si="231"/>
        <v>1192.0253400526769</v>
      </c>
      <c r="AA700" s="52">
        <f t="shared" si="232"/>
        <v>-134747.14359529564</v>
      </c>
      <c r="AB700" s="52">
        <f t="shared" si="233"/>
        <v>1014.7009440064678</v>
      </c>
      <c r="AC700" s="52">
        <f t="shared" si="234"/>
        <v>-3321.0474993665589</v>
      </c>
      <c r="AD700" s="52">
        <f t="shared" si="218"/>
        <v>0.23684135227591496</v>
      </c>
      <c r="AE700" s="52">
        <f t="shared" si="219"/>
        <v>69.297826796354997</v>
      </c>
      <c r="AF700" s="52">
        <f t="shared" si="220"/>
        <v>3.3095063146253594</v>
      </c>
      <c r="AG700" s="52">
        <f t="shared" si="221"/>
        <v>25.030224065995721</v>
      </c>
      <c r="AH700" s="52">
        <f t="shared" si="222"/>
        <v>-1.2115161193041664</v>
      </c>
      <c r="AI700" s="52">
        <f t="shared" si="223"/>
        <v>8.2749758399684694</v>
      </c>
      <c r="AJ700" s="52">
        <f t="shared" si="224"/>
        <v>-1.8611488430452783</v>
      </c>
      <c r="AK700" s="52">
        <f t="shared" si="225"/>
        <v>35.99262689039081</v>
      </c>
      <c r="AM700" s="52">
        <f t="shared" si="226"/>
        <v>143485.15523157743</v>
      </c>
      <c r="AN700" s="57">
        <f t="shared" si="227"/>
        <v>146290.25092948118</v>
      </c>
      <c r="AO700" s="57">
        <f t="shared" si="228"/>
        <v>119907.12896673079</v>
      </c>
    </row>
    <row r="701" spans="12:41" x14ac:dyDescent="0.25">
      <c r="L701" s="6">
        <v>698</v>
      </c>
      <c r="M701" s="52">
        <f t="shared" si="214"/>
        <v>24635.919272833937</v>
      </c>
      <c r="N701" s="52">
        <f t="shared" si="215"/>
        <v>5626.9670329204419</v>
      </c>
      <c r="P701" s="6">
        <v>698</v>
      </c>
      <c r="Q701" s="52">
        <f t="shared" si="229"/>
        <v>-16754.856509016245</v>
      </c>
      <c r="R701" s="52">
        <f t="shared" si="230"/>
        <v>8688.8769230443086</v>
      </c>
      <c r="T701" s="6">
        <v>698</v>
      </c>
      <c r="U701" s="52">
        <f t="shared" si="216"/>
        <v>-364.08072716606239</v>
      </c>
      <c r="V701" s="52">
        <f t="shared" si="217"/>
        <v>-16873.032967079558</v>
      </c>
      <c r="X701" s="6">
        <v>697</v>
      </c>
      <c r="Y701" s="55">
        <v>348.5</v>
      </c>
      <c r="Z701" s="52">
        <f t="shared" si="231"/>
        <v>1699.4054172249455</v>
      </c>
      <c r="AA701" s="52">
        <f t="shared" si="232"/>
        <v>-136399.00511662939</v>
      </c>
      <c r="AB701" s="52">
        <f t="shared" si="233"/>
        <v>1014.8193646826057</v>
      </c>
      <c r="AC701" s="52">
        <f t="shared" si="234"/>
        <v>-3286.3985859683812</v>
      </c>
      <c r="AD701" s="52">
        <f t="shared" si="218"/>
        <v>-1.3105858425606742E-2</v>
      </c>
      <c r="AE701" s="52">
        <f t="shared" si="219"/>
        <v>67.603805171009412</v>
      </c>
      <c r="AF701" s="52">
        <f t="shared" si="220"/>
        <v>3.1170932189636358</v>
      </c>
      <c r="AG701" s="52">
        <f t="shared" si="221"/>
        <v>24.509947533991131</v>
      </c>
      <c r="AH701" s="52">
        <f t="shared" si="222"/>
        <v>-1.1981567021823265</v>
      </c>
      <c r="AI701" s="52">
        <f t="shared" si="223"/>
        <v>8.0835832042695017</v>
      </c>
      <c r="AJ701" s="52">
        <f t="shared" si="224"/>
        <v>-1.932042375206916</v>
      </c>
      <c r="AK701" s="52">
        <f t="shared" si="225"/>
        <v>35.01027443274878</v>
      </c>
      <c r="AM701" s="52">
        <f t="shared" si="226"/>
        <v>145058.04160969093</v>
      </c>
      <c r="AN701" s="57">
        <f t="shared" si="227"/>
        <v>147998.42193280294</v>
      </c>
      <c r="AO701" s="57">
        <f t="shared" si="228"/>
        <v>121583.71797346778</v>
      </c>
    </row>
    <row r="702" spans="12:41" x14ac:dyDescent="0.25">
      <c r="L702" s="6">
        <v>699</v>
      </c>
      <c r="M702" s="52">
        <f t="shared" si="214"/>
        <v>24667.902132486008</v>
      </c>
      <c r="N702" s="52">
        <f t="shared" si="215"/>
        <v>5708.1602522734947</v>
      </c>
      <c r="P702" s="6">
        <v>699</v>
      </c>
      <c r="Q702" s="52">
        <f t="shared" si="229"/>
        <v>-16732.468507259793</v>
      </c>
      <c r="R702" s="52">
        <f t="shared" si="230"/>
        <v>8745.7121765914471</v>
      </c>
      <c r="T702" s="6">
        <v>699</v>
      </c>
      <c r="U702" s="52">
        <f t="shared" si="216"/>
        <v>-332.09786751399224</v>
      </c>
      <c r="V702" s="52">
        <f t="shared" si="217"/>
        <v>-16791.839747726506</v>
      </c>
      <c r="X702" s="6">
        <v>698</v>
      </c>
      <c r="Y702" s="55">
        <v>349</v>
      </c>
      <c r="Z702" s="52">
        <f t="shared" si="231"/>
        <v>2206.8134613339448</v>
      </c>
      <c r="AA702" s="52">
        <f t="shared" si="232"/>
        <v>-138033.75393396718</v>
      </c>
      <c r="AB702" s="52">
        <f t="shared" si="233"/>
        <v>1014.8128117533929</v>
      </c>
      <c r="AC702" s="52">
        <f t="shared" si="234"/>
        <v>-3252.5966833828766</v>
      </c>
      <c r="AD702" s="52">
        <f t="shared" si="218"/>
        <v>-0.24573689707679325</v>
      </c>
      <c r="AE702" s="52">
        <f t="shared" si="219"/>
        <v>65.985513407603619</v>
      </c>
      <c r="AF702" s="52">
        <f t="shared" si="220"/>
        <v>2.9354327477022255</v>
      </c>
      <c r="AG702" s="52">
        <f t="shared" si="221"/>
        <v>24.009445765403193</v>
      </c>
      <c r="AH702" s="52">
        <f t="shared" si="222"/>
        <v>-1.1851586072213354</v>
      </c>
      <c r="AI702" s="52">
        <f t="shared" si="223"/>
        <v>7.9004346093871156</v>
      </c>
      <c r="AJ702" s="52">
        <f t="shared" si="224"/>
        <v>-1.9960110375576834</v>
      </c>
      <c r="AK702" s="52">
        <f t="shared" si="225"/>
        <v>34.075633032813307</v>
      </c>
      <c r="AM702" s="52">
        <f t="shared" si="226"/>
        <v>146617.43082359707</v>
      </c>
      <c r="AN702" s="57">
        <f t="shared" si="227"/>
        <v>149690.12949386085</v>
      </c>
      <c r="AO702" s="57">
        <f t="shared" si="228"/>
        <v>123244.6459987226</v>
      </c>
    </row>
    <row r="703" spans="12:41" x14ac:dyDescent="0.25">
      <c r="L703" s="6">
        <v>700</v>
      </c>
      <c r="M703" s="52">
        <f t="shared" si="214"/>
        <v>24698.463103929538</v>
      </c>
      <c r="N703" s="52">
        <f t="shared" si="215"/>
        <v>5789.8992833716475</v>
      </c>
      <c r="P703" s="6">
        <v>700</v>
      </c>
      <c r="Q703" s="52">
        <f t="shared" si="229"/>
        <v>-16711.075827249322</v>
      </c>
      <c r="R703" s="52">
        <f t="shared" si="230"/>
        <v>8802.929498360154</v>
      </c>
      <c r="T703" s="6">
        <v>700</v>
      </c>
      <c r="U703" s="52">
        <f t="shared" si="216"/>
        <v>-301.5368960704609</v>
      </c>
      <c r="V703" s="52">
        <f t="shared" si="217"/>
        <v>-16710.100716628353</v>
      </c>
      <c r="X703" s="6">
        <v>699</v>
      </c>
      <c r="Y703" s="55">
        <v>349.5</v>
      </c>
      <c r="Z703" s="52">
        <f t="shared" si="231"/>
        <v>2714.1891500985071</v>
      </c>
      <c r="AA703" s="52">
        <f t="shared" si="232"/>
        <v>-139651.80408648268</v>
      </c>
      <c r="AB703" s="52">
        <f t="shared" si="233"/>
        <v>1014.6899433048545</v>
      </c>
      <c r="AC703" s="52">
        <f t="shared" si="234"/>
        <v>-3219.6039266790749</v>
      </c>
      <c r="AD703" s="52">
        <f t="shared" si="218"/>
        <v>-0.46244245826362018</v>
      </c>
      <c r="AE703" s="52">
        <f t="shared" si="219"/>
        <v>64.438171943201823</v>
      </c>
      <c r="AF703" s="52">
        <f t="shared" si="220"/>
        <v>2.7637772002049203</v>
      </c>
      <c r="AG703" s="52">
        <f t="shared" si="221"/>
        <v>23.527666976962188</v>
      </c>
      <c r="AH703" s="52">
        <f t="shared" si="222"/>
        <v>-1.1725063960567814</v>
      </c>
      <c r="AI703" s="52">
        <f t="shared" si="223"/>
        <v>7.725025811545482</v>
      </c>
      <c r="AJ703" s="52">
        <f t="shared" si="224"/>
        <v>-2.0537132624117591</v>
      </c>
      <c r="AK703" s="52">
        <f t="shared" si="225"/>
        <v>33.18547915469415</v>
      </c>
      <c r="AM703" s="52">
        <f t="shared" si="226"/>
        <v>148163.60113956852</v>
      </c>
      <c r="AN703" s="57">
        <f t="shared" si="227"/>
        <v>151365.77174211296</v>
      </c>
      <c r="AO703" s="57">
        <f t="shared" si="228"/>
        <v>124890.27574738699</v>
      </c>
    </row>
    <row r="704" spans="12:41" x14ac:dyDescent="0.25">
      <c r="L704" s="6">
        <v>701</v>
      </c>
      <c r="M704" s="52">
        <f t="shared" si="214"/>
        <v>24727.592877996583</v>
      </c>
      <c r="N704" s="52">
        <f t="shared" si="215"/>
        <v>5872.159227714219</v>
      </c>
      <c r="P704" s="6">
        <v>701</v>
      </c>
      <c r="Q704" s="52">
        <f t="shared" si="229"/>
        <v>-16690.684985402389</v>
      </c>
      <c r="R704" s="52">
        <f t="shared" si="230"/>
        <v>8860.5114593999533</v>
      </c>
      <c r="T704" s="6">
        <v>701</v>
      </c>
      <c r="U704" s="52">
        <f t="shared" si="216"/>
        <v>-272.40712200341477</v>
      </c>
      <c r="V704" s="52">
        <f t="shared" si="217"/>
        <v>-16627.840772285781</v>
      </c>
      <c r="X704" s="6">
        <v>700</v>
      </c>
      <c r="Y704" s="55">
        <v>350</v>
      </c>
      <c r="Z704" s="52">
        <f t="shared" si="231"/>
        <v>3221.4763164436513</v>
      </c>
      <c r="AA704" s="52">
        <f t="shared" si="232"/>
        <v>-141253.55127832931</v>
      </c>
      <c r="AB704" s="52">
        <f t="shared" si="233"/>
        <v>1014.4587220757227</v>
      </c>
      <c r="AC704" s="52">
        <f t="shared" si="234"/>
        <v>-3187.3848407074738</v>
      </c>
      <c r="AD704" s="52">
        <f t="shared" si="218"/>
        <v>-0.66448102207757209</v>
      </c>
      <c r="AE704" s="52">
        <f t="shared" si="219"/>
        <v>62.957388035086282</v>
      </c>
      <c r="AF704" s="52">
        <f t="shared" si="220"/>
        <v>2.6014415683902681</v>
      </c>
      <c r="AG704" s="52">
        <f t="shared" si="221"/>
        <v>23.063630569617366</v>
      </c>
      <c r="AH704" s="52">
        <f t="shared" si="222"/>
        <v>-1.1601856107968969</v>
      </c>
      <c r="AI704" s="52">
        <f t="shared" si="223"/>
        <v>7.5568922226872086</v>
      </c>
      <c r="AJ704" s="52">
        <f t="shared" si="224"/>
        <v>-2.1057369796709433</v>
      </c>
      <c r="AK704" s="52">
        <f t="shared" si="225"/>
        <v>32.336865242781705</v>
      </c>
      <c r="AM704" s="52">
        <f t="shared" si="226"/>
        <v>149696.81985571439</v>
      </c>
      <c r="AN704" s="57">
        <f t="shared" si="227"/>
        <v>153025.72900209084</v>
      </c>
      <c r="AO704" s="57">
        <f t="shared" si="228"/>
        <v>126520.95432461602</v>
      </c>
    </row>
    <row r="705" spans="12:41" x14ac:dyDescent="0.25">
      <c r="L705" s="6">
        <v>702</v>
      </c>
      <c r="M705" s="52">
        <f t="shared" si="214"/>
        <v>24755.282581475767</v>
      </c>
      <c r="N705" s="52">
        <f t="shared" si="215"/>
        <v>5954.9150281252605</v>
      </c>
      <c r="P705" s="6">
        <v>702</v>
      </c>
      <c r="Q705" s="52">
        <f t="shared" si="229"/>
        <v>-16671.302192966963</v>
      </c>
      <c r="R705" s="52">
        <f t="shared" si="230"/>
        <v>8918.4405196876833</v>
      </c>
      <c r="T705" s="6">
        <v>702</v>
      </c>
      <c r="U705" s="52">
        <f t="shared" si="216"/>
        <v>-244.71741852423293</v>
      </c>
      <c r="V705" s="52">
        <f t="shared" si="217"/>
        <v>-16545.084971874741</v>
      </c>
      <c r="X705" s="6">
        <v>701</v>
      </c>
      <c r="Y705" s="55">
        <v>350.5</v>
      </c>
      <c r="Z705" s="52">
        <f t="shared" si="231"/>
        <v>3728.622617353753</v>
      </c>
      <c r="AA705" s="52">
        <f t="shared" si="232"/>
        <v>-142839.37402517867</v>
      </c>
      <c r="AB705" s="52">
        <f t="shared" si="233"/>
        <v>1014.1264815646839</v>
      </c>
      <c r="AC705" s="52">
        <f t="shared" si="234"/>
        <v>-3155.9061466899307</v>
      </c>
      <c r="AD705" s="52">
        <f t="shared" si="218"/>
        <v>-0.85299348439644374</v>
      </c>
      <c r="AE705" s="52">
        <f t="shared" si="219"/>
        <v>61.539117798504627</v>
      </c>
      <c r="AF705" s="52">
        <f t="shared" si="220"/>
        <v>2.4477973842534988</v>
      </c>
      <c r="AG705" s="52">
        <f t="shared" si="221"/>
        <v>22.616421329003199</v>
      </c>
      <c r="AH705" s="52">
        <f t="shared" si="222"/>
        <v>-1.1481826860910924</v>
      </c>
      <c r="AI705" s="52">
        <f t="shared" si="223"/>
        <v>7.3956051237617677</v>
      </c>
      <c r="AJ705" s="52">
        <f t="shared" si="224"/>
        <v>-2.1526081825588501</v>
      </c>
      <c r="AK705" s="52">
        <f t="shared" si="225"/>
        <v>31.52709134573966</v>
      </c>
      <c r="AM705" s="52">
        <f t="shared" si="226"/>
        <v>151217.3439265849</v>
      </c>
      <c r="AN705" s="57">
        <f t="shared" si="227"/>
        <v>154670.36491754084</v>
      </c>
      <c r="AO705" s="57">
        <f t="shared" si="228"/>
        <v>128137.01418382475</v>
      </c>
    </row>
    <row r="706" spans="12:41" x14ac:dyDescent="0.25">
      <c r="L706" s="6">
        <v>703</v>
      </c>
      <c r="M706" s="52">
        <f t="shared" si="214"/>
        <v>24781.523779815176</v>
      </c>
      <c r="N706" s="52">
        <f t="shared" si="215"/>
        <v>6038.1414763863086</v>
      </c>
      <c r="P706" s="6">
        <v>703</v>
      </c>
      <c r="Q706" s="52">
        <f t="shared" si="229"/>
        <v>-16652.933354129378</v>
      </c>
      <c r="R706" s="52">
        <f t="shared" si="230"/>
        <v>8976.6990334704169</v>
      </c>
      <c r="T706" s="6">
        <v>703</v>
      </c>
      <c r="U706" s="52">
        <f t="shared" si="216"/>
        <v>-218.47622018482525</v>
      </c>
      <c r="V706" s="52">
        <f t="shared" si="217"/>
        <v>-16461.85852361369</v>
      </c>
      <c r="X706" s="6">
        <v>702</v>
      </c>
      <c r="Y706" s="55">
        <v>351</v>
      </c>
      <c r="Z706" s="52">
        <f t="shared" si="231"/>
        <v>4235.5792339505451</v>
      </c>
      <c r="AA706" s="52">
        <f t="shared" si="232"/>
        <v>-144409.63470879884</v>
      </c>
      <c r="AB706" s="52">
        <f t="shared" si="233"/>
        <v>1013.6999848224857</v>
      </c>
      <c r="AC706" s="52">
        <f t="shared" si="234"/>
        <v>-3125.1365877906783</v>
      </c>
      <c r="AD706" s="52">
        <f t="shared" si="218"/>
        <v>-1.029015939283024</v>
      </c>
      <c r="AE706" s="52">
        <f t="shared" si="219"/>
        <v>60.179632600797675</v>
      </c>
      <c r="AF706" s="52">
        <f t="shared" si="220"/>
        <v>2.3022672575789231</v>
      </c>
      <c r="AG706" s="52">
        <f t="shared" si="221"/>
        <v>22.185184174609283</v>
      </c>
      <c r="AH706" s="52">
        <f t="shared" si="222"/>
        <v>-1.1364848716106173</v>
      </c>
      <c r="AI706" s="52">
        <f t="shared" si="223"/>
        <v>7.2407683011612738</v>
      </c>
      <c r="AJ706" s="52">
        <f t="shared" si="224"/>
        <v>-2.1947983252513299</v>
      </c>
      <c r="AK706" s="52">
        <f t="shared" si="225"/>
        <v>30.75368012502712</v>
      </c>
      <c r="AM706" s="52">
        <f t="shared" si="226"/>
        <v>152725.42054108004</v>
      </c>
      <c r="AN706" s="57">
        <f t="shared" si="227"/>
        <v>156300.0274846738</v>
      </c>
      <c r="AO706" s="57">
        <f t="shared" si="228"/>
        <v>129738.77400087968</v>
      </c>
    </row>
    <row r="707" spans="12:41" x14ac:dyDescent="0.25">
      <c r="L707" s="6">
        <v>704</v>
      </c>
      <c r="M707" s="52">
        <f t="shared" si="214"/>
        <v>24806.308479691594</v>
      </c>
      <c r="N707" s="52">
        <f t="shared" si="215"/>
        <v>6121.8132209149999</v>
      </c>
      <c r="P707" s="6">
        <v>704</v>
      </c>
      <c r="Q707" s="52">
        <f t="shared" si="229"/>
        <v>-16635.584064215884</v>
      </c>
      <c r="R707" s="52">
        <f t="shared" si="230"/>
        <v>9035.2692546404996</v>
      </c>
      <c r="T707" s="6">
        <v>704</v>
      </c>
      <c r="U707" s="52">
        <f t="shared" si="216"/>
        <v>-193.69152030840633</v>
      </c>
      <c r="V707" s="52">
        <f t="shared" si="217"/>
        <v>-16378.186779085001</v>
      </c>
      <c r="X707" s="6">
        <v>703</v>
      </c>
      <c r="Y707" s="55">
        <v>351.5</v>
      </c>
      <c r="Z707" s="52">
        <f t="shared" si="231"/>
        <v>4742.3005993693778</v>
      </c>
      <c r="AA707" s="52">
        <f t="shared" si="232"/>
        <v>-145964.68054861907</v>
      </c>
      <c r="AB707" s="52">
        <f t="shared" si="233"/>
        <v>1013.1854768528442</v>
      </c>
      <c r="AC707" s="52">
        <f t="shared" si="234"/>
        <v>-3095.0467714902793</v>
      </c>
      <c r="AD707" s="52">
        <f t="shared" si="218"/>
        <v>-1.1934908754493547</v>
      </c>
      <c r="AE707" s="52">
        <f t="shared" si="219"/>
        <v>58.875489242141782</v>
      </c>
      <c r="AF707" s="52">
        <f t="shared" si="220"/>
        <v>2.164320016939016</v>
      </c>
      <c r="AG707" s="52">
        <f t="shared" si="221"/>
        <v>21.769119398878697</v>
      </c>
      <c r="AH707" s="52">
        <f t="shared" si="222"/>
        <v>-1.1250801634314203</v>
      </c>
      <c r="AI707" s="52">
        <f t="shared" si="223"/>
        <v>7.0920150523772225</v>
      </c>
      <c r="AJ707" s="52">
        <f t="shared" si="224"/>
        <v>-2.2327307289569505</v>
      </c>
      <c r="AK707" s="52">
        <f t="shared" si="225"/>
        <v>30.014354790885861</v>
      </c>
      <c r="AM707" s="52">
        <f t="shared" si="226"/>
        <v>154221.2876579939</v>
      </c>
      <c r="AN707" s="57">
        <f t="shared" si="227"/>
        <v>157915.05000341908</v>
      </c>
      <c r="AO707" s="57">
        <f t="shared" si="228"/>
        <v>131326.53948144036</v>
      </c>
    </row>
    <row r="708" spans="12:41" x14ac:dyDescent="0.25">
      <c r="L708" s="6">
        <v>705</v>
      </c>
      <c r="M708" s="52">
        <f t="shared" si="214"/>
        <v>24829.629131445341</v>
      </c>
      <c r="N708" s="52">
        <f t="shared" si="215"/>
        <v>6205.9047744873951</v>
      </c>
      <c r="P708" s="6">
        <v>705</v>
      </c>
      <c r="Q708" s="52">
        <f t="shared" si="229"/>
        <v>-16619.259607988261</v>
      </c>
      <c r="R708" s="52">
        <f t="shared" si="230"/>
        <v>9094.1333421411764</v>
      </c>
      <c r="T708" s="6">
        <v>705</v>
      </c>
      <c r="U708" s="52">
        <f t="shared" si="216"/>
        <v>-170.37086855465895</v>
      </c>
      <c r="V708" s="52">
        <f t="shared" si="217"/>
        <v>-16294.095225512605</v>
      </c>
      <c r="X708" s="6">
        <v>704</v>
      </c>
      <c r="Y708" s="55">
        <v>352</v>
      </c>
      <c r="Z708" s="52">
        <f t="shared" si="231"/>
        <v>5248.7441514363691</v>
      </c>
      <c r="AA708" s="52">
        <f t="shared" si="232"/>
        <v>-147504.84449820896</v>
      </c>
      <c r="AB708" s="52">
        <f t="shared" si="233"/>
        <v>1012.5887314151196</v>
      </c>
      <c r="AC708" s="52">
        <f t="shared" si="234"/>
        <v>-3065.6090268692083</v>
      </c>
      <c r="AD708" s="52">
        <f t="shared" si="218"/>
        <v>-1.3472770076385698</v>
      </c>
      <c r="AE708" s="52">
        <f t="shared" si="219"/>
        <v>57.623503436480057</v>
      </c>
      <c r="AF708" s="52">
        <f t="shared" si="220"/>
        <v>2.0334663791840066</v>
      </c>
      <c r="AG708" s="52">
        <f t="shared" si="221"/>
        <v>21.367478344458689</v>
      </c>
      <c r="AH708" s="52">
        <f t="shared" si="222"/>
        <v>-1.1139572430619871</v>
      </c>
      <c r="AI708" s="52">
        <f t="shared" si="223"/>
        <v>6.9490055146426162</v>
      </c>
      <c r="AJ708" s="52">
        <f t="shared" si="224"/>
        <v>-2.2667861437605894</v>
      </c>
      <c r="AK708" s="52">
        <f t="shared" si="225"/>
        <v>29.307019577378753</v>
      </c>
      <c r="AM708" s="52">
        <f t="shared" si="226"/>
        <v>155705.1745030451</v>
      </c>
      <c r="AN708" s="57">
        <f t="shared" si="227"/>
        <v>159515.75195456302</v>
      </c>
      <c r="AO708" s="57">
        <f t="shared" si="228"/>
        <v>132900.60410764182</v>
      </c>
    </row>
    <row r="709" spans="12:41" x14ac:dyDescent="0.25">
      <c r="L709" s="6">
        <v>706</v>
      </c>
      <c r="M709" s="52">
        <f t="shared" ref="M709:M772" si="235">$G$20*COS(L709*PI()/180)+$G$19</f>
        <v>24851.478631379981</v>
      </c>
      <c r="N709" s="52">
        <f t="shared" ref="N709:N772" si="236">$G$20*SIN(L709*PI()/180)+$H$19</f>
        <v>6290.390522001655</v>
      </c>
      <c r="P709" s="6">
        <v>706</v>
      </c>
      <c r="Q709" s="52">
        <f t="shared" si="229"/>
        <v>-16603.964958034012</v>
      </c>
      <c r="R709" s="52">
        <f t="shared" si="230"/>
        <v>9153.273365401159</v>
      </c>
      <c r="T709" s="6">
        <v>706</v>
      </c>
      <c r="U709" s="52">
        <f t="shared" ref="U709:U772" si="237">$G$40*COS(T709*PI()/180)+$G$39</f>
        <v>-148.52136862001953</v>
      </c>
      <c r="V709" s="52">
        <f t="shared" ref="V709:V772" si="238">$G$40*SIN(T709*PI()/180)+$H$39</f>
        <v>-16209.609477998345</v>
      </c>
      <c r="X709" s="6">
        <v>705</v>
      </c>
      <c r="Y709" s="55">
        <v>352.5</v>
      </c>
      <c r="Z709" s="52">
        <f t="shared" si="231"/>
        <v>5754.8701075179733</v>
      </c>
      <c r="AA709" s="52">
        <f t="shared" si="232"/>
        <v>-149030.446073714</v>
      </c>
      <c r="AB709" s="52">
        <f t="shared" si="233"/>
        <v>1011.9150929113003</v>
      </c>
      <c r="AC709" s="52">
        <f t="shared" si="234"/>
        <v>-3036.7972751509683</v>
      </c>
      <c r="AD709" s="52">
        <f t="shared" ref="AD709:AD772" si="239">AF709+AH709+AJ709</f>
        <v>-1.4911579297332174</v>
      </c>
      <c r="AE709" s="52">
        <f t="shared" ref="AE709:AE772" si="240">AG709+AI709+AK709</f>
        <v>56.420726176094547</v>
      </c>
      <c r="AF709" s="52">
        <f t="shared" ref="AF709:AF772" si="241">(($G$19-Z709)/(AM709^2+$G$24^2)^(3/2))*$G$23</f>
        <v>1.9092550828872206</v>
      </c>
      <c r="AG709" s="52">
        <f t="shared" ref="AG709:AG772" si="242">(($H$19-AA709)/(AM709^2+$G$24^2)^(3/2))*$G$23</f>
        <v>20.979559473905976</v>
      </c>
      <c r="AH709" s="52">
        <f t="shared" ref="AH709:AH772" si="243">(($G$29-Z709)/(AN709^2+$G$34^2)^(3/2))*$G$33</f>
        <v>-1.1031054230645418</v>
      </c>
      <c r="AI709" s="52">
        <f t="shared" ref="AI709:AI772" si="244">(($H$29-AA709)/(AN709^2+$G$34^2)^(3/2))*$G$33</f>
        <v>6.8114242768042157</v>
      </c>
      <c r="AJ709" s="52">
        <f t="shared" ref="AJ709:AJ772" si="245">(($G$39-Z709)/(AO709^2+$G$44^2)^(3/2))*$G$43</f>
        <v>-2.2973075895558961</v>
      </c>
      <c r="AK709" s="52">
        <f t="shared" ref="AK709:AK772" si="246">(($H$39-AA709)/(AO709^2+$G$44^2)^(3/2))*$G$43</f>
        <v>28.629742425384361</v>
      </c>
      <c r="AM709" s="52">
        <f t="shared" ref="AM709:AM772" si="247">SQRT(($G$19-Z709)^2+($H$19-AA709)^2)</f>
        <v>157177.30203082625</v>
      </c>
      <c r="AN709" s="57">
        <f t="shared" ref="AN709:AN772" si="248">SQRT(($G$29-Z709)^2+($H$29-AA709)^2)</f>
        <v>161102.43980976695</v>
      </c>
      <c r="AO709" s="57">
        <f t="shared" ref="AO709:AO772" si="249">SQRT(($G$39-Z709)^2+($H$39-AA709)^2)</f>
        <v>134461.24982963805</v>
      </c>
    </row>
    <row r="710" spans="12:41" x14ac:dyDescent="0.25">
      <c r="L710" s="6">
        <v>707</v>
      </c>
      <c r="M710" s="52">
        <f t="shared" si="235"/>
        <v>24871.850323926177</v>
      </c>
      <c r="N710" s="52">
        <f t="shared" si="236"/>
        <v>6375.2447282806725</v>
      </c>
      <c r="P710" s="6">
        <v>707</v>
      </c>
      <c r="Q710" s="52">
        <f t="shared" ref="Q710:Q773" si="250">$G$30*COS(P710*PI()/180)+$G$29</f>
        <v>-16589.704773251677</v>
      </c>
      <c r="R710" s="52">
        <f t="shared" ref="R710:R773" si="251">$G$30*SIN(P710*PI()/180)+$H$29</f>
        <v>9212.6713097964712</v>
      </c>
      <c r="T710" s="6">
        <v>707</v>
      </c>
      <c r="U710" s="52">
        <f t="shared" si="237"/>
        <v>-128.14967607382459</v>
      </c>
      <c r="V710" s="52">
        <f t="shared" si="238"/>
        <v>-16124.755271719328</v>
      </c>
      <c r="X710" s="6">
        <v>706</v>
      </c>
      <c r="Y710" s="55">
        <v>353</v>
      </c>
      <c r="Z710" s="52">
        <f t="shared" ref="Z710:Z773" si="252">Z709+AB709*$G$4+((1/2)*AD709)*$G$4^2</f>
        <v>6260.6412592324068</v>
      </c>
      <c r="AA710" s="52">
        <f t="shared" ref="AA710:AA773" si="253">AA709+AC709*$G$4+((1/2)*AE709)*$G$4^2</f>
        <v>-150541.79212051746</v>
      </c>
      <c r="AB710" s="52">
        <f t="shared" ref="AB710:AB773" si="254">AB709+AD709*$G$4</f>
        <v>1011.1695139464338</v>
      </c>
      <c r="AC710" s="52">
        <f t="shared" ref="AC710:AC773" si="255">AC709+AE709*$G$4</f>
        <v>-3008.5869120629209</v>
      </c>
      <c r="AD710" s="52">
        <f t="shared" si="239"/>
        <v>-1.6258497480998246</v>
      </c>
      <c r="AE710" s="52">
        <f t="shared" si="240"/>
        <v>55.264422622113521</v>
      </c>
      <c r="AF710" s="52">
        <f t="shared" si="241"/>
        <v>1.7912694299328338</v>
      </c>
      <c r="AG710" s="52">
        <f t="shared" si="242"/>
        <v>20.60470479144551</v>
      </c>
      <c r="AH710" s="52">
        <f t="shared" si="243"/>
        <v>-1.0925145983861499</v>
      </c>
      <c r="AI710" s="52">
        <f t="shared" si="244"/>
        <v>6.6789782401477682</v>
      </c>
      <c r="AJ710" s="52">
        <f t="shared" si="245"/>
        <v>-2.3246045796465085</v>
      </c>
      <c r="AK710" s="52">
        <f t="shared" si="246"/>
        <v>27.980739590520244</v>
      </c>
      <c r="AM710" s="52">
        <f t="shared" si="247"/>
        <v>158637.88335474083</v>
      </c>
      <c r="AN710" s="57">
        <f t="shared" si="248"/>
        <v>162675.40778068927</v>
      </c>
      <c r="AO710" s="57">
        <f t="shared" si="249"/>
        <v>136008.74770694235</v>
      </c>
    </row>
    <row r="711" spans="12:41" x14ac:dyDescent="0.25">
      <c r="L711" s="6">
        <v>708</v>
      </c>
      <c r="M711" s="52">
        <f t="shared" si="235"/>
        <v>24890.73800366903</v>
      </c>
      <c r="N711" s="52">
        <f t="shared" si="236"/>
        <v>6460.4415459112042</v>
      </c>
      <c r="P711" s="6">
        <v>708</v>
      </c>
      <c r="Q711" s="52">
        <f t="shared" si="250"/>
        <v>-16576.483397431679</v>
      </c>
      <c r="R711" s="52">
        <f t="shared" si="251"/>
        <v>9272.3090821378428</v>
      </c>
      <c r="T711" s="6">
        <v>708</v>
      </c>
      <c r="U711" s="52">
        <f t="shared" si="237"/>
        <v>-109.26199633097167</v>
      </c>
      <c r="V711" s="52">
        <f t="shared" si="238"/>
        <v>-16039.558454088796</v>
      </c>
      <c r="X711" s="6">
        <v>707</v>
      </c>
      <c r="Y711" s="55">
        <v>353.5</v>
      </c>
      <c r="Z711" s="52">
        <f t="shared" si="252"/>
        <v>6766.0227849871108</v>
      </c>
      <c r="AA711" s="52">
        <f t="shared" si="253"/>
        <v>-152039.17752372116</v>
      </c>
      <c r="AB711" s="52">
        <f t="shared" si="254"/>
        <v>1010.3565890723838</v>
      </c>
      <c r="AC711" s="52">
        <f t="shared" si="255"/>
        <v>-2980.954700751864</v>
      </c>
      <c r="AD711" s="52">
        <f t="shared" si="239"/>
        <v>-1.7520078300691313</v>
      </c>
      <c r="AE711" s="52">
        <f t="shared" si="240"/>
        <v>54.152053212903141</v>
      </c>
      <c r="AF711" s="52">
        <f t="shared" si="241"/>
        <v>1.6791241868652571</v>
      </c>
      <c r="AG711" s="52">
        <f t="shared" si="242"/>
        <v>20.242296581013818</v>
      </c>
      <c r="AH711" s="52">
        <f t="shared" si="243"/>
        <v>-1.0821752026545584</v>
      </c>
      <c r="AI711" s="52">
        <f t="shared" si="244"/>
        <v>6.551394698545435</v>
      </c>
      <c r="AJ711" s="52">
        <f t="shared" si="245"/>
        <v>-2.3489568142798301</v>
      </c>
      <c r="AK711" s="52">
        <f t="shared" si="246"/>
        <v>27.358361933343883</v>
      </c>
      <c r="AM711" s="52">
        <f t="shared" si="247"/>
        <v>160087.12414767433</v>
      </c>
      <c r="AN711" s="57">
        <f t="shared" si="248"/>
        <v>164234.93851276123</v>
      </c>
      <c r="AO711" s="57">
        <f t="shared" si="249"/>
        <v>137543.35850398155</v>
      </c>
    </row>
    <row r="712" spans="12:41" x14ac:dyDescent="0.25">
      <c r="L712" s="6">
        <v>709</v>
      </c>
      <c r="M712" s="52">
        <f t="shared" si="235"/>
        <v>24908.13591723832</v>
      </c>
      <c r="N712" s="52">
        <f t="shared" si="236"/>
        <v>6545.9550231172707</v>
      </c>
      <c r="P712" s="6">
        <v>709</v>
      </c>
      <c r="Q712" s="52">
        <f t="shared" si="250"/>
        <v>-16564.304857933177</v>
      </c>
      <c r="R712" s="52">
        <f t="shared" si="251"/>
        <v>9332.1685161820897</v>
      </c>
      <c r="T712" s="6">
        <v>709</v>
      </c>
      <c r="U712" s="52">
        <f t="shared" si="237"/>
        <v>-91.864082761680947</v>
      </c>
      <c r="V712" s="52">
        <f t="shared" si="238"/>
        <v>-15954.044976882729</v>
      </c>
      <c r="X712" s="6">
        <v>708</v>
      </c>
      <c r="Y712" s="55">
        <v>354</v>
      </c>
      <c r="Z712" s="52">
        <f t="shared" si="252"/>
        <v>7270.9820785445445</v>
      </c>
      <c r="AA712" s="52">
        <f t="shared" si="253"/>
        <v>-153522.88586744547</v>
      </c>
      <c r="AB712" s="52">
        <f t="shared" si="254"/>
        <v>1009.4805851573493</v>
      </c>
      <c r="AC712" s="52">
        <f t="shared" si="255"/>
        <v>-2953.8786741454123</v>
      </c>
      <c r="AD712" s="52">
        <f t="shared" si="239"/>
        <v>-1.8702327826931053</v>
      </c>
      <c r="AE712" s="52">
        <f t="shared" si="240"/>
        <v>53.081256724362895</v>
      </c>
      <c r="AF712" s="52">
        <f t="shared" si="241"/>
        <v>1.5724628039680113</v>
      </c>
      <c r="AG712" s="52">
        <f t="shared" si="242"/>
        <v>19.891754428859564</v>
      </c>
      <c r="AH712" s="52">
        <f t="shared" si="243"/>
        <v>-1.0720781688074856</v>
      </c>
      <c r="AI712" s="52">
        <f t="shared" si="244"/>
        <v>6.4284196122445874</v>
      </c>
      <c r="AJ712" s="52">
        <f t="shared" si="245"/>
        <v>-2.370617417853631</v>
      </c>
      <c r="AK712" s="52">
        <f t="shared" si="246"/>
        <v>26.761082683258742</v>
      </c>
      <c r="AM712" s="52">
        <f t="shared" si="247"/>
        <v>161525.22301586554</v>
      </c>
      <c r="AN712" s="57">
        <f t="shared" si="248"/>
        <v>165781.30372857457</v>
      </c>
      <c r="AO712" s="57">
        <f t="shared" si="249"/>
        <v>139065.33324382926</v>
      </c>
    </row>
    <row r="713" spans="12:41" x14ac:dyDescent="0.25">
      <c r="L713" s="6">
        <v>710</v>
      </c>
      <c r="M713" s="52">
        <f t="shared" si="235"/>
        <v>24924.038765061039</v>
      </c>
      <c r="N713" s="52">
        <f t="shared" si="236"/>
        <v>6631.7591116653466</v>
      </c>
      <c r="P713" s="6">
        <v>710</v>
      </c>
      <c r="Q713" s="52">
        <f t="shared" si="250"/>
        <v>-16553.172864457272</v>
      </c>
      <c r="R713" s="52">
        <f t="shared" si="251"/>
        <v>9392.2313781657431</v>
      </c>
      <c r="T713" s="6">
        <v>710</v>
      </c>
      <c r="U713" s="52">
        <f t="shared" si="237"/>
        <v>-75.961234938959933</v>
      </c>
      <c r="V713" s="52">
        <f t="shared" si="238"/>
        <v>-15868.240888334652</v>
      </c>
      <c r="X713" s="6">
        <v>709</v>
      </c>
      <c r="Y713" s="55">
        <v>354.5</v>
      </c>
      <c r="Z713" s="52">
        <f t="shared" si="252"/>
        <v>7775.4885920253828</v>
      </c>
      <c r="AA713" s="52">
        <f t="shared" si="253"/>
        <v>-154993.19004742763</v>
      </c>
      <c r="AB713" s="52">
        <f t="shared" si="254"/>
        <v>1008.5454687660027</v>
      </c>
      <c r="AC713" s="52">
        <f t="shared" si="255"/>
        <v>-2927.3380457832309</v>
      </c>
      <c r="AD713" s="52">
        <f t="shared" si="239"/>
        <v>-1.9810757603285734</v>
      </c>
      <c r="AE713" s="52">
        <f t="shared" si="240"/>
        <v>52.049835051862971</v>
      </c>
      <c r="AF713" s="52">
        <f t="shared" si="241"/>
        <v>1.4709549154770809</v>
      </c>
      <c r="AG713" s="52">
        <f t="shared" si="242"/>
        <v>19.552532502517131</v>
      </c>
      <c r="AH713" s="52">
        <f t="shared" si="243"/>
        <v>-1.0622148935186622</v>
      </c>
      <c r="AI713" s="52">
        <f t="shared" si="244"/>
        <v>6.3098160529874923</v>
      </c>
      <c r="AJ713" s="52">
        <f t="shared" si="245"/>
        <v>-2.3898157822869921</v>
      </c>
      <c r="AK713" s="52">
        <f t="shared" si="246"/>
        <v>26.187486496358346</v>
      </c>
      <c r="AM713" s="52">
        <f t="shared" si="247"/>
        <v>162952.37184819722</v>
      </c>
      <c r="AN713" s="57">
        <f t="shared" si="248"/>
        <v>167314.76482532051</v>
      </c>
      <c r="AO713" s="57">
        <f t="shared" si="249"/>
        <v>140574.91372368031</v>
      </c>
    </row>
    <row r="714" spans="12:41" x14ac:dyDescent="0.25">
      <c r="L714" s="6">
        <v>711</v>
      </c>
      <c r="M714" s="52">
        <f t="shared" si="235"/>
        <v>24938.441702975688</v>
      </c>
      <c r="N714" s="52">
        <f t="shared" si="236"/>
        <v>6717.8276747988384</v>
      </c>
      <c r="P714" s="6">
        <v>711</v>
      </c>
      <c r="Q714" s="52">
        <f t="shared" si="250"/>
        <v>-16543.090807917019</v>
      </c>
      <c r="R714" s="52">
        <f t="shared" si="251"/>
        <v>9452.4793723591865</v>
      </c>
      <c r="T714" s="6">
        <v>711</v>
      </c>
      <c r="U714" s="52">
        <f t="shared" si="237"/>
        <v>-61.558297024312196</v>
      </c>
      <c r="V714" s="52">
        <f t="shared" si="238"/>
        <v>-15782.172325201162</v>
      </c>
      <c r="X714" s="6">
        <v>710</v>
      </c>
      <c r="Y714" s="55">
        <v>355</v>
      </c>
      <c r="Z714" s="52">
        <f t="shared" si="252"/>
        <v>8279.513691938344</v>
      </c>
      <c r="AA714" s="52">
        <f t="shared" si="253"/>
        <v>-156450.35284093776</v>
      </c>
      <c r="AB714" s="52">
        <f t="shared" si="254"/>
        <v>1007.5549308858384</v>
      </c>
      <c r="AC714" s="52">
        <f t="shared" si="255"/>
        <v>-2901.3131282572995</v>
      </c>
      <c r="AD714" s="52">
        <f t="shared" si="239"/>
        <v>-2.0850431856230367</v>
      </c>
      <c r="AE714" s="52">
        <f t="shared" si="240"/>
        <v>51.055739513993728</v>
      </c>
      <c r="AF714" s="52">
        <f t="shared" si="241"/>
        <v>1.3742940890014559</v>
      </c>
      <c r="AG714" s="52">
        <f t="shared" si="242"/>
        <v>19.224117061083515</v>
      </c>
      <c r="AH714" s="52">
        <f t="shared" si="243"/>
        <v>-1.05257720496215</v>
      </c>
      <c r="AI714" s="52">
        <f t="shared" si="244"/>
        <v>6.1953628010308686</v>
      </c>
      <c r="AJ714" s="52">
        <f t="shared" si="245"/>
        <v>-2.4067600696623423</v>
      </c>
      <c r="AK714" s="52">
        <f t="shared" si="246"/>
        <v>25.636259651879346</v>
      </c>
      <c r="AM714" s="52">
        <f t="shared" si="247"/>
        <v>164368.75614290402</v>
      </c>
      <c r="AN714" s="57">
        <f t="shared" si="248"/>
        <v>168835.57343026143</v>
      </c>
      <c r="AO714" s="57">
        <f t="shared" si="249"/>
        <v>142072.33299527451</v>
      </c>
    </row>
    <row r="715" spans="12:41" x14ac:dyDescent="0.25">
      <c r="L715" s="6">
        <v>712</v>
      </c>
      <c r="M715" s="52">
        <f t="shared" si="235"/>
        <v>24951.340343707852</v>
      </c>
      <c r="N715" s="52">
        <f t="shared" si="236"/>
        <v>6804.134495199678</v>
      </c>
      <c r="P715" s="6">
        <v>712</v>
      </c>
      <c r="Q715" s="52">
        <f t="shared" si="250"/>
        <v>-16534.061759404503</v>
      </c>
      <c r="R715" s="52">
        <f t="shared" si="251"/>
        <v>9512.8941466397755</v>
      </c>
      <c r="T715" s="6">
        <v>712</v>
      </c>
      <c r="U715" s="52">
        <f t="shared" si="237"/>
        <v>-48.659656292147702</v>
      </c>
      <c r="V715" s="52">
        <f t="shared" si="238"/>
        <v>-15695.865504800322</v>
      </c>
      <c r="X715" s="6">
        <v>711</v>
      </c>
      <c r="Y715" s="55">
        <v>355.5</v>
      </c>
      <c r="Z715" s="52">
        <f t="shared" si="252"/>
        <v>8783.0305269830606</v>
      </c>
      <c r="AA715" s="52">
        <f t="shared" si="253"/>
        <v>-157894.62743762715</v>
      </c>
      <c r="AB715" s="52">
        <f t="shared" si="254"/>
        <v>1006.5124092930268</v>
      </c>
      <c r="AC715" s="52">
        <f t="shared" si="255"/>
        <v>-2875.7852585003025</v>
      </c>
      <c r="AD715" s="52">
        <f t="shared" si="239"/>
        <v>-2.1826009566751567</v>
      </c>
      <c r="AE715" s="52">
        <f t="shared" si="240"/>
        <v>50.097058504281691</v>
      </c>
      <c r="AF715" s="52">
        <f t="shared" si="241"/>
        <v>1.2821957962386283</v>
      </c>
      <c r="AG715" s="52">
        <f t="shared" si="242"/>
        <v>18.906024174454789</v>
      </c>
      <c r="AH715" s="52">
        <f t="shared" si="243"/>
        <v>-1.043157333522285</v>
      </c>
      <c r="AI715" s="52">
        <f t="shared" si="244"/>
        <v>6.0848530771061311</v>
      </c>
      <c r="AJ715" s="52">
        <f t="shared" si="245"/>
        <v>-2.4216394193915001</v>
      </c>
      <c r="AK715" s="52">
        <f t="shared" si="246"/>
        <v>25.106181252720766</v>
      </c>
      <c r="AM715" s="52">
        <f t="shared" si="247"/>
        <v>165774.55531350424</v>
      </c>
      <c r="AN715" s="57">
        <f t="shared" si="248"/>
        <v>170343.97191781356</v>
      </c>
      <c r="AO715" s="57">
        <f t="shared" si="249"/>
        <v>143557.81581316292</v>
      </c>
    </row>
    <row r="716" spans="12:41" x14ac:dyDescent="0.25">
      <c r="L716" s="6">
        <v>713</v>
      </c>
      <c r="M716" s="52">
        <f t="shared" si="235"/>
        <v>24962.73075820661</v>
      </c>
      <c r="N716" s="52">
        <f t="shared" si="236"/>
        <v>6890.6532829742628</v>
      </c>
      <c r="P716" s="6">
        <v>713</v>
      </c>
      <c r="Q716" s="52">
        <f t="shared" si="250"/>
        <v>-16526.088469255374</v>
      </c>
      <c r="R716" s="52">
        <f t="shared" si="251"/>
        <v>9573.457298081983</v>
      </c>
      <c r="T716" s="6">
        <v>713</v>
      </c>
      <c r="U716" s="52">
        <f t="shared" si="237"/>
        <v>-37.269241793390393</v>
      </c>
      <c r="V716" s="52">
        <f t="shared" si="238"/>
        <v>-15609.346717025737</v>
      </c>
      <c r="X716" s="6">
        <v>712</v>
      </c>
      <c r="Y716" s="55">
        <v>356</v>
      </c>
      <c r="Z716" s="52">
        <f t="shared" si="252"/>
        <v>9286.0139065099902</v>
      </c>
      <c r="AA716" s="52">
        <f t="shared" si="253"/>
        <v>-159326.25793456426</v>
      </c>
      <c r="AB716" s="52">
        <f t="shared" si="254"/>
        <v>1005.4211088146893</v>
      </c>
      <c r="AC716" s="52">
        <f t="shared" si="255"/>
        <v>-2850.7367292481617</v>
      </c>
      <c r="AD716" s="52">
        <f t="shared" si="239"/>
        <v>-2.2741782031429465</v>
      </c>
      <c r="AE716" s="52">
        <f t="shared" si="240"/>
        <v>49.1720063392995</v>
      </c>
      <c r="AF716" s="52">
        <f t="shared" si="241"/>
        <v>1.1943955805360598</v>
      </c>
      <c r="AG716" s="52">
        <f t="shared" si="242"/>
        <v>18.597797631591458</v>
      </c>
      <c r="AH716" s="52">
        <f t="shared" si="243"/>
        <v>-1.0339478851113166</v>
      </c>
      <c r="AI716" s="52">
        <f t="shared" si="244"/>
        <v>5.9780933944833885</v>
      </c>
      <c r="AJ716" s="52">
        <f t="shared" si="245"/>
        <v>-2.4346258985676896</v>
      </c>
      <c r="AK716" s="52">
        <f t="shared" si="246"/>
        <v>24.596115313224651</v>
      </c>
      <c r="AM716" s="52">
        <f t="shared" si="247"/>
        <v>167169.94297558776</v>
      </c>
      <c r="AN716" s="57">
        <f t="shared" si="248"/>
        <v>171840.19389146092</v>
      </c>
      <c r="AO716" s="57">
        <f t="shared" si="249"/>
        <v>145031.57905343018</v>
      </c>
    </row>
    <row r="717" spans="12:41" x14ac:dyDescent="0.25">
      <c r="L717" s="6">
        <v>714</v>
      </c>
      <c r="M717" s="52">
        <f t="shared" si="235"/>
        <v>24972.609476841368</v>
      </c>
      <c r="N717" s="52">
        <f t="shared" si="236"/>
        <v>6977.3576836617276</v>
      </c>
      <c r="P717" s="6">
        <v>714</v>
      </c>
      <c r="Q717" s="52">
        <f t="shared" si="250"/>
        <v>-16519.173366211042</v>
      </c>
      <c r="R717" s="52">
        <f t="shared" si="251"/>
        <v>9634.1503785632085</v>
      </c>
      <c r="T717" s="6">
        <v>714</v>
      </c>
      <c r="U717" s="52">
        <f t="shared" si="237"/>
        <v>-27.390523158634096</v>
      </c>
      <c r="V717" s="52">
        <f t="shared" si="238"/>
        <v>-15522.642316338273</v>
      </c>
      <c r="X717" s="6">
        <v>713</v>
      </c>
      <c r="Y717" s="55">
        <v>356.5</v>
      </c>
      <c r="Z717" s="52">
        <f t="shared" si="252"/>
        <v>9788.4401886419419</v>
      </c>
      <c r="AA717" s="52">
        <f t="shared" si="253"/>
        <v>-160745.47979839591</v>
      </c>
      <c r="AB717" s="52">
        <f t="shared" si="254"/>
        <v>1004.2840197131178</v>
      </c>
      <c r="AC717" s="52">
        <f t="shared" si="255"/>
        <v>-2826.150726078512</v>
      </c>
      <c r="AD717" s="52">
        <f t="shared" si="239"/>
        <v>-2.3601706455773654</v>
      </c>
      <c r="AE717" s="52">
        <f t="shared" si="240"/>
        <v>48.278913170687076</v>
      </c>
      <c r="AF717" s="52">
        <f t="shared" si="241"/>
        <v>1.1106473998414048</v>
      </c>
      <c r="AG717" s="52">
        <f t="shared" si="242"/>
        <v>18.299007019996775</v>
      </c>
      <c r="AH717" s="52">
        <f t="shared" si="243"/>
        <v>-1.0249418168031104</v>
      </c>
      <c r="AI717" s="52">
        <f t="shared" si="244"/>
        <v>5.8749025181323233</v>
      </c>
      <c r="AJ717" s="52">
        <f t="shared" si="245"/>
        <v>-2.4458762286156599</v>
      </c>
      <c r="AK717" s="52">
        <f t="shared" si="246"/>
        <v>24.105003632557981</v>
      </c>
      <c r="AM717" s="52">
        <f t="shared" si="247"/>
        <v>168555.08721594076</v>
      </c>
      <c r="AN717" s="57">
        <f t="shared" si="248"/>
        <v>173324.46463340576</v>
      </c>
      <c r="AO717" s="57">
        <f t="shared" si="249"/>
        <v>146493.83210523805</v>
      </c>
    </row>
    <row r="718" spans="12:41" x14ac:dyDescent="0.25">
      <c r="L718" s="6">
        <v>715</v>
      </c>
      <c r="M718" s="52">
        <f t="shared" si="235"/>
        <v>24980.973490458728</v>
      </c>
      <c r="N718" s="52">
        <f t="shared" si="236"/>
        <v>7064.2212862617162</v>
      </c>
      <c r="P718" s="6">
        <v>715</v>
      </c>
      <c r="Q718" s="52">
        <f t="shared" si="250"/>
        <v>-16513.318556678889</v>
      </c>
      <c r="R718" s="52">
        <f t="shared" si="251"/>
        <v>9694.9549003832017</v>
      </c>
      <c r="T718" s="6">
        <v>715</v>
      </c>
      <c r="U718" s="52">
        <f t="shared" si="237"/>
        <v>-19.02650954127148</v>
      </c>
      <c r="V718" s="52">
        <f t="shared" si="238"/>
        <v>-15435.778713738284</v>
      </c>
      <c r="X718" s="6">
        <v>714</v>
      </c>
      <c r="Y718" s="55">
        <v>357</v>
      </c>
      <c r="Z718" s="52">
        <f t="shared" si="252"/>
        <v>10290.287177167804</v>
      </c>
      <c r="AA718" s="52">
        <f t="shared" si="253"/>
        <v>-162152.52029728881</v>
      </c>
      <c r="AB718" s="52">
        <f t="shared" si="254"/>
        <v>1003.1039343903291</v>
      </c>
      <c r="AC718" s="52">
        <f t="shared" si="255"/>
        <v>-2802.0112694931686</v>
      </c>
      <c r="AD718" s="52">
        <f t="shared" si="239"/>
        <v>-2.4409436050243309</v>
      </c>
      <c r="AE718" s="52">
        <f t="shared" si="240"/>
        <v>47.416215845065338</v>
      </c>
      <c r="AF718" s="52">
        <f t="shared" si="241"/>
        <v>1.030722126175825</v>
      </c>
      <c r="AG718" s="52">
        <f t="shared" si="242"/>
        <v>18.009245960469418</v>
      </c>
      <c r="AH718" s="52">
        <f t="shared" si="243"/>
        <v>-1.0161324145301327</v>
      </c>
      <c r="AI718" s="52">
        <f t="shared" si="244"/>
        <v>5.7751105195526229</v>
      </c>
      <c r="AJ718" s="52">
        <f t="shared" si="245"/>
        <v>-2.4555333166700231</v>
      </c>
      <c r="AK718" s="52">
        <f t="shared" si="246"/>
        <v>23.631859365043301</v>
      </c>
      <c r="AM718" s="52">
        <f t="shared" si="247"/>
        <v>169930.15084535134</v>
      </c>
      <c r="AN718" s="57">
        <f t="shared" si="248"/>
        <v>174797.00152457916</v>
      </c>
      <c r="AO718" s="57">
        <f t="shared" si="249"/>
        <v>147944.77723733359</v>
      </c>
    </row>
    <row r="719" spans="12:41" x14ac:dyDescent="0.25">
      <c r="L719" s="6">
        <v>716</v>
      </c>
      <c r="M719" s="52">
        <f t="shared" si="235"/>
        <v>24987.820251299123</v>
      </c>
      <c r="N719" s="52">
        <f t="shared" si="236"/>
        <v>7151.2176312793754</v>
      </c>
      <c r="P719" s="6">
        <v>716</v>
      </c>
      <c r="Q719" s="52">
        <f t="shared" si="250"/>
        <v>-16508.525824090615</v>
      </c>
      <c r="R719" s="52">
        <f t="shared" si="251"/>
        <v>9755.8523418955629</v>
      </c>
      <c r="T719" s="6">
        <v>716</v>
      </c>
      <c r="U719" s="52">
        <f t="shared" si="237"/>
        <v>-12.179748700878008</v>
      </c>
      <c r="V719" s="52">
        <f t="shared" si="238"/>
        <v>-15348.782368720626</v>
      </c>
      <c r="X719" s="6">
        <v>715</v>
      </c>
      <c r="Y719" s="55">
        <v>357.5</v>
      </c>
      <c r="Z719" s="52">
        <f t="shared" si="252"/>
        <v>10791.534026412341</v>
      </c>
      <c r="AA719" s="52">
        <f t="shared" si="253"/>
        <v>-163547.59890505474</v>
      </c>
      <c r="AB719" s="52">
        <f t="shared" si="254"/>
        <v>1001.8834625878169</v>
      </c>
      <c r="AC719" s="52">
        <f t="shared" si="255"/>
        <v>-2778.3031615706359</v>
      </c>
      <c r="AD719" s="52">
        <f t="shared" si="239"/>
        <v>-2.5168347037592453</v>
      </c>
      <c r="AE719" s="52">
        <f t="shared" si="240"/>
        <v>46.58244961000841</v>
      </c>
      <c r="AF719" s="52">
        <f t="shared" si="241"/>
        <v>0.95440618501303809</v>
      </c>
      <c r="AG719" s="52">
        <f t="shared" si="242"/>
        <v>17.728130482846439</v>
      </c>
      <c r="AH719" s="52">
        <f t="shared" si="243"/>
        <v>-1.0075132726242015</v>
      </c>
      <c r="AI719" s="52">
        <f t="shared" si="244"/>
        <v>5.6785579172158158</v>
      </c>
      <c r="AJ719" s="52">
        <f t="shared" si="245"/>
        <v>-2.4637276161480819</v>
      </c>
      <c r="AK719" s="52">
        <f t="shared" si="246"/>
        <v>23.175761209946153</v>
      </c>
      <c r="AM719" s="52">
        <f t="shared" si="247"/>
        <v>171295.29163631791</v>
      </c>
      <c r="AN719" s="57">
        <f t="shared" si="248"/>
        <v>176258.01443738511</v>
      </c>
      <c r="AO719" s="57">
        <f t="shared" si="249"/>
        <v>149384.60994146738</v>
      </c>
    </row>
    <row r="720" spans="12:41" x14ac:dyDescent="0.25">
      <c r="L720" s="6">
        <v>717</v>
      </c>
      <c r="M720" s="52">
        <f t="shared" si="235"/>
        <v>24993.14767377287</v>
      </c>
      <c r="N720" s="52">
        <f t="shared" si="236"/>
        <v>7238.3202187852767</v>
      </c>
      <c r="P720" s="6">
        <v>717</v>
      </c>
      <c r="Q720" s="52">
        <f t="shared" si="250"/>
        <v>-16504.796628358992</v>
      </c>
      <c r="R720" s="52">
        <f t="shared" si="251"/>
        <v>9816.8241531496933</v>
      </c>
      <c r="T720" s="6">
        <v>717</v>
      </c>
      <c r="U720" s="52">
        <f t="shared" si="237"/>
        <v>-6.8523262271310159</v>
      </c>
      <c r="V720" s="52">
        <f t="shared" si="238"/>
        <v>-15261.679781214723</v>
      </c>
      <c r="X720" s="6">
        <v>716</v>
      </c>
      <c r="Y720" s="55">
        <v>358</v>
      </c>
      <c r="Z720" s="52">
        <f t="shared" si="252"/>
        <v>11292.161153368279</v>
      </c>
      <c r="AA720" s="52">
        <f t="shared" si="253"/>
        <v>-164930.92767963879</v>
      </c>
      <c r="AB720" s="52">
        <f t="shared" si="254"/>
        <v>1000.6250452359373</v>
      </c>
      <c r="AC720" s="52">
        <f t="shared" si="255"/>
        <v>-2755.0119367656316</v>
      </c>
      <c r="AD720" s="52">
        <f t="shared" si="239"/>
        <v>-2.5881562927285167</v>
      </c>
      <c r="AE720" s="52">
        <f t="shared" si="240"/>
        <v>45.776240576514681</v>
      </c>
      <c r="AF720" s="52">
        <f t="shared" si="241"/>
        <v>0.88150031990171351</v>
      </c>
      <c r="AG720" s="52">
        <f t="shared" si="242"/>
        <v>17.455297529919854</v>
      </c>
      <c r="AH720" s="52">
        <f t="shared" si="243"/>
        <v>-0.99907827500930213</v>
      </c>
      <c r="AI720" s="52">
        <f t="shared" si="244"/>
        <v>5.5850948937458842</v>
      </c>
      <c r="AJ720" s="52">
        <f t="shared" si="245"/>
        <v>-2.4705783376209278</v>
      </c>
      <c r="AK720" s="52">
        <f t="shared" si="246"/>
        <v>22.735848152848945</v>
      </c>
      <c r="AM720" s="52">
        <f t="shared" si="247"/>
        <v>172650.66254677315</v>
      </c>
      <c r="AN720" s="57">
        <f t="shared" si="248"/>
        <v>177707.70610332966</v>
      </c>
      <c r="AO720" s="57">
        <f t="shared" si="249"/>
        <v>150813.51925448989</v>
      </c>
    </row>
    <row r="721" spans="12:41" x14ac:dyDescent="0.25">
      <c r="L721" s="6">
        <v>718</v>
      </c>
      <c r="M721" s="52">
        <f t="shared" si="235"/>
        <v>24996.954135095479</v>
      </c>
      <c r="N721" s="52">
        <f t="shared" si="236"/>
        <v>7325.502516487486</v>
      </c>
      <c r="P721" s="6">
        <v>718</v>
      </c>
      <c r="Q721" s="52">
        <f t="shared" si="250"/>
        <v>-16502.132105433164</v>
      </c>
      <c r="R721" s="52">
        <f t="shared" si="251"/>
        <v>9877.8517615412402</v>
      </c>
      <c r="T721" s="6">
        <v>718</v>
      </c>
      <c r="U721" s="52">
        <f t="shared" si="237"/>
        <v>-3.0458649045212951</v>
      </c>
      <c r="V721" s="52">
        <f t="shared" si="238"/>
        <v>-15174.497483512514</v>
      </c>
      <c r="X721" s="6">
        <v>717</v>
      </c>
      <c r="Y721" s="55">
        <v>358.5</v>
      </c>
      <c r="Z721" s="52">
        <f t="shared" si="252"/>
        <v>11792.150156449658</v>
      </c>
      <c r="AA721" s="52">
        <f t="shared" si="253"/>
        <v>-166302.71161794954</v>
      </c>
      <c r="AB721" s="52">
        <f t="shared" si="254"/>
        <v>999.33096708957294</v>
      </c>
      <c r="AC721" s="52">
        <f t="shared" si="255"/>
        <v>-2732.1238164773745</v>
      </c>
      <c r="AD721" s="52">
        <f t="shared" si="239"/>
        <v>-2.6551976367333232</v>
      </c>
      <c r="AE721" s="52">
        <f t="shared" si="240"/>
        <v>44.996298859056665</v>
      </c>
      <c r="AF721" s="52">
        <f t="shared" si="241"/>
        <v>0.81181846937183999</v>
      </c>
      <c r="AG721" s="52">
        <f t="shared" si="242"/>
        <v>17.190403578012738</v>
      </c>
      <c r="AH721" s="52">
        <f t="shared" si="243"/>
        <v>-0.9908215778788747</v>
      </c>
      <c r="AI721" s="52">
        <f t="shared" si="244"/>
        <v>5.494580581998882</v>
      </c>
      <c r="AJ721" s="52">
        <f t="shared" si="245"/>
        <v>-2.4761945282262885</v>
      </c>
      <c r="AK721" s="52">
        <f t="shared" si="246"/>
        <v>22.311314699045042</v>
      </c>
      <c r="AM721" s="52">
        <f t="shared" si="247"/>
        <v>173996.41193083953</v>
      </c>
      <c r="AN721" s="57">
        <f t="shared" si="248"/>
        <v>179146.27245748686</v>
      </c>
      <c r="AO721" s="57">
        <f t="shared" si="249"/>
        <v>152231.68806073573</v>
      </c>
    </row>
    <row r="722" spans="12:41" x14ac:dyDescent="0.25">
      <c r="L722" s="6">
        <v>719</v>
      </c>
      <c r="M722" s="52">
        <f t="shared" si="235"/>
        <v>24999.238475781956</v>
      </c>
      <c r="N722" s="52">
        <f t="shared" si="236"/>
        <v>7412.7379678135858</v>
      </c>
      <c r="P722" s="6">
        <v>719</v>
      </c>
      <c r="Q722" s="52">
        <f t="shared" si="250"/>
        <v>-16500.53306695263</v>
      </c>
      <c r="R722" s="52">
        <f t="shared" si="251"/>
        <v>9938.9165774695102</v>
      </c>
      <c r="T722" s="6">
        <v>719</v>
      </c>
      <c r="U722" s="52">
        <f t="shared" si="237"/>
        <v>-0.76152421804363257</v>
      </c>
      <c r="V722" s="52">
        <f t="shared" si="238"/>
        <v>-15087.262032186414</v>
      </c>
      <c r="X722" s="6">
        <v>718</v>
      </c>
      <c r="Y722" s="55">
        <v>359</v>
      </c>
      <c r="Z722" s="52">
        <f t="shared" si="252"/>
        <v>12291.483740289852</v>
      </c>
      <c r="AA722" s="52">
        <f t="shared" si="253"/>
        <v>-167663.14898883083</v>
      </c>
      <c r="AB722" s="52">
        <f t="shared" si="254"/>
        <v>998.00336827120623</v>
      </c>
      <c r="AC722" s="52">
        <f t="shared" si="255"/>
        <v>-2709.625667047846</v>
      </c>
      <c r="AD722" s="52">
        <f t="shared" si="239"/>
        <v>-2.7182268844862674</v>
      </c>
      <c r="AE722" s="52">
        <f t="shared" si="240"/>
        <v>44.241412323524969</v>
      </c>
      <c r="AF722" s="52">
        <f t="shared" si="241"/>
        <v>0.74518674465178047</v>
      </c>
      <c r="AG722" s="52">
        <f t="shared" si="242"/>
        <v>16.93312336385339</v>
      </c>
      <c r="AH722" s="52">
        <f t="shared" si="243"/>
        <v>-0.98273759371044755</v>
      </c>
      <c r="AI722" s="52">
        <f t="shared" si="244"/>
        <v>5.4068824131008224</v>
      </c>
      <c r="AJ722" s="52">
        <f t="shared" si="245"/>
        <v>-2.4806760354276003</v>
      </c>
      <c r="AK722" s="52">
        <f t="shared" si="246"/>
        <v>21.901406546570755</v>
      </c>
      <c r="AM722" s="52">
        <f t="shared" si="247"/>
        <v>175332.68373754382</v>
      </c>
      <c r="AN722" s="57">
        <f t="shared" si="248"/>
        <v>180573.90296157665</v>
      </c>
      <c r="AO722" s="57">
        <f t="shared" si="249"/>
        <v>153639.29337616294</v>
      </c>
    </row>
    <row r="723" spans="12:41" x14ac:dyDescent="0.25">
      <c r="L723" s="6">
        <v>720</v>
      </c>
      <c r="M723" s="52">
        <f t="shared" si="235"/>
        <v>25000</v>
      </c>
      <c r="N723" s="52">
        <f t="shared" si="236"/>
        <v>7499.9999999999973</v>
      </c>
      <c r="P723" s="6">
        <v>720</v>
      </c>
      <c r="Q723" s="52">
        <f t="shared" si="250"/>
        <v>-16500</v>
      </c>
      <c r="R723" s="52">
        <f t="shared" si="251"/>
        <v>9999.9999999999982</v>
      </c>
      <c r="T723" s="6">
        <v>720</v>
      </c>
      <c r="U723" s="52">
        <f t="shared" si="237"/>
        <v>0</v>
      </c>
      <c r="V723" s="52">
        <f t="shared" si="238"/>
        <v>-15000.000000000002</v>
      </c>
      <c r="X723" s="6">
        <v>719</v>
      </c>
      <c r="Y723" s="55">
        <v>359.5</v>
      </c>
      <c r="Z723" s="52">
        <f t="shared" si="252"/>
        <v>12790.145646064893</v>
      </c>
      <c r="AA723" s="52">
        <f t="shared" si="253"/>
        <v>-169012.43164581433</v>
      </c>
      <c r="AB723" s="52">
        <f t="shared" si="254"/>
        <v>996.64425482896308</v>
      </c>
      <c r="AC723" s="52">
        <f t="shared" si="255"/>
        <v>-2687.5049608860836</v>
      </c>
      <c r="AD723" s="52">
        <f t="shared" si="239"/>
        <v>-2.7774928473052771</v>
      </c>
      <c r="AE723" s="52">
        <f t="shared" si="240"/>
        <v>43.510440881432984</v>
      </c>
      <c r="AF723" s="52">
        <f t="shared" si="241"/>
        <v>0.68144249802245538</v>
      </c>
      <c r="AG723" s="52">
        <f t="shared" si="242"/>
        <v>16.683148708419004</v>
      </c>
      <c r="AH723" s="52">
        <f t="shared" si="243"/>
        <v>-0.97482097648811039</v>
      </c>
      <c r="AI723" s="52">
        <f t="shared" si="244"/>
        <v>5.3218755202883941</v>
      </c>
      <c r="AJ723" s="52">
        <f t="shared" si="245"/>
        <v>-2.4841143688396219</v>
      </c>
      <c r="AK723" s="52">
        <f t="shared" si="246"/>
        <v>21.505416652725586</v>
      </c>
      <c r="AM723" s="52">
        <f t="shared" si="247"/>
        <v>176659.61769833884</v>
      </c>
      <c r="AN723" s="57">
        <f t="shared" si="248"/>
        <v>181990.78090726875</v>
      </c>
      <c r="AO723" s="57">
        <f t="shared" si="249"/>
        <v>155036.50661558661</v>
      </c>
    </row>
    <row r="724" spans="12:41" x14ac:dyDescent="0.25">
      <c r="L724" s="6">
        <v>721</v>
      </c>
      <c r="M724" s="52">
        <f t="shared" si="235"/>
        <v>24999.238475781956</v>
      </c>
      <c r="N724" s="52">
        <f t="shared" si="236"/>
        <v>7587.2620321864097</v>
      </c>
      <c r="P724" s="6">
        <v>721</v>
      </c>
      <c r="Q724" s="52">
        <f t="shared" si="250"/>
        <v>-16500.53306695263</v>
      </c>
      <c r="R724" s="52">
        <f t="shared" si="251"/>
        <v>10061.083422530486</v>
      </c>
      <c r="T724" s="6">
        <v>721</v>
      </c>
      <c r="U724" s="52">
        <f t="shared" si="237"/>
        <v>-0.76152421804363257</v>
      </c>
      <c r="V724" s="52">
        <f t="shared" si="238"/>
        <v>-14912.737967813589</v>
      </c>
      <c r="X724" s="6">
        <v>720</v>
      </c>
      <c r="Y724" s="55">
        <v>360</v>
      </c>
      <c r="Z724" s="52">
        <f t="shared" si="252"/>
        <v>13288.120586873461</v>
      </c>
      <c r="AA724" s="52">
        <f t="shared" si="253"/>
        <v>-170350.7453211472</v>
      </c>
      <c r="AB724" s="52">
        <f t="shared" si="254"/>
        <v>995.25550840531048</v>
      </c>
      <c r="AC724" s="52">
        <f t="shared" si="255"/>
        <v>-2665.749740445367</v>
      </c>
      <c r="AD724" s="52">
        <f t="shared" si="239"/>
        <v>-2.8332266073008863</v>
      </c>
      <c r="AE724" s="52">
        <f t="shared" si="240"/>
        <v>42.802311275760104</v>
      </c>
      <c r="AF724" s="52">
        <f t="shared" si="241"/>
        <v>0.62043347277302352</v>
      </c>
      <c r="AG724" s="52">
        <f t="shared" si="242"/>
        <v>16.440187429331221</v>
      </c>
      <c r="AH724" s="52">
        <f t="shared" si="243"/>
        <v>-0.96706660801840627</v>
      </c>
      <c r="AI724" s="52">
        <f t="shared" si="244"/>
        <v>5.2394421930834092</v>
      </c>
      <c r="AJ724" s="52">
        <f t="shared" si="245"/>
        <v>-2.4865934720555036</v>
      </c>
      <c r="AK724" s="52">
        <f t="shared" si="246"/>
        <v>21.12268165334547</v>
      </c>
      <c r="AM724" s="52">
        <f t="shared" si="247"/>
        <v>177977.34950421055</v>
      </c>
      <c r="AN724" s="57">
        <f t="shared" si="248"/>
        <v>183397.08370118518</v>
      </c>
      <c r="AO724" s="57">
        <f t="shared" si="249"/>
        <v>156423.49384423034</v>
      </c>
    </row>
    <row r="725" spans="12:41" x14ac:dyDescent="0.25">
      <c r="L725" s="6">
        <v>722</v>
      </c>
      <c r="M725" s="52">
        <f t="shared" si="235"/>
        <v>24996.954135095479</v>
      </c>
      <c r="N725" s="52">
        <f t="shared" si="236"/>
        <v>7674.4974835125004</v>
      </c>
      <c r="P725" s="6">
        <v>722</v>
      </c>
      <c r="Q725" s="52">
        <f t="shared" si="250"/>
        <v>-16502.132105433164</v>
      </c>
      <c r="R725" s="52">
        <f t="shared" si="251"/>
        <v>10122.148238458751</v>
      </c>
      <c r="T725" s="6">
        <v>722</v>
      </c>
      <c r="U725" s="52">
        <f t="shared" si="237"/>
        <v>-3.0458649045212951</v>
      </c>
      <c r="V725" s="52">
        <f t="shared" si="238"/>
        <v>-14825.502516487499</v>
      </c>
      <c r="X725" s="6">
        <v>721</v>
      </c>
      <c r="Y725" s="55">
        <v>360.5</v>
      </c>
      <c r="Z725" s="52">
        <f t="shared" si="252"/>
        <v>13785.394187750204</v>
      </c>
      <c r="AA725" s="52">
        <f t="shared" si="253"/>
        <v>-171678.26990246039</v>
      </c>
      <c r="AB725" s="52">
        <f t="shared" si="254"/>
        <v>993.83889510166</v>
      </c>
      <c r="AC725" s="52">
        <f t="shared" si="255"/>
        <v>-2644.348584807487</v>
      </c>
      <c r="AD725" s="52">
        <f t="shared" si="239"/>
        <v>-2.8856429733942832</v>
      </c>
      <c r="AE725" s="52">
        <f t="shared" si="240"/>
        <v>42.116012309945162</v>
      </c>
      <c r="AF725" s="52">
        <f t="shared" si="241"/>
        <v>0.56201702672120479</v>
      </c>
      <c r="AG725" s="52">
        <f t="shared" si="242"/>
        <v>16.203962334205507</v>
      </c>
      <c r="AH725" s="52">
        <f t="shared" si="243"/>
        <v>-0.95946958523843873</v>
      </c>
      <c r="AI725" s="52">
        <f t="shared" si="244"/>
        <v>5.1594713769346292</v>
      </c>
      <c r="AJ725" s="52">
        <f t="shared" si="245"/>
        <v>-2.4881904148770491</v>
      </c>
      <c r="AK725" s="52">
        <f t="shared" si="246"/>
        <v>20.752578598805027</v>
      </c>
      <c r="AM725" s="52">
        <f t="shared" si="247"/>
        <v>179286.01097308344</v>
      </c>
      <c r="AN725" s="57">
        <f t="shared" si="248"/>
        <v>184792.98313294505</v>
      </c>
      <c r="AO725" s="57">
        <f t="shared" si="249"/>
        <v>157800.41601471583</v>
      </c>
    </row>
    <row r="726" spans="12:41" x14ac:dyDescent="0.25">
      <c r="L726" s="6">
        <v>723</v>
      </c>
      <c r="M726" s="52">
        <f t="shared" si="235"/>
        <v>24993.14767377287</v>
      </c>
      <c r="N726" s="52">
        <f t="shared" si="236"/>
        <v>7761.6797812147179</v>
      </c>
      <c r="P726" s="6">
        <v>723</v>
      </c>
      <c r="Q726" s="52">
        <f t="shared" si="250"/>
        <v>-16504.796628358992</v>
      </c>
      <c r="R726" s="52">
        <f t="shared" si="251"/>
        <v>10183.175846850303</v>
      </c>
      <c r="T726" s="6">
        <v>723</v>
      </c>
      <c r="U726" s="52">
        <f t="shared" si="237"/>
        <v>-6.8523262271310159</v>
      </c>
      <c r="V726" s="52">
        <f t="shared" si="238"/>
        <v>-14738.320218785282</v>
      </c>
      <c r="X726" s="6">
        <v>722</v>
      </c>
      <c r="Y726" s="55">
        <v>361</v>
      </c>
      <c r="Z726" s="52">
        <f t="shared" si="252"/>
        <v>14281.952929929359</v>
      </c>
      <c r="AA726" s="52">
        <f t="shared" si="253"/>
        <v>-172995.17969332539</v>
      </c>
      <c r="AB726" s="52">
        <f t="shared" si="254"/>
        <v>992.39607361496292</v>
      </c>
      <c r="AC726" s="52">
        <f t="shared" si="255"/>
        <v>-2623.2905786525143</v>
      </c>
      <c r="AD726" s="52">
        <f t="shared" si="239"/>
        <v>-2.9349418013188622</v>
      </c>
      <c r="AE726" s="52">
        <f t="shared" si="240"/>
        <v>41.450590476915878</v>
      </c>
      <c r="AF726" s="52">
        <f t="shared" si="241"/>
        <v>0.50605942213901223</v>
      </c>
      <c r="AG726" s="52">
        <f t="shared" si="242"/>
        <v>15.974210288085819</v>
      </c>
      <c r="AH726" s="52">
        <f t="shared" si="243"/>
        <v>-0.95202520842622129</v>
      </c>
      <c r="AI726" s="52">
        <f t="shared" si="244"/>
        <v>5.0818582139885962</v>
      </c>
      <c r="AJ726" s="52">
        <f t="shared" si="245"/>
        <v>-2.4889760150316529</v>
      </c>
      <c r="AK726" s="52">
        <f t="shared" si="246"/>
        <v>20.394521974841457</v>
      </c>
      <c r="AM726" s="52">
        <f t="shared" si="247"/>
        <v>180585.73020817942</v>
      </c>
      <c r="AN726" s="57">
        <f t="shared" si="248"/>
        <v>186178.64562747884</v>
      </c>
      <c r="AO726" s="57">
        <f t="shared" si="249"/>
        <v>159167.42919051682</v>
      </c>
    </row>
    <row r="727" spans="12:41" x14ac:dyDescent="0.25">
      <c r="L727" s="6">
        <v>724</v>
      </c>
      <c r="M727" s="52">
        <f t="shared" si="235"/>
        <v>24987.820251299123</v>
      </c>
      <c r="N727" s="52">
        <f t="shared" si="236"/>
        <v>7848.7823687206201</v>
      </c>
      <c r="P727" s="6">
        <v>724</v>
      </c>
      <c r="Q727" s="52">
        <f t="shared" si="250"/>
        <v>-16508.525824090615</v>
      </c>
      <c r="R727" s="52">
        <f t="shared" si="251"/>
        <v>10244.147658104434</v>
      </c>
      <c r="T727" s="6">
        <v>724</v>
      </c>
      <c r="U727" s="52">
        <f t="shared" si="237"/>
        <v>-12.179748700878008</v>
      </c>
      <c r="V727" s="52">
        <f t="shared" si="238"/>
        <v>-14651.21763127938</v>
      </c>
      <c r="X727" s="6">
        <v>723</v>
      </c>
      <c r="Y727" s="55">
        <v>361.5</v>
      </c>
      <c r="Z727" s="52">
        <f t="shared" si="252"/>
        <v>14777.784099011677</v>
      </c>
      <c r="AA727" s="52">
        <f t="shared" si="253"/>
        <v>-174301.64365884205</v>
      </c>
      <c r="AB727" s="52">
        <f t="shared" si="254"/>
        <v>990.92860271430345</v>
      </c>
      <c r="AC727" s="52">
        <f t="shared" si="255"/>
        <v>-2602.5652834140565</v>
      </c>
      <c r="AD727" s="52">
        <f t="shared" si="239"/>
        <v>-2.9813091918581267</v>
      </c>
      <c r="AE727" s="52">
        <f t="shared" si="240"/>
        <v>40.805145949747185</v>
      </c>
      <c r="AF727" s="52">
        <f t="shared" si="241"/>
        <v>0.45243517569716479</v>
      </c>
      <c r="AG727" s="52">
        <f t="shared" si="242"/>
        <v>15.750681348745996</v>
      </c>
      <c r="AH727" s="52">
        <f t="shared" si="243"/>
        <v>-0.94472897023323488</v>
      </c>
      <c r="AI727" s="52">
        <f t="shared" si="244"/>
        <v>5.0065036211165195</v>
      </c>
      <c r="AJ727" s="52">
        <f t="shared" si="245"/>
        <v>-2.4890153973220568</v>
      </c>
      <c r="AK727" s="52">
        <f t="shared" si="246"/>
        <v>20.047960979884667</v>
      </c>
      <c r="AM727" s="52">
        <f t="shared" si="247"/>
        <v>181876.6317479327</v>
      </c>
      <c r="AN727" s="57">
        <f t="shared" si="248"/>
        <v>187554.2324827362</v>
      </c>
      <c r="AO727" s="57">
        <f t="shared" si="249"/>
        <v>160524.68475681805</v>
      </c>
    </row>
    <row r="728" spans="12:41" x14ac:dyDescent="0.25">
      <c r="L728" s="6">
        <v>725</v>
      </c>
      <c r="M728" s="52">
        <f t="shared" si="235"/>
        <v>24980.973490458728</v>
      </c>
      <c r="N728" s="52">
        <f t="shared" si="236"/>
        <v>7935.7787137382875</v>
      </c>
      <c r="P728" s="6">
        <v>725</v>
      </c>
      <c r="Q728" s="52">
        <f t="shared" si="250"/>
        <v>-16513.318556678889</v>
      </c>
      <c r="R728" s="52">
        <f t="shared" si="251"/>
        <v>10305.045099616802</v>
      </c>
      <c r="T728" s="6">
        <v>725</v>
      </c>
      <c r="U728" s="52">
        <f t="shared" si="237"/>
        <v>-19.026509541272389</v>
      </c>
      <c r="V728" s="52">
        <f t="shared" si="238"/>
        <v>-14564.221286261713</v>
      </c>
      <c r="X728" s="6">
        <v>724</v>
      </c>
      <c r="Y728" s="55">
        <v>362</v>
      </c>
      <c r="Z728" s="52">
        <f t="shared" si="252"/>
        <v>15272.875736719845</v>
      </c>
      <c r="AA728" s="52">
        <f t="shared" si="253"/>
        <v>-175597.82565730534</v>
      </c>
      <c r="AB728" s="52">
        <f t="shared" si="254"/>
        <v>989.43794811837438</v>
      </c>
      <c r="AC728" s="52">
        <f t="shared" si="255"/>
        <v>-2582.1627104391828</v>
      </c>
      <c r="AD728" s="52">
        <f t="shared" si="239"/>
        <v>-3.0249185799184524</v>
      </c>
      <c r="AE728" s="52">
        <f t="shared" si="240"/>
        <v>40.178828899689201</v>
      </c>
      <c r="AF728" s="52">
        <f t="shared" si="241"/>
        <v>0.40102646272269526</v>
      </c>
      <c r="AG728" s="52">
        <f t="shared" si="242"/>
        <v>15.533137964224959</v>
      </c>
      <c r="AH728" s="52">
        <f t="shared" si="243"/>
        <v>-0.93757654546783031</v>
      </c>
      <c r="AI728" s="52">
        <f t="shared" si="244"/>
        <v>4.9333139017345982</v>
      </c>
      <c r="AJ728" s="52">
        <f t="shared" si="245"/>
        <v>-2.4883684971733171</v>
      </c>
      <c r="AK728" s="52">
        <f t="shared" si="246"/>
        <v>19.712377033729645</v>
      </c>
      <c r="AM728" s="52">
        <f t="shared" si="247"/>
        <v>183158.83670801547</v>
      </c>
      <c r="AN728" s="57">
        <f t="shared" si="248"/>
        <v>188919.90009381645</v>
      </c>
      <c r="AO728" s="57">
        <f t="shared" si="249"/>
        <v>161872.32961964415</v>
      </c>
    </row>
    <row r="729" spans="12:41" x14ac:dyDescent="0.25">
      <c r="L729" s="6">
        <v>726</v>
      </c>
      <c r="M729" s="52">
        <f t="shared" si="235"/>
        <v>24972.609476841368</v>
      </c>
      <c r="N729" s="52">
        <f t="shared" si="236"/>
        <v>8022.6423163382678</v>
      </c>
      <c r="P729" s="6">
        <v>726</v>
      </c>
      <c r="Q729" s="52">
        <f t="shared" si="250"/>
        <v>-16519.173366211042</v>
      </c>
      <c r="R729" s="52">
        <f t="shared" si="251"/>
        <v>10365.849621436788</v>
      </c>
      <c r="T729" s="6">
        <v>726</v>
      </c>
      <c r="U729" s="52">
        <f t="shared" si="237"/>
        <v>-27.390523158633187</v>
      </c>
      <c r="V729" s="52">
        <f t="shared" si="238"/>
        <v>-14477.357683661732</v>
      </c>
      <c r="X729" s="6">
        <v>725</v>
      </c>
      <c r="Y729" s="55">
        <v>362.5</v>
      </c>
      <c r="Z729" s="52">
        <f t="shared" si="252"/>
        <v>15767.216595956543</v>
      </c>
      <c r="AA729" s="52">
        <f t="shared" si="253"/>
        <v>-176883.88465891246</v>
      </c>
      <c r="AB729" s="52">
        <f t="shared" si="254"/>
        <v>987.92548882841515</v>
      </c>
      <c r="AC729" s="52">
        <f t="shared" si="255"/>
        <v>-2562.073295989338</v>
      </c>
      <c r="AD729" s="52">
        <f t="shared" si="239"/>
        <v>-3.0659317255904859</v>
      </c>
      <c r="AE729" s="52">
        <f t="shared" si="240"/>
        <v>39.570836110948598</v>
      </c>
      <c r="AF729" s="52">
        <f t="shared" si="241"/>
        <v>0.35172257066578161</v>
      </c>
      <c r="AG729" s="52">
        <f t="shared" si="242"/>
        <v>15.321354227486436</v>
      </c>
      <c r="AH729" s="52">
        <f t="shared" si="243"/>
        <v>-0.93056378156546649</v>
      </c>
      <c r="AI729" s="52">
        <f t="shared" si="244"/>
        <v>4.8622003883159897</v>
      </c>
      <c r="AJ729" s="52">
        <f t="shared" si="245"/>
        <v>-2.4870905146908009</v>
      </c>
      <c r="AK729" s="52">
        <f t="shared" si="246"/>
        <v>19.387281495146173</v>
      </c>
      <c r="AM729" s="52">
        <f t="shared" si="247"/>
        <v>184432.46291598634</v>
      </c>
      <c r="AN729" s="57">
        <f t="shared" si="248"/>
        <v>190275.80016446591</v>
      </c>
      <c r="AO729" s="57">
        <f t="shared" si="249"/>
        <v>163210.50639405369</v>
      </c>
    </row>
    <row r="730" spans="12:41" x14ac:dyDescent="0.25">
      <c r="L730" s="6">
        <v>727</v>
      </c>
      <c r="M730" s="52">
        <f t="shared" si="235"/>
        <v>24962.73075820661</v>
      </c>
      <c r="N730" s="52">
        <f t="shared" si="236"/>
        <v>8109.3467170257409</v>
      </c>
      <c r="P730" s="6">
        <v>727</v>
      </c>
      <c r="Q730" s="52">
        <f t="shared" si="250"/>
        <v>-16526.088469255374</v>
      </c>
      <c r="R730" s="52">
        <f t="shared" si="251"/>
        <v>10426.542701918019</v>
      </c>
      <c r="T730" s="6">
        <v>727</v>
      </c>
      <c r="U730" s="52">
        <f t="shared" si="237"/>
        <v>-37.269241793390393</v>
      </c>
      <c r="V730" s="52">
        <f t="shared" si="238"/>
        <v>-14390.653282974259</v>
      </c>
      <c r="X730" s="6">
        <v>726</v>
      </c>
      <c r="Y730" s="55">
        <v>363</v>
      </c>
      <c r="Z730" s="52">
        <f t="shared" si="252"/>
        <v>16260.796098905052</v>
      </c>
      <c r="AA730" s="52">
        <f t="shared" si="253"/>
        <v>-178159.97495239327</v>
      </c>
      <c r="AB730" s="52">
        <f t="shared" si="254"/>
        <v>986.39252296561995</v>
      </c>
      <c r="AC730" s="52">
        <f t="shared" si="255"/>
        <v>-2542.2878779338639</v>
      </c>
      <c r="AD730" s="52">
        <f t="shared" si="239"/>
        <v>-3.104499617090847</v>
      </c>
      <c r="AE730" s="52">
        <f t="shared" si="240"/>
        <v>38.980407864827008</v>
      </c>
      <c r="AF730" s="52">
        <f t="shared" si="241"/>
        <v>0.30441939720377381</v>
      </c>
      <c r="AG730" s="52">
        <f t="shared" si="242"/>
        <v>15.11511518356221</v>
      </c>
      <c r="AH730" s="52">
        <f t="shared" si="243"/>
        <v>-0.92368668968844558</v>
      </c>
      <c r="AI730" s="52">
        <f t="shared" si="244"/>
        <v>4.7930791128131123</v>
      </c>
      <c r="AJ730" s="52">
        <f t="shared" si="245"/>
        <v>-2.4852323246061752</v>
      </c>
      <c r="AK730" s="52">
        <f t="shared" si="246"/>
        <v>19.072213568451687</v>
      </c>
      <c r="AM730" s="52">
        <f t="shared" si="247"/>
        <v>185697.62503903289</v>
      </c>
      <c r="AN730" s="57">
        <f t="shared" si="248"/>
        <v>191622.07990680935</v>
      </c>
      <c r="AO730" s="57">
        <f t="shared" si="249"/>
        <v>164539.35358212885</v>
      </c>
    </row>
    <row r="731" spans="12:41" x14ac:dyDescent="0.25">
      <c r="L731" s="6">
        <v>728</v>
      </c>
      <c r="M731" s="52">
        <f t="shared" si="235"/>
        <v>24951.340343707852</v>
      </c>
      <c r="N731" s="52">
        <f t="shared" si="236"/>
        <v>8195.8655048003257</v>
      </c>
      <c r="P731" s="6">
        <v>728</v>
      </c>
      <c r="Q731" s="52">
        <f t="shared" si="250"/>
        <v>-16534.061759404503</v>
      </c>
      <c r="R731" s="52">
        <f t="shared" si="251"/>
        <v>10487.105853360228</v>
      </c>
      <c r="T731" s="6">
        <v>728</v>
      </c>
      <c r="U731" s="52">
        <f t="shared" si="237"/>
        <v>-48.659656292148611</v>
      </c>
      <c r="V731" s="52">
        <f t="shared" si="238"/>
        <v>-14304.134495199674</v>
      </c>
      <c r="X731" s="6">
        <v>727</v>
      </c>
      <c r="Y731" s="55">
        <v>363.5</v>
      </c>
      <c r="Z731" s="52">
        <f t="shared" si="252"/>
        <v>16753.604297935726</v>
      </c>
      <c r="AA731" s="52">
        <f t="shared" si="253"/>
        <v>-179426.24634037711</v>
      </c>
      <c r="AB731" s="52">
        <f t="shared" si="254"/>
        <v>984.84027315707453</v>
      </c>
      <c r="AC731" s="52">
        <f t="shared" si="255"/>
        <v>-2522.7976740014506</v>
      </c>
      <c r="AD731" s="52">
        <f t="shared" si="239"/>
        <v>-3.1407632943697315</v>
      </c>
      <c r="AE731" s="52">
        <f t="shared" si="240"/>
        <v>38.406825068663288</v>
      </c>
      <c r="AF731" s="52">
        <f t="shared" si="241"/>
        <v>0.25901898888158659</v>
      </c>
      <c r="AG731" s="52">
        <f t="shared" si="242"/>
        <v>14.914216184961013</v>
      </c>
      <c r="AH731" s="52">
        <f t="shared" si="243"/>
        <v>-0.91694143640375536</v>
      </c>
      <c r="AI731" s="52">
        <f t="shared" si="244"/>
        <v>4.7258705024930698</v>
      </c>
      <c r="AJ731" s="52">
        <f t="shared" si="245"/>
        <v>-2.4828408468475627</v>
      </c>
      <c r="AK731" s="52">
        <f t="shared" si="246"/>
        <v>18.766738381209205</v>
      </c>
      <c r="AM731" s="52">
        <f t="shared" si="247"/>
        <v>186954.43470524505</v>
      </c>
      <c r="AN731" s="57">
        <f t="shared" si="248"/>
        <v>192958.88223011262</v>
      </c>
      <c r="AO731" s="57">
        <f t="shared" si="249"/>
        <v>165859.00574143554</v>
      </c>
    </row>
    <row r="732" spans="12:41" x14ac:dyDescent="0.25">
      <c r="L732" s="6">
        <v>729</v>
      </c>
      <c r="M732" s="52">
        <f t="shared" si="235"/>
        <v>24938.441702975688</v>
      </c>
      <c r="N732" s="52">
        <f t="shared" si="236"/>
        <v>8282.172325201147</v>
      </c>
      <c r="P732" s="6">
        <v>729</v>
      </c>
      <c r="Q732" s="52">
        <f t="shared" si="250"/>
        <v>-16543.090807917019</v>
      </c>
      <c r="R732" s="52">
        <f t="shared" si="251"/>
        <v>10547.520627640803</v>
      </c>
      <c r="T732" s="6">
        <v>729</v>
      </c>
      <c r="U732" s="52">
        <f t="shared" si="237"/>
        <v>-61.558297024310377</v>
      </c>
      <c r="V732" s="52">
        <f t="shared" si="238"/>
        <v>-14217.827674798853</v>
      </c>
      <c r="X732" s="6">
        <v>728</v>
      </c>
      <c r="Y732" s="55">
        <v>364</v>
      </c>
      <c r="Z732" s="52">
        <f t="shared" si="252"/>
        <v>17245.631839102469</v>
      </c>
      <c r="AA732" s="52">
        <f t="shared" si="253"/>
        <v>-180682.84432424424</v>
      </c>
      <c r="AB732" s="52">
        <f t="shared" si="254"/>
        <v>983.2698915098897</v>
      </c>
      <c r="AC732" s="52">
        <f t="shared" si="255"/>
        <v>-2503.5942614671189</v>
      </c>
      <c r="AD732" s="52">
        <f t="shared" si="239"/>
        <v>-3.1748546011993177</v>
      </c>
      <c r="AE732" s="52">
        <f t="shared" si="240"/>
        <v>37.849406607541908</v>
      </c>
      <c r="AF732" s="52">
        <f t="shared" si="241"/>
        <v>0.21542911660556802</v>
      </c>
      <c r="AG732" s="52">
        <f t="shared" si="242"/>
        <v>14.718462291506009</v>
      </c>
      <c r="AH732" s="52">
        <f t="shared" si="243"/>
        <v>-0.91032433589242401</v>
      </c>
      <c r="AI732" s="52">
        <f t="shared" si="244"/>
        <v>4.6604990989388746</v>
      </c>
      <c r="AJ732" s="52">
        <f t="shared" si="245"/>
        <v>-2.4799593819124617</v>
      </c>
      <c r="AK732" s="52">
        <f t="shared" si="246"/>
        <v>18.470445217097019</v>
      </c>
      <c r="AM732" s="52">
        <f t="shared" si="247"/>
        <v>188203.00061882252</v>
      </c>
      <c r="AN732" s="57">
        <f t="shared" si="248"/>
        <v>194286.34591931038</v>
      </c>
      <c r="AO732" s="57">
        <f t="shared" si="249"/>
        <v>167169.59364457594</v>
      </c>
    </row>
    <row r="733" spans="12:41" x14ac:dyDescent="0.25">
      <c r="L733" s="6">
        <v>730</v>
      </c>
      <c r="M733" s="52">
        <f t="shared" si="235"/>
        <v>24924.038765061039</v>
      </c>
      <c r="N733" s="52">
        <f t="shared" si="236"/>
        <v>8368.2408883346579</v>
      </c>
      <c r="P733" s="6">
        <v>730</v>
      </c>
      <c r="Q733" s="52">
        <f t="shared" si="250"/>
        <v>-16553.172864457272</v>
      </c>
      <c r="R733" s="52">
        <f t="shared" si="251"/>
        <v>10607.768621834261</v>
      </c>
      <c r="T733" s="6">
        <v>730</v>
      </c>
      <c r="U733" s="52">
        <f t="shared" si="237"/>
        <v>-75.961234938960843</v>
      </c>
      <c r="V733" s="52">
        <f t="shared" si="238"/>
        <v>-14131.759111665342</v>
      </c>
      <c r="X733" s="6">
        <v>729</v>
      </c>
      <c r="Y733" s="55">
        <v>364.5</v>
      </c>
      <c r="Z733" s="52">
        <f t="shared" si="252"/>
        <v>17736.869928032262</v>
      </c>
      <c r="AA733" s="52">
        <f t="shared" si="253"/>
        <v>-181929.91027915187</v>
      </c>
      <c r="AB733" s="52">
        <f t="shared" si="254"/>
        <v>981.68246420929006</v>
      </c>
      <c r="AC733" s="52">
        <f t="shared" si="255"/>
        <v>-2484.669558163348</v>
      </c>
      <c r="AD733" s="52">
        <f t="shared" si="239"/>
        <v>-3.2068968727055607</v>
      </c>
      <c r="AE733" s="52">
        <f t="shared" si="240"/>
        <v>37.307506898959289</v>
      </c>
      <c r="AF733" s="52">
        <f t="shared" si="241"/>
        <v>0.17356288467908135</v>
      </c>
      <c r="AG733" s="52">
        <f t="shared" si="242"/>
        <v>14.527667711101781</v>
      </c>
      <c r="AH733" s="52">
        <f t="shared" si="243"/>
        <v>-0.90383184264860028</v>
      </c>
      <c r="AI733" s="52">
        <f t="shared" si="244"/>
        <v>4.5968932981938986</v>
      </c>
      <c r="AJ733" s="52">
        <f t="shared" si="245"/>
        <v>-2.4766279147360417</v>
      </c>
      <c r="AK733" s="52">
        <f t="shared" si="246"/>
        <v>18.182945889663614</v>
      </c>
      <c r="AM733" s="52">
        <f t="shared" si="247"/>
        <v>189443.42866959033</v>
      </c>
      <c r="AN733" s="57">
        <f t="shared" si="248"/>
        <v>195604.60580397514</v>
      </c>
      <c r="AO733" s="57">
        <f t="shared" si="249"/>
        <v>168471.24443040701</v>
      </c>
    </row>
    <row r="734" spans="12:41" x14ac:dyDescent="0.25">
      <c r="L734" s="6">
        <v>731</v>
      </c>
      <c r="M734" s="52">
        <f t="shared" si="235"/>
        <v>24908.13591723832</v>
      </c>
      <c r="N734" s="52">
        <f t="shared" si="236"/>
        <v>8454.0449768827239</v>
      </c>
      <c r="P734" s="6">
        <v>731</v>
      </c>
      <c r="Q734" s="52">
        <f t="shared" si="250"/>
        <v>-16564.304857933177</v>
      </c>
      <c r="R734" s="52">
        <f t="shared" si="251"/>
        <v>10667.831483817907</v>
      </c>
      <c r="T734" s="6">
        <v>731</v>
      </c>
      <c r="U734" s="52">
        <f t="shared" si="237"/>
        <v>-91.864082761680038</v>
      </c>
      <c r="V734" s="52">
        <f t="shared" si="238"/>
        <v>-14045.955023117276</v>
      </c>
      <c r="X734" s="6">
        <v>730</v>
      </c>
      <c r="Y734" s="55">
        <v>365</v>
      </c>
      <c r="Z734" s="52">
        <f t="shared" si="252"/>
        <v>18227.31029802782</v>
      </c>
      <c r="AA734" s="52">
        <f t="shared" si="253"/>
        <v>-183167.58161987117</v>
      </c>
      <c r="AB734" s="52">
        <f t="shared" si="254"/>
        <v>980.07901577293728</v>
      </c>
      <c r="AC734" s="52">
        <f t="shared" si="255"/>
        <v>-2466.0158047138684</v>
      </c>
      <c r="AD734" s="52">
        <f t="shared" si="239"/>
        <v>-3.2370055645544866</v>
      </c>
      <c r="AE734" s="52">
        <f t="shared" si="240"/>
        <v>36.780513632622473</v>
      </c>
      <c r="AF734" s="52">
        <f t="shared" si="241"/>
        <v>0.13333837039831503</v>
      </c>
      <c r="AG734" s="52">
        <f t="shared" si="242"/>
        <v>14.341655278245829</v>
      </c>
      <c r="AH734" s="52">
        <f t="shared" si="243"/>
        <v>-0.89746054463035918</v>
      </c>
      <c r="AI734" s="52">
        <f t="shared" si="244"/>
        <v>4.53498511022479</v>
      </c>
      <c r="AJ734" s="52">
        <f t="shared" si="245"/>
        <v>-2.4728833903224428</v>
      </c>
      <c r="AK734" s="52">
        <f t="shared" si="246"/>
        <v>17.903873244151857</v>
      </c>
      <c r="AM734" s="52">
        <f t="shared" si="247"/>
        <v>190675.82203716788</v>
      </c>
      <c r="AN734" s="57">
        <f t="shared" si="248"/>
        <v>196913.79291835119</v>
      </c>
      <c r="AO734" s="57">
        <f t="shared" si="249"/>
        <v>169764.08174745593</v>
      </c>
    </row>
    <row r="735" spans="12:41" x14ac:dyDescent="0.25">
      <c r="L735" s="6">
        <v>732</v>
      </c>
      <c r="M735" s="52">
        <f t="shared" si="235"/>
        <v>24890.73800366903</v>
      </c>
      <c r="N735" s="52">
        <f t="shared" si="236"/>
        <v>8539.5584540887903</v>
      </c>
      <c r="P735" s="6">
        <v>732</v>
      </c>
      <c r="Q735" s="52">
        <f t="shared" si="250"/>
        <v>-16576.483397431679</v>
      </c>
      <c r="R735" s="52">
        <f t="shared" si="251"/>
        <v>10727.690917862154</v>
      </c>
      <c r="T735" s="6">
        <v>732</v>
      </c>
      <c r="U735" s="52">
        <f t="shared" si="237"/>
        <v>-109.26199633097076</v>
      </c>
      <c r="V735" s="52">
        <f t="shared" si="238"/>
        <v>-13960.44154591121</v>
      </c>
      <c r="X735" s="6">
        <v>731</v>
      </c>
      <c r="Y735" s="55">
        <v>365.5</v>
      </c>
      <c r="Z735" s="52">
        <f t="shared" si="252"/>
        <v>18716.945180218718</v>
      </c>
      <c r="AA735" s="52">
        <f t="shared" si="253"/>
        <v>-184395.99195802404</v>
      </c>
      <c r="AB735" s="52">
        <f t="shared" si="254"/>
        <v>978.46051299066005</v>
      </c>
      <c r="AC735" s="52">
        <f t="shared" si="255"/>
        <v>-2447.6255478975572</v>
      </c>
      <c r="AD735" s="52">
        <f t="shared" si="239"/>
        <v>-3.2652888293428024</v>
      </c>
      <c r="AE735" s="52">
        <f t="shared" si="240"/>
        <v>36.267845679314874</v>
      </c>
      <c r="AF735" s="52">
        <f t="shared" si="241"/>
        <v>9.4678291520798222E-2</v>
      </c>
      <c r="AG735" s="52">
        <f t="shared" si="242"/>
        <v>14.16025596737297</v>
      </c>
      <c r="AH735" s="52">
        <f t="shared" si="243"/>
        <v>-0.89120715682797469</v>
      </c>
      <c r="AI735" s="52">
        <f t="shared" si="244"/>
        <v>4.4747099360561107</v>
      </c>
      <c r="AJ735" s="52">
        <f t="shared" si="245"/>
        <v>-2.4687599640356259</v>
      </c>
      <c r="AK735" s="52">
        <f t="shared" si="246"/>
        <v>17.63287977588579</v>
      </c>
      <c r="AM735" s="52">
        <f t="shared" si="247"/>
        <v>191900.28129011326</v>
      </c>
      <c r="AN735" s="57">
        <f t="shared" si="248"/>
        <v>198214.03465302906</v>
      </c>
      <c r="AO735" s="57">
        <f t="shared" si="249"/>
        <v>171048.22589002331</v>
      </c>
    </row>
    <row r="736" spans="12:41" x14ac:dyDescent="0.25">
      <c r="L736" s="6">
        <v>733</v>
      </c>
      <c r="M736" s="52">
        <f t="shared" si="235"/>
        <v>24871.850323926177</v>
      </c>
      <c r="N736" s="52">
        <f t="shared" si="236"/>
        <v>8624.7552717193139</v>
      </c>
      <c r="P736" s="6">
        <v>733</v>
      </c>
      <c r="Q736" s="52">
        <f t="shared" si="250"/>
        <v>-16589.704773251677</v>
      </c>
      <c r="R736" s="52">
        <f t="shared" si="251"/>
        <v>10787.32869020352</v>
      </c>
      <c r="T736" s="6">
        <v>733</v>
      </c>
      <c r="U736" s="52">
        <f t="shared" si="237"/>
        <v>-128.14967607382187</v>
      </c>
      <c r="V736" s="52">
        <f t="shared" si="238"/>
        <v>-13875.244728280686</v>
      </c>
      <c r="X736" s="6">
        <v>732</v>
      </c>
      <c r="Y736" s="55">
        <v>366</v>
      </c>
      <c r="Z736" s="52">
        <f t="shared" si="252"/>
        <v>19205.767275610382</v>
      </c>
      <c r="AA736" s="52">
        <f t="shared" si="253"/>
        <v>-185615.27125126289</v>
      </c>
      <c r="AB736" s="52">
        <f t="shared" si="254"/>
        <v>976.82786857598865</v>
      </c>
      <c r="AC736" s="52">
        <f t="shared" si="255"/>
        <v>-2429.4916250578999</v>
      </c>
      <c r="AD736" s="52">
        <f t="shared" si="239"/>
        <v>-3.2918480451571153</v>
      </c>
      <c r="AE736" s="52">
        <f t="shared" si="240"/>
        <v>35.768951154329699</v>
      </c>
      <c r="AF736" s="52">
        <f t="shared" si="241"/>
        <v>5.7509699181382344E-2</v>
      </c>
      <c r="AG736" s="52">
        <f t="shared" si="242"/>
        <v>13.983308438375342</v>
      </c>
      <c r="AH736" s="52">
        <f t="shared" si="243"/>
        <v>-0.88506851521830432</v>
      </c>
      <c r="AI736" s="52">
        <f t="shared" si="244"/>
        <v>4.4160063610867217</v>
      </c>
      <c r="AJ736" s="52">
        <f t="shared" si="245"/>
        <v>-2.4642892291201934</v>
      </c>
      <c r="AK736" s="52">
        <f t="shared" si="246"/>
        <v>17.36963635486763</v>
      </c>
      <c r="AM736" s="52">
        <f t="shared" si="247"/>
        <v>193116.90448034147</v>
      </c>
      <c r="AN736" s="57">
        <f t="shared" si="248"/>
        <v>199505.4548987934</v>
      </c>
      <c r="AO736" s="57">
        <f t="shared" si="249"/>
        <v>172323.79392742901</v>
      </c>
    </row>
    <row r="737" spans="12:41" x14ac:dyDescent="0.25">
      <c r="L737" s="6">
        <v>734</v>
      </c>
      <c r="M737" s="52">
        <f t="shared" si="235"/>
        <v>24851.478631379981</v>
      </c>
      <c r="N737" s="52">
        <f t="shared" si="236"/>
        <v>8709.6094779983396</v>
      </c>
      <c r="P737" s="6">
        <v>734</v>
      </c>
      <c r="Q737" s="52">
        <f t="shared" si="250"/>
        <v>-16603.964958034012</v>
      </c>
      <c r="R737" s="52">
        <f t="shared" si="251"/>
        <v>10846.726634598837</v>
      </c>
      <c r="T737" s="6">
        <v>734</v>
      </c>
      <c r="U737" s="52">
        <f t="shared" si="237"/>
        <v>-148.52136862001862</v>
      </c>
      <c r="V737" s="52">
        <f t="shared" si="238"/>
        <v>-13790.39052200166</v>
      </c>
      <c r="X737" s="6">
        <v>733</v>
      </c>
      <c r="Y737" s="55">
        <v>366.5</v>
      </c>
      <c r="Z737" s="52">
        <f t="shared" si="252"/>
        <v>19693.76972889273</v>
      </c>
      <c r="AA737" s="52">
        <f t="shared" si="253"/>
        <v>-186825.54594489755</v>
      </c>
      <c r="AB737" s="52">
        <f t="shared" si="254"/>
        <v>975.18194455341006</v>
      </c>
      <c r="AC737" s="52">
        <f t="shared" si="255"/>
        <v>-2411.6071494807352</v>
      </c>
      <c r="AD737" s="52">
        <f t="shared" si="239"/>
        <v>-3.3167783007497835</v>
      </c>
      <c r="AE737" s="52">
        <f t="shared" si="240"/>
        <v>35.283305622373632</v>
      </c>
      <c r="AF737" s="52">
        <f t="shared" si="241"/>
        <v>2.1763694064603181E-2</v>
      </c>
      <c r="AG737" s="52">
        <f t="shared" si="242"/>
        <v>13.810658611866208</v>
      </c>
      <c r="AH737" s="52">
        <f t="shared" si="243"/>
        <v>-0.87904157107698766</v>
      </c>
      <c r="AI737" s="52">
        <f t="shared" si="244"/>
        <v>4.3588159632404597</v>
      </c>
      <c r="AJ737" s="52">
        <f t="shared" si="245"/>
        <v>-2.4595004237373992</v>
      </c>
      <c r="AK737" s="52">
        <f t="shared" si="246"/>
        <v>17.113831047266959</v>
      </c>
      <c r="AM737" s="52">
        <f t="shared" si="247"/>
        <v>194325.78723309326</v>
      </c>
      <c r="AN737" s="57">
        <f t="shared" si="248"/>
        <v>200788.17418313594</v>
      </c>
      <c r="AO737" s="57">
        <f t="shared" si="249"/>
        <v>173590.89982682178</v>
      </c>
    </row>
    <row r="738" spans="12:41" x14ac:dyDescent="0.25">
      <c r="L738" s="6">
        <v>735</v>
      </c>
      <c r="M738" s="52">
        <f t="shared" si="235"/>
        <v>24829.629131445341</v>
      </c>
      <c r="N738" s="52">
        <f t="shared" si="236"/>
        <v>8794.0952255125994</v>
      </c>
      <c r="P738" s="6">
        <v>735</v>
      </c>
      <c r="Q738" s="52">
        <f t="shared" si="250"/>
        <v>-16619.259607988261</v>
      </c>
      <c r="R738" s="52">
        <f t="shared" si="251"/>
        <v>10905.86665785882</v>
      </c>
      <c r="T738" s="6">
        <v>735</v>
      </c>
      <c r="U738" s="52">
        <f t="shared" si="237"/>
        <v>-170.37086855465714</v>
      </c>
      <c r="V738" s="52">
        <f t="shared" si="238"/>
        <v>-13705.904774487401</v>
      </c>
      <c r="X738" s="6">
        <v>734</v>
      </c>
      <c r="Y738" s="55">
        <v>367</v>
      </c>
      <c r="Z738" s="52">
        <f t="shared" si="252"/>
        <v>20180.946103881844</v>
      </c>
      <c r="AA738" s="52">
        <f t="shared" si="253"/>
        <v>-188026.93910643511</v>
      </c>
      <c r="AB738" s="52">
        <f t="shared" si="254"/>
        <v>973.52355540303518</v>
      </c>
      <c r="AC738" s="52">
        <f t="shared" si="255"/>
        <v>-2393.9654966695484</v>
      </c>
      <c r="AD738" s="52">
        <f t="shared" si="239"/>
        <v>-3.3401688413206907</v>
      </c>
      <c r="AE738" s="52">
        <f t="shared" si="240"/>
        <v>34.810410432090045</v>
      </c>
      <c r="AF738" s="52">
        <f t="shared" si="241"/>
        <v>-1.2624836148300447E-2</v>
      </c>
      <c r="AG738" s="52">
        <f t="shared" si="242"/>
        <v>13.64215927196398</v>
      </c>
      <c r="AH738" s="52">
        <f t="shared" si="243"/>
        <v>-0.87312338562258762</v>
      </c>
      <c r="AI738" s="52">
        <f t="shared" si="244"/>
        <v>4.3030831347294916</v>
      </c>
      <c r="AJ738" s="52">
        <f t="shared" si="245"/>
        <v>-2.4544206195498028</v>
      </c>
      <c r="AK738" s="52">
        <f t="shared" si="246"/>
        <v>16.865168025396574</v>
      </c>
      <c r="AM738" s="52">
        <f t="shared" si="247"/>
        <v>195527.02283271254</v>
      </c>
      <c r="AN738" s="57">
        <f t="shared" si="248"/>
        <v>202062.30979989024</v>
      </c>
      <c r="AO738" s="57">
        <f t="shared" si="249"/>
        <v>174849.65456994361</v>
      </c>
    </row>
    <row r="739" spans="12:41" x14ac:dyDescent="0.25">
      <c r="L739" s="6">
        <v>736</v>
      </c>
      <c r="M739" s="52">
        <f t="shared" si="235"/>
        <v>24806.308479691597</v>
      </c>
      <c r="N739" s="52">
        <f t="shared" si="236"/>
        <v>8878.1867790849865</v>
      </c>
      <c r="P739" s="6">
        <v>736</v>
      </c>
      <c r="Q739" s="52">
        <f t="shared" si="250"/>
        <v>-16635.584064215884</v>
      </c>
      <c r="R739" s="52">
        <f t="shared" si="251"/>
        <v>10964.730745359491</v>
      </c>
      <c r="T739" s="6">
        <v>736</v>
      </c>
      <c r="U739" s="52">
        <f t="shared" si="237"/>
        <v>-193.6915203084036</v>
      </c>
      <c r="V739" s="52">
        <f t="shared" si="238"/>
        <v>-13621.813220915014</v>
      </c>
      <c r="X739" s="6">
        <v>735</v>
      </c>
      <c r="Y739" s="55">
        <v>367.5</v>
      </c>
      <c r="Z739" s="52">
        <f t="shared" si="252"/>
        <v>20667.290360478197</v>
      </c>
      <c r="AA739" s="52">
        <f t="shared" si="253"/>
        <v>-189219.57055346586</v>
      </c>
      <c r="AB739" s="52">
        <f t="shared" si="254"/>
        <v>971.8534709823748</v>
      </c>
      <c r="AC739" s="52">
        <f t="shared" si="255"/>
        <v>-2376.5602914535034</v>
      </c>
      <c r="AD739" s="52">
        <f t="shared" si="239"/>
        <v>-3.3621034784882031</v>
      </c>
      <c r="AE739" s="52">
        <f t="shared" si="240"/>
        <v>34.349791169468844</v>
      </c>
      <c r="AF739" s="52">
        <f t="shared" si="241"/>
        <v>-4.5717459852034695E-2</v>
      </c>
      <c r="AG739" s="52">
        <f t="shared" si="242"/>
        <v>13.477669694557857</v>
      </c>
      <c r="AH739" s="52">
        <f t="shared" si="243"/>
        <v>-0.86731112496894291</v>
      </c>
      <c r="AI739" s="52">
        <f t="shared" si="244"/>
        <v>4.248754916321511</v>
      </c>
      <c r="AJ739" s="52">
        <f t="shared" si="245"/>
        <v>-2.4490748936672255</v>
      </c>
      <c r="AK739" s="52">
        <f t="shared" si="246"/>
        <v>16.623366558589471</v>
      </c>
      <c r="AM739" s="52">
        <f t="shared" si="247"/>
        <v>196720.70230447335</v>
      </c>
      <c r="AN739" s="57">
        <f t="shared" si="248"/>
        <v>203327.97593241025</v>
      </c>
      <c r="AO739" s="57">
        <f t="shared" si="249"/>
        <v>176100.16626421217</v>
      </c>
    </row>
    <row r="740" spans="12:41" x14ac:dyDescent="0.25">
      <c r="L740" s="6">
        <v>737</v>
      </c>
      <c r="M740" s="52">
        <f t="shared" si="235"/>
        <v>24781.523779815176</v>
      </c>
      <c r="N740" s="52">
        <f t="shared" si="236"/>
        <v>8961.858523613686</v>
      </c>
      <c r="P740" s="6">
        <v>737</v>
      </c>
      <c r="Q740" s="52">
        <f t="shared" si="250"/>
        <v>-16652.933354129374</v>
      </c>
      <c r="R740" s="52">
        <f t="shared" si="251"/>
        <v>11023.300966529581</v>
      </c>
      <c r="T740" s="6">
        <v>737</v>
      </c>
      <c r="U740" s="52">
        <f t="shared" si="237"/>
        <v>-218.47622018482343</v>
      </c>
      <c r="V740" s="52">
        <f t="shared" si="238"/>
        <v>-13538.141476386314</v>
      </c>
      <c r="X740" s="6">
        <v>736</v>
      </c>
      <c r="Y740" s="55">
        <v>368</v>
      </c>
      <c r="Z740" s="52">
        <f t="shared" si="252"/>
        <v>21152.796833034572</v>
      </c>
      <c r="AA740" s="52">
        <f t="shared" si="253"/>
        <v>-190403.55697529644</v>
      </c>
      <c r="AB740" s="52">
        <f t="shared" si="254"/>
        <v>970.17241924313066</v>
      </c>
      <c r="AC740" s="52">
        <f t="shared" si="255"/>
        <v>-2359.3853958687691</v>
      </c>
      <c r="AD740" s="52">
        <f t="shared" si="239"/>
        <v>-3.3826609676714723</v>
      </c>
      <c r="AE740" s="52">
        <f t="shared" si="240"/>
        <v>33.900996220407734</v>
      </c>
      <c r="AF740" s="52">
        <f t="shared" si="241"/>
        <v>-7.7572426735933189E-2</v>
      </c>
      <c r="AG740" s="52">
        <f t="shared" si="242"/>
        <v>13.317055299185025</v>
      </c>
      <c r="AH740" s="52">
        <f t="shared" si="243"/>
        <v>-0.86160205536423562</v>
      </c>
      <c r="AI740" s="52">
        <f t="shared" si="244"/>
        <v>4.1957808431045267</v>
      </c>
      <c r="AJ740" s="52">
        <f t="shared" si="245"/>
        <v>-2.4434864855713032</v>
      </c>
      <c r="AK740" s="52">
        <f t="shared" si="246"/>
        <v>16.388160078118187</v>
      </c>
      <c r="AM740" s="52">
        <f t="shared" si="247"/>
        <v>197906.91449267927</v>
      </c>
      <c r="AN740" s="57">
        <f t="shared" si="248"/>
        <v>204585.28377068549</v>
      </c>
      <c r="AO740" s="57">
        <f t="shared" si="249"/>
        <v>177342.54024845827</v>
      </c>
    </row>
    <row r="741" spans="12:41" x14ac:dyDescent="0.25">
      <c r="L741" s="6">
        <v>738</v>
      </c>
      <c r="M741" s="52">
        <f t="shared" si="235"/>
        <v>24755.282581475767</v>
      </c>
      <c r="N741" s="52">
        <f t="shared" si="236"/>
        <v>9045.084971874734</v>
      </c>
      <c r="P741" s="6">
        <v>738</v>
      </c>
      <c r="Q741" s="52">
        <f t="shared" si="250"/>
        <v>-16671.302192966963</v>
      </c>
      <c r="R741" s="52">
        <f t="shared" si="251"/>
        <v>11081.559480312315</v>
      </c>
      <c r="T741" s="6">
        <v>738</v>
      </c>
      <c r="U741" s="52">
        <f t="shared" si="237"/>
        <v>-244.71741852423111</v>
      </c>
      <c r="V741" s="52">
        <f t="shared" si="238"/>
        <v>-13454.915028125266</v>
      </c>
      <c r="X741" s="6">
        <v>737</v>
      </c>
      <c r="Y741" s="55">
        <v>368.5</v>
      </c>
      <c r="Z741" s="52">
        <f t="shared" si="252"/>
        <v>21637.460210035177</v>
      </c>
      <c r="AA741" s="52">
        <f t="shared" si="253"/>
        <v>-191579.0120487033</v>
      </c>
      <c r="AB741" s="52">
        <f t="shared" si="254"/>
        <v>968.48108875929495</v>
      </c>
      <c r="AC741" s="52">
        <f t="shared" si="255"/>
        <v>-2342.4348977585651</v>
      </c>
      <c r="AD741" s="52">
        <f t="shared" si="239"/>
        <v>-3.4019153557854587</v>
      </c>
      <c r="AE741" s="52">
        <f t="shared" si="240"/>
        <v>33.463595433592715</v>
      </c>
      <c r="AF741" s="52">
        <f t="shared" si="241"/>
        <v>-0.10824487662432822</v>
      </c>
      <c r="AG741" s="52">
        <f t="shared" si="242"/>
        <v>13.160187322806523</v>
      </c>
      <c r="AH741" s="52">
        <f t="shared" si="243"/>
        <v>-0.85599353869693462</v>
      </c>
      <c r="AI741" s="52">
        <f t="shared" si="244"/>
        <v>4.144112800833482</v>
      </c>
      <c r="AJ741" s="52">
        <f t="shared" si="245"/>
        <v>-2.4376769404641956</v>
      </c>
      <c r="AK741" s="52">
        <f t="shared" si="246"/>
        <v>16.159295309952711</v>
      </c>
      <c r="AM741" s="52">
        <f t="shared" si="247"/>
        <v>199085.74613524493</v>
      </c>
      <c r="AN741" s="57">
        <f t="shared" si="248"/>
        <v>205834.34162275627</v>
      </c>
      <c r="AO741" s="57">
        <f t="shared" si="249"/>
        <v>178576.87919363278</v>
      </c>
    </row>
    <row r="742" spans="12:41" x14ac:dyDescent="0.25">
      <c r="L742" s="6">
        <v>739</v>
      </c>
      <c r="M742" s="52">
        <f t="shared" si="235"/>
        <v>24727.592877996583</v>
      </c>
      <c r="N742" s="52">
        <f t="shared" si="236"/>
        <v>9127.8407722857846</v>
      </c>
      <c r="P742" s="6">
        <v>739</v>
      </c>
      <c r="Q742" s="52">
        <f t="shared" si="250"/>
        <v>-16690.684985402389</v>
      </c>
      <c r="R742" s="52">
        <f t="shared" si="251"/>
        <v>11139.488540600049</v>
      </c>
      <c r="T742" s="6">
        <v>739</v>
      </c>
      <c r="U742" s="52">
        <f t="shared" si="237"/>
        <v>-272.40712200341659</v>
      </c>
      <c r="V742" s="52">
        <f t="shared" si="238"/>
        <v>-13372.159227714215</v>
      </c>
      <c r="X742" s="6">
        <v>738</v>
      </c>
      <c r="Y742" s="55">
        <v>369</v>
      </c>
      <c r="Z742" s="52">
        <f t="shared" si="252"/>
        <v>22121.275514995352</v>
      </c>
      <c r="AA742" s="52">
        <f t="shared" si="253"/>
        <v>-192746.04654815339</v>
      </c>
      <c r="AB742" s="52">
        <f t="shared" si="254"/>
        <v>966.78013108140226</v>
      </c>
      <c r="AC742" s="52">
        <f t="shared" si="255"/>
        <v>-2325.7031000417687</v>
      </c>
      <c r="AD742" s="52">
        <f t="shared" si="239"/>
        <v>-3.419936301863479</v>
      </c>
      <c r="AE742" s="52">
        <f t="shared" si="240"/>
        <v>33.037178875662896</v>
      </c>
      <c r="AF742" s="52">
        <f t="shared" si="241"/>
        <v>-0.13778703327890462</v>
      </c>
      <c r="AG742" s="52">
        <f t="shared" si="242"/>
        <v>13.006942513905345</v>
      </c>
      <c r="AH742" s="52">
        <f t="shared" si="243"/>
        <v>-0.8504830282504301</v>
      </c>
      <c r="AI742" s="52">
        <f t="shared" si="244"/>
        <v>4.093704892025162</v>
      </c>
      <c r="AJ742" s="52">
        <f t="shared" si="245"/>
        <v>-2.431666240334144</v>
      </c>
      <c r="AK742" s="52">
        <f t="shared" si="246"/>
        <v>15.936531469732389</v>
      </c>
      <c r="AM742" s="52">
        <f t="shared" si="247"/>
        <v>200257.2819349542</v>
      </c>
      <c r="AN742" s="57">
        <f t="shared" si="248"/>
        <v>207075.25502076806</v>
      </c>
      <c r="AO742" s="57">
        <f t="shared" si="249"/>
        <v>179803.28319877421</v>
      </c>
    </row>
    <row r="743" spans="12:41" x14ac:dyDescent="0.25">
      <c r="L743" s="6">
        <v>740</v>
      </c>
      <c r="M743" s="52">
        <f t="shared" si="235"/>
        <v>24698.463103929542</v>
      </c>
      <c r="N743" s="52">
        <f t="shared" si="236"/>
        <v>9210.1007166283398</v>
      </c>
      <c r="P743" s="6">
        <v>740</v>
      </c>
      <c r="Q743" s="52">
        <f t="shared" si="250"/>
        <v>-16711.075827249319</v>
      </c>
      <c r="R743" s="52">
        <f t="shared" si="251"/>
        <v>11197.070501639837</v>
      </c>
      <c r="T743" s="6">
        <v>740</v>
      </c>
      <c r="U743" s="52">
        <f t="shared" si="237"/>
        <v>-301.53689607045635</v>
      </c>
      <c r="V743" s="52">
        <f t="shared" si="238"/>
        <v>-13289.89928337166</v>
      </c>
      <c r="X743" s="6">
        <v>739</v>
      </c>
      <c r="Y743" s="55">
        <v>369.5</v>
      </c>
      <c r="Z743" s="52">
        <f t="shared" si="252"/>
        <v>22604.238088498321</v>
      </c>
      <c r="AA743" s="52">
        <f t="shared" si="253"/>
        <v>-193904.76845081482</v>
      </c>
      <c r="AB743" s="52">
        <f t="shared" si="254"/>
        <v>965.07016293047047</v>
      </c>
      <c r="AC743" s="52">
        <f t="shared" si="255"/>
        <v>-2309.1845106039373</v>
      </c>
      <c r="AD743" s="52">
        <f t="shared" si="239"/>
        <v>-3.4367893729675352</v>
      </c>
      <c r="AE743" s="52">
        <f t="shared" si="240"/>
        <v>32.621355671352944</v>
      </c>
      <c r="AF743" s="52">
        <f t="shared" si="241"/>
        <v>-0.1662483843815564</v>
      </c>
      <c r="AG743" s="52">
        <f t="shared" si="242"/>
        <v>12.857202845457502</v>
      </c>
      <c r="AH743" s="52">
        <f t="shared" si="243"/>
        <v>-0.84506806468974793</v>
      </c>
      <c r="AI743" s="52">
        <f t="shared" si="244"/>
        <v>4.0445133110421692</v>
      </c>
      <c r="AJ743" s="52">
        <f t="shared" si="245"/>
        <v>-2.4254729238962311</v>
      </c>
      <c r="AK743" s="52">
        <f t="shared" si="246"/>
        <v>15.719639514853274</v>
      </c>
      <c r="AM743" s="52">
        <f t="shared" si="247"/>
        <v>201421.60462757692</v>
      </c>
      <c r="AN743" s="57">
        <f t="shared" si="248"/>
        <v>208308.12682197941</v>
      </c>
      <c r="AO743" s="57">
        <f t="shared" si="249"/>
        <v>181021.84988251052</v>
      </c>
    </row>
    <row r="744" spans="12:41" x14ac:dyDescent="0.25">
      <c r="L744" s="6">
        <v>741</v>
      </c>
      <c r="M744" s="52">
        <f t="shared" si="235"/>
        <v>24667.902132486008</v>
      </c>
      <c r="N744" s="52">
        <f t="shared" si="236"/>
        <v>9291.8397477265007</v>
      </c>
      <c r="P744" s="6">
        <v>741</v>
      </c>
      <c r="Q744" s="52">
        <f t="shared" si="250"/>
        <v>-16732.468507259793</v>
      </c>
      <c r="R744" s="52">
        <f t="shared" si="251"/>
        <v>11254.287823408551</v>
      </c>
      <c r="T744" s="6">
        <v>741</v>
      </c>
      <c r="U744" s="52">
        <f t="shared" si="237"/>
        <v>-332.09786751399042</v>
      </c>
      <c r="V744" s="52">
        <f t="shared" si="238"/>
        <v>-13208.160252273499</v>
      </c>
      <c r="X744" s="6">
        <v>740</v>
      </c>
      <c r="Y744" s="55">
        <v>370</v>
      </c>
      <c r="Z744" s="52">
        <f t="shared" si="252"/>
        <v>23086.343571291934</v>
      </c>
      <c r="AA744" s="52">
        <f t="shared" si="253"/>
        <v>-195055.28303665787</v>
      </c>
      <c r="AB744" s="52">
        <f t="shared" si="254"/>
        <v>963.35176824398673</v>
      </c>
      <c r="AC744" s="52">
        <f t="shared" si="255"/>
        <v>-2292.8738327682609</v>
      </c>
      <c r="AD744" s="52">
        <f t="shared" si="239"/>
        <v>-3.4525363175185291</v>
      </c>
      <c r="AE744" s="52">
        <f t="shared" si="240"/>
        <v>32.215752921959194</v>
      </c>
      <c r="AF744" s="52">
        <f t="shared" si="241"/>
        <v>-0.19367584880670943</v>
      </c>
      <c r="AG744" s="52">
        <f t="shared" si="242"/>
        <v>12.710855245447089</v>
      </c>
      <c r="AH744" s="52">
        <f t="shared" si="243"/>
        <v>-0.83974627226496124</v>
      </c>
      <c r="AI744" s="52">
        <f t="shared" si="244"/>
        <v>3.9964962274729126</v>
      </c>
      <c r="AJ744" s="52">
        <f t="shared" si="245"/>
        <v>-2.4191141964468583</v>
      </c>
      <c r="AK744" s="52">
        <f t="shared" si="246"/>
        <v>15.508401449039187</v>
      </c>
      <c r="AM744" s="52">
        <f t="shared" si="247"/>
        <v>202578.7950470153</v>
      </c>
      <c r="AN744" s="57">
        <f t="shared" si="248"/>
        <v>209533.05730501638</v>
      </c>
      <c r="AO744" s="57">
        <f t="shared" si="249"/>
        <v>182232.67447034747</v>
      </c>
    </row>
    <row r="745" spans="12:41" x14ac:dyDescent="0.25">
      <c r="L745" s="6">
        <v>742</v>
      </c>
      <c r="M745" s="52">
        <f t="shared" si="235"/>
        <v>24635.919272833937</v>
      </c>
      <c r="N745" s="52">
        <f t="shared" si="236"/>
        <v>9373.0329670795618</v>
      </c>
      <c r="P745" s="6">
        <v>742</v>
      </c>
      <c r="Q745" s="52">
        <f t="shared" si="250"/>
        <v>-16754.856509016245</v>
      </c>
      <c r="R745" s="52">
        <f t="shared" si="251"/>
        <v>11311.123076955693</v>
      </c>
      <c r="T745" s="6">
        <v>742</v>
      </c>
      <c r="U745" s="52">
        <f t="shared" si="237"/>
        <v>-364.08072716606421</v>
      </c>
      <c r="V745" s="52">
        <f t="shared" si="238"/>
        <v>-13126.967032920438</v>
      </c>
      <c r="X745" s="6">
        <v>741</v>
      </c>
      <c r="Y745" s="55">
        <v>370.5</v>
      </c>
      <c r="Z745" s="52">
        <f t="shared" si="252"/>
        <v>23567.587888374237</v>
      </c>
      <c r="AA745" s="52">
        <f t="shared" si="253"/>
        <v>-196197.69298392674</v>
      </c>
      <c r="AB745" s="52">
        <f t="shared" si="254"/>
        <v>961.62550008522749</v>
      </c>
      <c r="AC745" s="52">
        <f t="shared" si="255"/>
        <v>-2276.7659563072812</v>
      </c>
      <c r="AD745" s="52">
        <f t="shared" si="239"/>
        <v>-3.4672353179751951</v>
      </c>
      <c r="AE745" s="52">
        <f t="shared" si="240"/>
        <v>31.820014696058912</v>
      </c>
      <c r="AF745" s="52">
        <f t="shared" si="241"/>
        <v>-0.22011393219322511</v>
      </c>
      <c r="AG745" s="52">
        <f t="shared" si="242"/>
        <v>12.567791343694882</v>
      </c>
      <c r="AH745" s="52">
        <f t="shared" si="243"/>
        <v>-0.83451535521715647</v>
      </c>
      <c r="AI745" s="52">
        <f t="shared" si="244"/>
        <v>3.9496136771748396</v>
      </c>
      <c r="AJ745" s="52">
        <f t="shared" si="245"/>
        <v>-2.4126060305648136</v>
      </c>
      <c r="AK745" s="52">
        <f t="shared" si="246"/>
        <v>15.302609675189192</v>
      </c>
      <c r="AM745" s="52">
        <f t="shared" si="247"/>
        <v>203728.93218763836</v>
      </c>
      <c r="AN745" s="57">
        <f t="shared" si="248"/>
        <v>210750.14426164675</v>
      </c>
      <c r="AO745" s="57">
        <f t="shared" si="249"/>
        <v>183435.84987798147</v>
      </c>
    </row>
    <row r="746" spans="12:41" x14ac:dyDescent="0.25">
      <c r="L746" s="6">
        <v>743</v>
      </c>
      <c r="M746" s="52">
        <f t="shared" si="235"/>
        <v>24602.524267262204</v>
      </c>
      <c r="N746" s="52">
        <f t="shared" si="236"/>
        <v>9453.655642446367</v>
      </c>
      <c r="P746" s="6">
        <v>743</v>
      </c>
      <c r="Q746" s="52">
        <f t="shared" si="250"/>
        <v>-16778.233012916458</v>
      </c>
      <c r="R746" s="52">
        <f t="shared" si="251"/>
        <v>11367.558949712457</v>
      </c>
      <c r="T746" s="6">
        <v>743</v>
      </c>
      <c r="U746" s="52">
        <f t="shared" si="237"/>
        <v>-397.47573273779744</v>
      </c>
      <c r="V746" s="52">
        <f t="shared" si="238"/>
        <v>-13046.344357553633</v>
      </c>
      <c r="X746" s="6">
        <v>742</v>
      </c>
      <c r="Y746" s="55">
        <v>371</v>
      </c>
      <c r="Z746" s="52">
        <f t="shared" si="252"/>
        <v>24047.967234002102</v>
      </c>
      <c r="AA746" s="52">
        <f t="shared" si="253"/>
        <v>-197332.09846024337</v>
      </c>
      <c r="AB746" s="52">
        <f t="shared" si="254"/>
        <v>959.89188242623993</v>
      </c>
      <c r="AC746" s="52">
        <f t="shared" si="255"/>
        <v>-2260.8559489592517</v>
      </c>
      <c r="AD746" s="52">
        <f t="shared" si="239"/>
        <v>-3.4809412246073137</v>
      </c>
      <c r="AE746" s="52">
        <f t="shared" si="240"/>
        <v>31.433801086942111</v>
      </c>
      <c r="AF746" s="52">
        <f t="shared" si="241"/>
        <v>-0.24560487173693785</v>
      </c>
      <c r="AG746" s="52">
        <f t="shared" si="242"/>
        <v>12.427907233873071</v>
      </c>
      <c r="AH746" s="52">
        <f t="shared" si="243"/>
        <v>-0.82937309437400852</v>
      </c>
      <c r="AI746" s="52">
        <f t="shared" si="244"/>
        <v>3.9038274604029923</v>
      </c>
      <c r="AJ746" s="52">
        <f t="shared" si="245"/>
        <v>-2.4059632584963673</v>
      </c>
      <c r="AK746" s="52">
        <f t="shared" si="246"/>
        <v>15.102066392666046</v>
      </c>
      <c r="AM746" s="52">
        <f t="shared" si="247"/>
        <v>204872.0932639543</v>
      </c>
      <c r="AN746" s="57">
        <f t="shared" si="248"/>
        <v>211959.48308432859</v>
      </c>
      <c r="AO746" s="57">
        <f t="shared" si="249"/>
        <v>184631.46679085758</v>
      </c>
    </row>
    <row r="747" spans="12:41" x14ac:dyDescent="0.25">
      <c r="L747" s="6">
        <v>744</v>
      </c>
      <c r="M747" s="52">
        <f t="shared" si="235"/>
        <v>24567.727288213006</v>
      </c>
      <c r="N747" s="52">
        <f t="shared" si="236"/>
        <v>9533.6832153789928</v>
      </c>
      <c r="P747" s="6">
        <v>744</v>
      </c>
      <c r="Q747" s="52">
        <f t="shared" si="250"/>
        <v>-16802.590898250895</v>
      </c>
      <c r="R747" s="52">
        <f t="shared" si="251"/>
        <v>11423.578250765295</v>
      </c>
      <c r="T747" s="6">
        <v>744</v>
      </c>
      <c r="U747" s="52">
        <f t="shared" si="237"/>
        <v>-432.27271178699266</v>
      </c>
      <c r="V747" s="52">
        <f t="shared" si="238"/>
        <v>-12966.316784621007</v>
      </c>
      <c r="X747" s="6">
        <v>743</v>
      </c>
      <c r="Y747" s="55">
        <v>371.5</v>
      </c>
      <c r="Z747" s="52">
        <f t="shared" si="252"/>
        <v>24527.478057562144</v>
      </c>
      <c r="AA747" s="52">
        <f t="shared" si="253"/>
        <v>-198458.59720958714</v>
      </c>
      <c r="AB747" s="52">
        <f t="shared" si="254"/>
        <v>958.15141181393631</v>
      </c>
      <c r="AC747" s="52">
        <f t="shared" si="255"/>
        <v>-2245.1390484157805</v>
      </c>
      <c r="AD747" s="52">
        <f t="shared" si="239"/>
        <v>-3.4937057719465869</v>
      </c>
      <c r="AE747" s="52">
        <f t="shared" si="240"/>
        <v>31.056787331697418</v>
      </c>
      <c r="AF747" s="52">
        <f t="shared" si="241"/>
        <v>-0.27018877104434774</v>
      </c>
      <c r="AG747" s="52">
        <f t="shared" si="242"/>
        <v>12.291103249662156</v>
      </c>
      <c r="AH747" s="52">
        <f t="shared" si="243"/>
        <v>-0.82431734392279465</v>
      </c>
      <c r="AI747" s="52">
        <f t="shared" si="244"/>
        <v>3.8591010464940423</v>
      </c>
      <c r="AJ747" s="52">
        <f t="shared" si="245"/>
        <v>-2.3991996569794445</v>
      </c>
      <c r="AK747" s="52">
        <f t="shared" si="246"/>
        <v>14.906583035541221</v>
      </c>
      <c r="AM747" s="52">
        <f t="shared" si="247"/>
        <v>206008.35376776024</v>
      </c>
      <c r="AN747" s="57">
        <f t="shared" si="248"/>
        <v>213161.1668497702</v>
      </c>
      <c r="AO747" s="57">
        <f t="shared" si="249"/>
        <v>185819.61374017908</v>
      </c>
    </row>
    <row r="748" spans="12:41" x14ac:dyDescent="0.25">
      <c r="L748" s="6">
        <v>745</v>
      </c>
      <c r="M748" s="52">
        <f t="shared" si="235"/>
        <v>24531.538935183249</v>
      </c>
      <c r="N748" s="52">
        <f t="shared" si="236"/>
        <v>9613.0913087035005</v>
      </c>
      <c r="P748" s="6">
        <v>745</v>
      </c>
      <c r="Q748" s="52">
        <f t="shared" si="250"/>
        <v>-16827.922745371725</v>
      </c>
      <c r="R748" s="52">
        <f t="shared" si="251"/>
        <v>11479.16391609245</v>
      </c>
      <c r="T748" s="6">
        <v>745</v>
      </c>
      <c r="U748" s="52">
        <f t="shared" si="237"/>
        <v>-468.46106481675179</v>
      </c>
      <c r="V748" s="52">
        <f t="shared" si="238"/>
        <v>-12886.908691296499</v>
      </c>
      <c r="X748" s="6">
        <v>744</v>
      </c>
      <c r="Y748" s="55">
        <v>372</v>
      </c>
      <c r="Z748" s="52">
        <f t="shared" si="252"/>
        <v>25006.11705024762</v>
      </c>
      <c r="AA748" s="52">
        <f t="shared" si="253"/>
        <v>-199577.28463537857</v>
      </c>
      <c r="AB748" s="52">
        <f t="shared" si="254"/>
        <v>956.40455892796297</v>
      </c>
      <c r="AC748" s="52">
        <f t="shared" si="255"/>
        <v>-2229.6106547499317</v>
      </c>
      <c r="AD748" s="52">
        <f t="shared" si="239"/>
        <v>-3.5055777793508112</v>
      </c>
      <c r="AE748" s="52">
        <f t="shared" si="240"/>
        <v>30.688662987321585</v>
      </c>
      <c r="AF748" s="52">
        <f t="shared" si="241"/>
        <v>-0.2939037258152461</v>
      </c>
      <c r="AG748" s="52">
        <f t="shared" si="242"/>
        <v>12.157283754088729</v>
      </c>
      <c r="AH748" s="52">
        <f t="shared" si="243"/>
        <v>-0.8193460283498547</v>
      </c>
      <c r="AI748" s="52">
        <f t="shared" si="244"/>
        <v>3.8153994846218295</v>
      </c>
      <c r="AJ748" s="52">
        <f t="shared" si="245"/>
        <v>-2.3923280251857104</v>
      </c>
      <c r="AK748" s="52">
        <f t="shared" si="246"/>
        <v>14.715979748611028</v>
      </c>
      <c r="AM748" s="52">
        <f t="shared" si="247"/>
        <v>207137.78752290073</v>
      </c>
      <c r="AN748" s="57">
        <f t="shared" si="248"/>
        <v>214355.28639872422</v>
      </c>
      <c r="AO748" s="57">
        <f t="shared" si="249"/>
        <v>187000.37717556272</v>
      </c>
    </row>
    <row r="749" spans="12:41" x14ac:dyDescent="0.25">
      <c r="L749" s="6">
        <v>746</v>
      </c>
      <c r="M749" s="52">
        <f t="shared" si="235"/>
        <v>24493.970231495834</v>
      </c>
      <c r="N749" s="52">
        <f t="shared" si="236"/>
        <v>9691.8557339453855</v>
      </c>
      <c r="P749" s="6">
        <v>746</v>
      </c>
      <c r="Q749" s="52">
        <f t="shared" si="250"/>
        <v>-16854.220837952915</v>
      </c>
      <c r="R749" s="52">
        <f t="shared" si="251"/>
        <v>11534.299013761771</v>
      </c>
      <c r="T749" s="6">
        <v>746</v>
      </c>
      <c r="U749" s="52">
        <f t="shared" si="237"/>
        <v>-506.02976850416417</v>
      </c>
      <c r="V749" s="52">
        <f t="shared" si="238"/>
        <v>-12808.144266054614</v>
      </c>
      <c r="X749" s="6">
        <v>745</v>
      </c>
      <c r="Y749" s="55">
        <v>372.5</v>
      </c>
      <c r="Z749" s="52">
        <f t="shared" si="252"/>
        <v>25483.881132489183</v>
      </c>
      <c r="AA749" s="52">
        <f t="shared" si="253"/>
        <v>-200688.2538798801</v>
      </c>
      <c r="AB749" s="52">
        <f t="shared" si="254"/>
        <v>954.65177003828751</v>
      </c>
      <c r="AC749" s="52">
        <f t="shared" si="255"/>
        <v>-2214.2663232562709</v>
      </c>
      <c r="AD749" s="52">
        <f t="shared" si="239"/>
        <v>-3.5166033369856713</v>
      </c>
      <c r="AE749" s="52">
        <f t="shared" si="240"/>
        <v>30.329131159614654</v>
      </c>
      <c r="AF749" s="52">
        <f t="shared" si="241"/>
        <v>-0.31678594105616875</v>
      </c>
      <c r="AG749" s="52">
        <f t="shared" si="242"/>
        <v>12.026356941154665</v>
      </c>
      <c r="AH749" s="52">
        <f t="shared" si="243"/>
        <v>-0.81445713953610244</v>
      </c>
      <c r="AI749" s="52">
        <f t="shared" si="244"/>
        <v>3.7726893201796643</v>
      </c>
      <c r="AJ749" s="52">
        <f t="shared" si="245"/>
        <v>-2.3853602563934002</v>
      </c>
      <c r="AK749" s="52">
        <f t="shared" si="246"/>
        <v>14.530084898280323</v>
      </c>
      <c r="AM749" s="52">
        <f t="shared" si="247"/>
        <v>208260.4667377577</v>
      </c>
      <c r="AN749" s="57">
        <f t="shared" si="248"/>
        <v>215541.93041222217</v>
      </c>
      <c r="AO749" s="57">
        <f t="shared" si="249"/>
        <v>188173.84153451971</v>
      </c>
    </row>
    <row r="750" spans="12:41" x14ac:dyDescent="0.25">
      <c r="L750" s="6">
        <v>747</v>
      </c>
      <c r="M750" s="52">
        <f t="shared" si="235"/>
        <v>24455.032620941842</v>
      </c>
      <c r="N750" s="52">
        <f t="shared" si="236"/>
        <v>9769.9524986977267</v>
      </c>
      <c r="P750" s="6">
        <v>747</v>
      </c>
      <c r="Q750" s="52">
        <f t="shared" si="250"/>
        <v>-16881.477165340712</v>
      </c>
      <c r="R750" s="52">
        <f t="shared" si="251"/>
        <v>11588.966749088409</v>
      </c>
      <c r="T750" s="6">
        <v>747</v>
      </c>
      <c r="U750" s="52">
        <f t="shared" si="237"/>
        <v>-544.96737905815735</v>
      </c>
      <c r="V750" s="52">
        <f t="shared" si="238"/>
        <v>-12730.047501302273</v>
      </c>
      <c r="X750" s="6">
        <v>746</v>
      </c>
      <c r="Y750" s="55">
        <v>373</v>
      </c>
      <c r="Z750" s="52">
        <f t="shared" si="252"/>
        <v>25960.767442091204</v>
      </c>
      <c r="AA750" s="52">
        <f t="shared" si="253"/>
        <v>-201791.59590011326</v>
      </c>
      <c r="AB750" s="52">
        <f t="shared" si="254"/>
        <v>952.89346836979462</v>
      </c>
      <c r="AC750" s="52">
        <f t="shared" si="255"/>
        <v>-2199.1017576764634</v>
      </c>
      <c r="AD750" s="52">
        <f t="shared" si="239"/>
        <v>-3.526825978409962</v>
      </c>
      <c r="AE750" s="52">
        <f t="shared" si="240"/>
        <v>29.977907780980345</v>
      </c>
      <c r="AF750" s="52">
        <f t="shared" si="241"/>
        <v>-0.33886984046699187</v>
      </c>
      <c r="AG750" s="52">
        <f t="shared" si="242"/>
        <v>11.898234648938406</v>
      </c>
      <c r="AH750" s="52">
        <f t="shared" si="243"/>
        <v>-0.80964873399911486</v>
      </c>
      <c r="AI750" s="52">
        <f t="shared" si="244"/>
        <v>3.7309385163821069</v>
      </c>
      <c r="AJ750" s="52">
        <f t="shared" si="245"/>
        <v>-2.3783074039438552</v>
      </c>
      <c r="AK750" s="52">
        <f t="shared" si="246"/>
        <v>14.348734615659833</v>
      </c>
      <c r="AM750" s="52">
        <f t="shared" si="247"/>
        <v>209376.46205558782</v>
      </c>
      <c r="AN750" s="57">
        <f t="shared" si="248"/>
        <v>216721.18548444417</v>
      </c>
      <c r="AO750" s="57">
        <f t="shared" si="249"/>
        <v>189340.08930893231</v>
      </c>
    </row>
    <row r="751" spans="12:41" x14ac:dyDescent="0.25">
      <c r="L751" s="6">
        <v>748</v>
      </c>
      <c r="M751" s="52">
        <f t="shared" si="235"/>
        <v>24414.737964294633</v>
      </c>
      <c r="N751" s="52">
        <f t="shared" si="236"/>
        <v>9847.3578139294586</v>
      </c>
      <c r="P751" s="6">
        <v>748</v>
      </c>
      <c r="Q751" s="52">
        <f t="shared" si="250"/>
        <v>-16909.683424993756</v>
      </c>
      <c r="R751" s="52">
        <f t="shared" si="251"/>
        <v>11643.150469750621</v>
      </c>
      <c r="T751" s="6">
        <v>748</v>
      </c>
      <c r="U751" s="52">
        <f t="shared" si="237"/>
        <v>-585.26203570536745</v>
      </c>
      <c r="V751" s="52">
        <f t="shared" si="238"/>
        <v>-12652.642186070541</v>
      </c>
      <c r="X751" s="6">
        <v>747</v>
      </c>
      <c r="Y751" s="55">
        <v>373.5</v>
      </c>
      <c r="Z751" s="52">
        <f t="shared" si="252"/>
        <v>26436.773323028799</v>
      </c>
      <c r="AA751" s="52">
        <f t="shared" si="253"/>
        <v>-202887.39954047886</v>
      </c>
      <c r="AB751" s="52">
        <f t="shared" si="254"/>
        <v>951.13005538058962</v>
      </c>
      <c r="AC751" s="52">
        <f t="shared" si="255"/>
        <v>-2184.112803785973</v>
      </c>
      <c r="AD751" s="52">
        <f t="shared" si="239"/>
        <v>-3.5362868408433394</v>
      </c>
      <c r="AE751" s="52">
        <f t="shared" si="240"/>
        <v>29.634720933568527</v>
      </c>
      <c r="AF751" s="52">
        <f t="shared" si="241"/>
        <v>-0.36018816858878011</v>
      </c>
      <c r="AG751" s="52">
        <f t="shared" si="242"/>
        <v>11.77283218340575</v>
      </c>
      <c r="AH751" s="52">
        <f t="shared" si="243"/>
        <v>-0.80491893027288619</v>
      </c>
      <c r="AI751" s="52">
        <f t="shared" si="244"/>
        <v>3.6901163807115736</v>
      </c>
      <c r="AJ751" s="52">
        <f t="shared" si="245"/>
        <v>-2.3711797419816731</v>
      </c>
      <c r="AK751" s="52">
        <f t="shared" si="246"/>
        <v>14.171772369451203</v>
      </c>
      <c r="AM751" s="52">
        <f t="shared" si="247"/>
        <v>210485.8426028153</v>
      </c>
      <c r="AN751" s="57">
        <f t="shared" si="248"/>
        <v>217893.13619240472</v>
      </c>
      <c r="AO751" s="57">
        <f t="shared" si="249"/>
        <v>190499.2011086845</v>
      </c>
    </row>
    <row r="752" spans="12:41" x14ac:dyDescent="0.25">
      <c r="L752" s="6">
        <v>749</v>
      </c>
      <c r="M752" s="52">
        <f t="shared" si="235"/>
        <v>24373.09853569698</v>
      </c>
      <c r="N752" s="52">
        <f t="shared" si="236"/>
        <v>9924.048101231685</v>
      </c>
      <c r="P752" s="6">
        <v>749</v>
      </c>
      <c r="Q752" s="52">
        <f t="shared" si="250"/>
        <v>-16938.831025012114</v>
      </c>
      <c r="R752" s="52">
        <f t="shared" si="251"/>
        <v>11696.833670862179</v>
      </c>
      <c r="T752" s="6">
        <v>749</v>
      </c>
      <c r="U752" s="52">
        <f t="shared" si="237"/>
        <v>-626.90146430302048</v>
      </c>
      <c r="V752" s="52">
        <f t="shared" si="238"/>
        <v>-12575.951898768315</v>
      </c>
      <c r="X752" s="6">
        <v>748</v>
      </c>
      <c r="Y752" s="55">
        <v>374</v>
      </c>
      <c r="Z752" s="52">
        <f t="shared" si="252"/>
        <v>26911.896314863989</v>
      </c>
      <c r="AA752" s="52">
        <f t="shared" si="253"/>
        <v>-203975.75160225513</v>
      </c>
      <c r="AB752" s="52">
        <f t="shared" si="254"/>
        <v>949.36191196016796</v>
      </c>
      <c r="AC752" s="52">
        <f t="shared" si="255"/>
        <v>-2169.295443319189</v>
      </c>
      <c r="AD752" s="52">
        <f t="shared" si="239"/>
        <v>-3.5450248140990874</v>
      </c>
      <c r="AE752" s="52">
        <f t="shared" si="240"/>
        <v>29.299310214492102</v>
      </c>
      <c r="AF752" s="52">
        <f t="shared" si="241"/>
        <v>-0.38077208625209585</v>
      </c>
      <c r="AG752" s="52">
        <f t="shared" si="242"/>
        <v>11.650068152231134</v>
      </c>
      <c r="AH752" s="52">
        <f t="shared" si="243"/>
        <v>-0.80026590641709405</v>
      </c>
      <c r="AI752" s="52">
        <f t="shared" si="244"/>
        <v>3.65019349586602</v>
      </c>
      <c r="AJ752" s="52">
        <f t="shared" si="245"/>
        <v>-2.3639868214298976</v>
      </c>
      <c r="AK752" s="52">
        <f t="shared" si="246"/>
        <v>13.999048566394949</v>
      </c>
      <c r="AM752" s="52">
        <f t="shared" si="247"/>
        <v>211588.67603538273</v>
      </c>
      <c r="AN752" s="57">
        <f t="shared" si="248"/>
        <v>219057.8651626244</v>
      </c>
      <c r="AO752" s="57">
        <f t="shared" si="249"/>
        <v>191651.25572259593</v>
      </c>
    </row>
    <row r="753" spans="12:41" x14ac:dyDescent="0.25">
      <c r="L753" s="6">
        <v>750</v>
      </c>
      <c r="M753" s="52">
        <f t="shared" si="235"/>
        <v>24330.127018922198</v>
      </c>
      <c r="N753" s="52">
        <f t="shared" si="236"/>
        <v>9999.9999999999964</v>
      </c>
      <c r="P753" s="6">
        <v>750</v>
      </c>
      <c r="Q753" s="52">
        <f t="shared" si="250"/>
        <v>-16968.911086754462</v>
      </c>
      <c r="R753" s="52">
        <f t="shared" si="251"/>
        <v>11749.999999999996</v>
      </c>
      <c r="T753" s="6">
        <v>750</v>
      </c>
      <c r="U753" s="52">
        <f t="shared" si="237"/>
        <v>-669.87298107780407</v>
      </c>
      <c r="V753" s="52">
        <f t="shared" si="238"/>
        <v>-12500.000000000004</v>
      </c>
      <c r="X753" s="6">
        <v>749</v>
      </c>
      <c r="Y753" s="55">
        <v>374.5</v>
      </c>
      <c r="Z753" s="52">
        <f t="shared" si="252"/>
        <v>27386.134142742307</v>
      </c>
      <c r="AA753" s="52">
        <f t="shared" si="253"/>
        <v>-205056.7369101379</v>
      </c>
      <c r="AB753" s="52">
        <f t="shared" si="254"/>
        <v>947.58939955311837</v>
      </c>
      <c r="AC753" s="52">
        <f t="shared" si="255"/>
        <v>-2154.645788211943</v>
      </c>
      <c r="AD753" s="52">
        <f t="shared" si="239"/>
        <v>-3.5530766790785315</v>
      </c>
      <c r="AE753" s="52">
        <f t="shared" si="240"/>
        <v>28.971426140115078</v>
      </c>
      <c r="AF753" s="52">
        <f t="shared" si="241"/>
        <v>-0.4006512598201723</v>
      </c>
      <c r="AG753" s="52">
        <f t="shared" si="242"/>
        <v>11.529864307973867</v>
      </c>
      <c r="AH753" s="52">
        <f t="shared" si="243"/>
        <v>-0.79568789764814429</v>
      </c>
      <c r="AI753" s="52">
        <f t="shared" si="244"/>
        <v>3.611141654890754</v>
      </c>
      <c r="AJ753" s="52">
        <f t="shared" si="245"/>
        <v>-2.3567375216102149</v>
      </c>
      <c r="AK753" s="52">
        <f t="shared" si="246"/>
        <v>13.830420177250454</v>
      </c>
      <c r="AM753" s="52">
        <f t="shared" si="247"/>
        <v>212685.02858325539</v>
      </c>
      <c r="AN753" s="57">
        <f t="shared" si="248"/>
        <v>220215.45313494746</v>
      </c>
      <c r="AO753" s="57">
        <f t="shared" si="249"/>
        <v>192796.33017679842</v>
      </c>
    </row>
    <row r="754" spans="12:41" x14ac:dyDescent="0.25">
      <c r="L754" s="6">
        <v>751</v>
      </c>
      <c r="M754" s="52">
        <f t="shared" si="235"/>
        <v>24285.836503510567</v>
      </c>
      <c r="N754" s="52">
        <f t="shared" si="236"/>
        <v>10075.190374550262</v>
      </c>
      <c r="P754" s="6">
        <v>751</v>
      </c>
      <c r="Q754" s="52">
        <f t="shared" si="250"/>
        <v>-16999.914447542604</v>
      </c>
      <c r="R754" s="52">
        <f t="shared" si="251"/>
        <v>11802.633262185183</v>
      </c>
      <c r="T754" s="6">
        <v>751</v>
      </c>
      <c r="U754" s="52">
        <f t="shared" si="237"/>
        <v>-714.16349648943287</v>
      </c>
      <c r="V754" s="52">
        <f t="shared" si="238"/>
        <v>-12424.809625449738</v>
      </c>
      <c r="X754" s="6">
        <v>750</v>
      </c>
      <c r="Y754" s="55">
        <v>375</v>
      </c>
      <c r="Z754" s="52">
        <f t="shared" si="252"/>
        <v>27859.484707933978</v>
      </c>
      <c r="AA754" s="52">
        <f t="shared" si="253"/>
        <v>-206130.43837597637</v>
      </c>
      <c r="AB754" s="52">
        <f t="shared" si="254"/>
        <v>945.81286121357914</v>
      </c>
      <c r="AC754" s="52">
        <f t="shared" si="255"/>
        <v>-2140.1600751418855</v>
      </c>
      <c r="AD754" s="52">
        <f t="shared" si="239"/>
        <v>-3.5604772366443189</v>
      </c>
      <c r="AE754" s="52">
        <f t="shared" si="240"/>
        <v>28.650829586650101</v>
      </c>
      <c r="AF754" s="52">
        <f t="shared" si="241"/>
        <v>-0.41985394468104559</v>
      </c>
      <c r="AG754" s="52">
        <f t="shared" si="242"/>
        <v>11.412145400009619</v>
      </c>
      <c r="AH754" s="52">
        <f t="shared" si="243"/>
        <v>-0.79118319408499782</v>
      </c>
      <c r="AI754" s="52">
        <f t="shared" si="244"/>
        <v>3.5729338002034146</v>
      </c>
      <c r="AJ754" s="52">
        <f t="shared" si="245"/>
        <v>-2.3494400978782757</v>
      </c>
      <c r="AK754" s="52">
        <f t="shared" si="246"/>
        <v>13.665750386437068</v>
      </c>
      <c r="AM754" s="52">
        <f t="shared" si="247"/>
        <v>213774.96509317006</v>
      </c>
      <c r="AN754" s="57">
        <f t="shared" si="248"/>
        <v>221365.97902365369</v>
      </c>
      <c r="AO754" s="57">
        <f t="shared" si="249"/>
        <v>193934.49979068668</v>
      </c>
    </row>
    <row r="755" spans="12:41" x14ac:dyDescent="0.25">
      <c r="L755" s="6">
        <v>752</v>
      </c>
      <c r="M755" s="52">
        <f t="shared" si="235"/>
        <v>24240.240480782129</v>
      </c>
      <c r="N755" s="52">
        <f t="shared" si="236"/>
        <v>10149.596321166026</v>
      </c>
      <c r="P755" s="6">
        <v>752</v>
      </c>
      <c r="Q755" s="52">
        <f t="shared" si="250"/>
        <v>-17031.831663452511</v>
      </c>
      <c r="R755" s="52">
        <f t="shared" si="251"/>
        <v>11854.717424816219</v>
      </c>
      <c r="T755" s="6">
        <v>752</v>
      </c>
      <c r="U755" s="52">
        <f t="shared" si="237"/>
        <v>-759.75951921787055</v>
      </c>
      <c r="V755" s="52">
        <f t="shared" si="238"/>
        <v>-12350.403678833974</v>
      </c>
      <c r="X755" s="6">
        <v>751</v>
      </c>
      <c r="Y755" s="55">
        <v>375.5</v>
      </c>
      <c r="Z755" s="52">
        <f t="shared" si="252"/>
        <v>28331.946078886187</v>
      </c>
      <c r="AA755" s="52">
        <f t="shared" si="253"/>
        <v>-207196.93705984898</v>
      </c>
      <c r="AB755" s="52">
        <f t="shared" si="254"/>
        <v>944.03262259525695</v>
      </c>
      <c r="AC755" s="52">
        <f t="shared" si="255"/>
        <v>-2125.8346603485606</v>
      </c>
      <c r="AD755" s="52">
        <f t="shared" si="239"/>
        <v>-3.5672594276195291</v>
      </c>
      <c r="AE755" s="52">
        <f t="shared" si="240"/>
        <v>28.337291264522328</v>
      </c>
      <c r="AF755" s="52">
        <f t="shared" si="241"/>
        <v>-0.43840706340564328</v>
      </c>
      <c r="AG755" s="52">
        <f t="shared" si="242"/>
        <v>11.296839034654097</v>
      </c>
      <c r="AH755" s="52">
        <f t="shared" si="243"/>
        <v>-0.78675013860308163</v>
      </c>
      <c r="AI755" s="52">
        <f t="shared" si="244"/>
        <v>3.5355439662432659</v>
      </c>
      <c r="AJ755" s="52">
        <f t="shared" si="245"/>
        <v>-2.3421022256108039</v>
      </c>
      <c r="AK755" s="52">
        <f t="shared" si="246"/>
        <v>13.504908263624966</v>
      </c>
      <c r="AM755" s="52">
        <f t="shared" si="247"/>
        <v>214858.54906971287</v>
      </c>
      <c r="AN755" s="57">
        <f t="shared" si="248"/>
        <v>222509.51997600542</v>
      </c>
      <c r="AO755" s="57">
        <f t="shared" si="249"/>
        <v>195065.83823056595</v>
      </c>
    </row>
    <row r="756" spans="12:41" x14ac:dyDescent="0.25">
      <c r="L756" s="6">
        <v>753</v>
      </c>
      <c r="M756" s="52">
        <f t="shared" si="235"/>
        <v>24193.352839727122</v>
      </c>
      <c r="N756" s="52">
        <f t="shared" si="236"/>
        <v>10223.195175075132</v>
      </c>
      <c r="P756" s="6">
        <v>753</v>
      </c>
      <c r="Q756" s="52">
        <f t="shared" si="250"/>
        <v>-17064.653012191015</v>
      </c>
      <c r="R756" s="52">
        <f t="shared" si="251"/>
        <v>11906.236622552593</v>
      </c>
      <c r="T756" s="6">
        <v>753</v>
      </c>
      <c r="U756" s="52">
        <f t="shared" si="237"/>
        <v>-806.64716027287795</v>
      </c>
      <c r="V756" s="52">
        <f t="shared" si="238"/>
        <v>-12276.804824924868</v>
      </c>
      <c r="X756" s="6">
        <v>752</v>
      </c>
      <c r="Y756" s="55">
        <v>376</v>
      </c>
      <c r="Z756" s="52">
        <f t="shared" si="252"/>
        <v>28803.516482755364</v>
      </c>
      <c r="AA756" s="52">
        <f t="shared" si="253"/>
        <v>-208256.31222861519</v>
      </c>
      <c r="AB756" s="52">
        <f t="shared" si="254"/>
        <v>942.24899288144718</v>
      </c>
      <c r="AC756" s="52">
        <f t="shared" si="255"/>
        <v>-2111.6660147162993</v>
      </c>
      <c r="AD756" s="52">
        <f t="shared" si="239"/>
        <v>-3.5734544445952849</v>
      </c>
      <c r="AE756" s="52">
        <f t="shared" si="240"/>
        <v>28.030591224160752</v>
      </c>
      <c r="AF756" s="52">
        <f t="shared" si="241"/>
        <v>-0.45633627895544321</v>
      </c>
      <c r="AG756" s="52">
        <f t="shared" si="242"/>
        <v>11.183875542962511</v>
      </c>
      <c r="AH756" s="52">
        <f t="shared" si="243"/>
        <v>-0.78238712479010386</v>
      </c>
      <c r="AI756" s="52">
        <f t="shared" si="244"/>
        <v>3.4989472254970702</v>
      </c>
      <c r="AJ756" s="52">
        <f t="shared" si="245"/>
        <v>-2.3347310408497379</v>
      </c>
      <c r="AK756" s="52">
        <f t="shared" si="246"/>
        <v>13.347768455701171</v>
      </c>
      <c r="AM756" s="52">
        <f t="shared" si="247"/>
        <v>215935.8427148069</v>
      </c>
      <c r="AN756" s="57">
        <f t="shared" si="248"/>
        <v>223646.1514283609</v>
      </c>
      <c r="AO756" s="57">
        <f t="shared" si="249"/>
        <v>196190.41756111311</v>
      </c>
    </row>
    <row r="757" spans="12:41" x14ac:dyDescent="0.25">
      <c r="L757" s="6">
        <v>754</v>
      </c>
      <c r="M757" s="52">
        <f t="shared" si="235"/>
        <v>24145.187862775208</v>
      </c>
      <c r="N757" s="52">
        <f t="shared" si="236"/>
        <v>10295.964517353734</v>
      </c>
      <c r="P757" s="6">
        <v>754</v>
      </c>
      <c r="Q757" s="52">
        <f t="shared" si="250"/>
        <v>-17098.368496057356</v>
      </c>
      <c r="R757" s="52">
        <f t="shared" si="251"/>
        <v>11957.175162147614</v>
      </c>
      <c r="T757" s="6">
        <v>754</v>
      </c>
      <c r="U757" s="52">
        <f t="shared" si="237"/>
        <v>-854.81213722479151</v>
      </c>
      <c r="V757" s="52">
        <f t="shared" si="238"/>
        <v>-12204.035482646266</v>
      </c>
      <c r="X757" s="6">
        <v>753</v>
      </c>
      <c r="Y757" s="55">
        <v>376.5</v>
      </c>
      <c r="Z757" s="52">
        <f t="shared" si="252"/>
        <v>29274.194297390513</v>
      </c>
      <c r="AA757" s="52">
        <f t="shared" si="253"/>
        <v>-209308.64141207034</v>
      </c>
      <c r="AB757" s="52">
        <f t="shared" si="254"/>
        <v>940.46226565914958</v>
      </c>
      <c r="AC757" s="52">
        <f t="shared" si="255"/>
        <v>-2097.6507191042188</v>
      </c>
      <c r="AD757" s="52">
        <f t="shared" si="239"/>
        <v>-3.579091836171616</v>
      </c>
      <c r="AE757" s="52">
        <f t="shared" si="240"/>
        <v>27.730518391057331</v>
      </c>
      <c r="AF757" s="52">
        <f t="shared" si="241"/>
        <v>-0.47366606329248617</v>
      </c>
      <c r="AG757" s="52">
        <f t="shared" si="242"/>
        <v>11.073187855719496</v>
      </c>
      <c r="AH757" s="52">
        <f t="shared" si="243"/>
        <v>-0.77809259499809125</v>
      </c>
      <c r="AI757" s="52">
        <f t="shared" si="244"/>
        <v>3.4631196376733171</v>
      </c>
      <c r="AJ757" s="52">
        <f t="shared" si="245"/>
        <v>-2.3273331778810387</v>
      </c>
      <c r="AK757" s="52">
        <f t="shared" si="246"/>
        <v>13.194210897664515</v>
      </c>
      <c r="AM757" s="52">
        <f t="shared" si="247"/>
        <v>217006.90696568496</v>
      </c>
      <c r="AN757" s="57">
        <f t="shared" si="248"/>
        <v>224775.9471599776</v>
      </c>
      <c r="AO757" s="57">
        <f t="shared" si="249"/>
        <v>197308.30829475936</v>
      </c>
    </row>
    <row r="758" spans="12:41" x14ac:dyDescent="0.25">
      <c r="L758" s="6">
        <v>755</v>
      </c>
      <c r="M758" s="52">
        <f t="shared" si="235"/>
        <v>24095.760221444962</v>
      </c>
      <c r="N758" s="52">
        <f t="shared" si="236"/>
        <v>10367.882181755225</v>
      </c>
      <c r="P758" s="6">
        <v>755</v>
      </c>
      <c r="Q758" s="52">
        <f t="shared" si="250"/>
        <v>-17132.967844988525</v>
      </c>
      <c r="R758" s="52">
        <f t="shared" si="251"/>
        <v>12007.517527228658</v>
      </c>
      <c r="T758" s="6">
        <v>755</v>
      </c>
      <c r="U758" s="52">
        <f t="shared" si="237"/>
        <v>-904.2397785550379</v>
      </c>
      <c r="V758" s="52">
        <f t="shared" si="238"/>
        <v>-12132.117818244775</v>
      </c>
      <c r="X758" s="6">
        <v>754</v>
      </c>
      <c r="Y758" s="55">
        <v>377</v>
      </c>
      <c r="Z758" s="52">
        <f t="shared" si="252"/>
        <v>29743.978043740568</v>
      </c>
      <c r="AA758" s="52">
        <f t="shared" si="253"/>
        <v>-210354.00045682356</v>
      </c>
      <c r="AB758" s="52">
        <f t="shared" si="254"/>
        <v>938.67271974106382</v>
      </c>
      <c r="AC758" s="52">
        <f t="shared" si="255"/>
        <v>-2083.78545990869</v>
      </c>
      <c r="AD758" s="52">
        <f t="shared" si="239"/>
        <v>-3.5841996042031683</v>
      </c>
      <c r="AE758" s="52">
        <f t="shared" si="240"/>
        <v>27.436870128102605</v>
      </c>
      <c r="AF758" s="52">
        <f t="shared" si="241"/>
        <v>-0.49041976171675578</v>
      </c>
      <c r="AG758" s="52">
        <f t="shared" si="242"/>
        <v>10.964711385172947</v>
      </c>
      <c r="AH758" s="52">
        <f t="shared" si="243"/>
        <v>-0.77386503848618338</v>
      </c>
      <c r="AI758" s="52">
        <f t="shared" si="244"/>
        <v>3.4280382018132904</v>
      </c>
      <c r="AJ758" s="52">
        <f t="shared" si="245"/>
        <v>-2.3199148040002293</v>
      </c>
      <c r="AK758" s="52">
        <f t="shared" si="246"/>
        <v>13.044120541116369</v>
      </c>
      <c r="AM758" s="52">
        <f t="shared" si="247"/>
        <v>218071.80153141895</v>
      </c>
      <c r="AN758" s="57">
        <f t="shared" si="248"/>
        <v>225898.97934462197</v>
      </c>
      <c r="AO758" s="57">
        <f t="shared" si="249"/>
        <v>198419.57943909804</v>
      </c>
    </row>
    <row r="759" spans="12:41" x14ac:dyDescent="0.25">
      <c r="L759" s="6">
        <v>756</v>
      </c>
      <c r="M759" s="52">
        <f t="shared" si="235"/>
        <v>24045.084971874738</v>
      </c>
      <c r="N759" s="52">
        <f t="shared" si="236"/>
        <v>10438.926261462364</v>
      </c>
      <c r="P759" s="6">
        <v>756</v>
      </c>
      <c r="Q759" s="52">
        <f t="shared" si="250"/>
        <v>-17168.440519687683</v>
      </c>
      <c r="R759" s="52">
        <f t="shared" si="251"/>
        <v>12057.248383023654</v>
      </c>
      <c r="T759" s="6">
        <v>756</v>
      </c>
      <c r="U759" s="52">
        <f t="shared" si="237"/>
        <v>-954.91502812526141</v>
      </c>
      <c r="V759" s="52">
        <f t="shared" si="238"/>
        <v>-12061.073738537636</v>
      </c>
      <c r="X759" s="6">
        <v>755</v>
      </c>
      <c r="Y759" s="55">
        <v>377.5</v>
      </c>
      <c r="Z759" s="52">
        <f t="shared" si="252"/>
        <v>30212.866378660576</v>
      </c>
      <c r="AA759" s="52">
        <f t="shared" si="253"/>
        <v>-211392.4635780119</v>
      </c>
      <c r="AB759" s="52">
        <f t="shared" si="254"/>
        <v>936.88061993896224</v>
      </c>
      <c r="AC759" s="52">
        <f t="shared" si="255"/>
        <v>-2070.0670248446386</v>
      </c>
      <c r="AD759" s="52">
        <f t="shared" si="239"/>
        <v>-3.5888042945740448</v>
      </c>
      <c r="AE759" s="52">
        <f t="shared" si="240"/>
        <v>27.14945182335984</v>
      </c>
      <c r="AF759" s="52">
        <f t="shared" si="241"/>
        <v>-0.50661965323034874</v>
      </c>
      <c r="AG759" s="52">
        <f t="shared" si="242"/>
        <v>10.858383913094251</v>
      </c>
      <c r="AH759" s="52">
        <f t="shared" si="243"/>
        <v>-0.76970298964925687</v>
      </c>
      <c r="AI759" s="52">
        <f t="shared" si="244"/>
        <v>3.3936808111442369</v>
      </c>
      <c r="AJ759" s="52">
        <f t="shared" si="245"/>
        <v>-2.3124816516944393</v>
      </c>
      <c r="AK759" s="52">
        <f t="shared" si="246"/>
        <v>12.897387099121351</v>
      </c>
      <c r="AM759" s="52">
        <f t="shared" si="247"/>
        <v>219130.58492807351</v>
      </c>
      <c r="AN759" s="57">
        <f t="shared" si="248"/>
        <v>227015.31860009479</v>
      </c>
      <c r="AO759" s="57">
        <f t="shared" si="249"/>
        <v>199524.29854241345</v>
      </c>
    </row>
    <row r="760" spans="12:41" x14ac:dyDescent="0.25">
      <c r="L760" s="6">
        <v>757</v>
      </c>
      <c r="M760" s="52">
        <f t="shared" si="235"/>
        <v>23993.177550236462</v>
      </c>
      <c r="N760" s="52">
        <f t="shared" si="236"/>
        <v>10509.075115760243</v>
      </c>
      <c r="P760" s="6">
        <v>757</v>
      </c>
      <c r="Q760" s="52">
        <f t="shared" si="250"/>
        <v>-17204.775714834475</v>
      </c>
      <c r="R760" s="52">
        <f t="shared" si="251"/>
        <v>12106.35258103217</v>
      </c>
      <c r="T760" s="6">
        <v>757</v>
      </c>
      <c r="U760" s="52">
        <f t="shared" si="237"/>
        <v>-1006.8224497635365</v>
      </c>
      <c r="V760" s="52">
        <f t="shared" si="238"/>
        <v>-11990.924884239757</v>
      </c>
      <c r="X760" s="6">
        <v>756</v>
      </c>
      <c r="Y760" s="55">
        <v>378</v>
      </c>
      <c r="Z760" s="52">
        <f t="shared" si="252"/>
        <v>30680.858088093235</v>
      </c>
      <c r="AA760" s="52">
        <f t="shared" si="253"/>
        <v>-212424.10340895629</v>
      </c>
      <c r="AB760" s="52">
        <f t="shared" si="254"/>
        <v>935.08621779167527</v>
      </c>
      <c r="AC760" s="52">
        <f t="shared" si="255"/>
        <v>-2056.4922989329589</v>
      </c>
      <c r="AD760" s="52">
        <f t="shared" si="239"/>
        <v>-3.5929310819825604</v>
      </c>
      <c r="AE760" s="52">
        <f t="shared" si="240"/>
        <v>26.868076501579502</v>
      </c>
      <c r="AF760" s="52">
        <f t="shared" si="241"/>
        <v>-0.52228700720456722</v>
      </c>
      <c r="AG760" s="52">
        <f t="shared" si="242"/>
        <v>10.754145484776979</v>
      </c>
      <c r="AH760" s="52">
        <f t="shared" si="243"/>
        <v>-0.76560502632756766</v>
      </c>
      <c r="AI760" s="52">
        <f t="shared" si="244"/>
        <v>3.3600262104935954</v>
      </c>
      <c r="AJ760" s="52">
        <f t="shared" si="245"/>
        <v>-2.3050390484504257</v>
      </c>
      <c r="AK760" s="52">
        <f t="shared" si="246"/>
        <v>12.753904806308928</v>
      </c>
      <c r="AM760" s="52">
        <f t="shared" si="247"/>
        <v>220183.31451254722</v>
      </c>
      <c r="AN760" s="57">
        <f t="shared" si="248"/>
        <v>228125.03403577505</v>
      </c>
      <c r="AO760" s="57">
        <f t="shared" si="249"/>
        <v>200622.53173742205</v>
      </c>
    </row>
    <row r="761" spans="12:41" x14ac:dyDescent="0.25">
      <c r="L761" s="6">
        <v>758</v>
      </c>
      <c r="M761" s="52">
        <f t="shared" si="235"/>
        <v>23940.053768033613</v>
      </c>
      <c r="N761" s="52">
        <f t="shared" si="236"/>
        <v>10578.307376628287</v>
      </c>
      <c r="P761" s="6">
        <v>758</v>
      </c>
      <c r="Q761" s="52">
        <f t="shared" si="250"/>
        <v>-17241.962362376471</v>
      </c>
      <c r="R761" s="52">
        <f t="shared" si="251"/>
        <v>12154.815163639802</v>
      </c>
      <c r="T761" s="6">
        <v>758</v>
      </c>
      <c r="U761" s="52">
        <f t="shared" si="237"/>
        <v>-1059.9462319663871</v>
      </c>
      <c r="V761" s="52">
        <f t="shared" si="238"/>
        <v>-11921.692623371713</v>
      </c>
      <c r="X761" s="6">
        <v>757</v>
      </c>
      <c r="Y761" s="55">
        <v>378.5</v>
      </c>
      <c r="Z761" s="52">
        <f t="shared" si="252"/>
        <v>31147.952080603827</v>
      </c>
      <c r="AA761" s="52">
        <f t="shared" si="253"/>
        <v>-213448.99104886007</v>
      </c>
      <c r="AB761" s="52">
        <f t="shared" si="254"/>
        <v>933.28975225068393</v>
      </c>
      <c r="AC761" s="52">
        <f t="shared" si="255"/>
        <v>-2043.058260682169</v>
      </c>
      <c r="AD761" s="52">
        <f t="shared" si="239"/>
        <v>-3.5966038491767689</v>
      </c>
      <c r="AE761" s="52">
        <f t="shared" si="240"/>
        <v>26.592564457881238</v>
      </c>
      <c r="AF761" s="52">
        <f t="shared" si="241"/>
        <v>-0.53744213660473772</v>
      </c>
      <c r="AG761" s="52">
        <f t="shared" si="242"/>
        <v>10.651938308612509</v>
      </c>
      <c r="AH761" s="52">
        <f t="shared" si="243"/>
        <v>-0.76156976819309774</v>
      </c>
      <c r="AI761" s="52">
        <f t="shared" si="244"/>
        <v>3.3270539560975707</v>
      </c>
      <c r="AJ761" s="52">
        <f t="shared" si="245"/>
        <v>-2.2975919443789334</v>
      </c>
      <c r="AK761" s="52">
        <f t="shared" si="246"/>
        <v>12.613572193171159</v>
      </c>
      <c r="AM761" s="52">
        <f t="shared" si="247"/>
        <v>221230.04651516187</v>
      </c>
      <c r="AN761" s="57">
        <f t="shared" si="248"/>
        <v>229228.19329827928</v>
      </c>
      <c r="AO761" s="57">
        <f t="shared" si="249"/>
        <v>201714.34378331198</v>
      </c>
    </row>
    <row r="762" spans="12:41" x14ac:dyDescent="0.25">
      <c r="L762" s="6">
        <v>759</v>
      </c>
      <c r="M762" s="52">
        <f t="shared" si="235"/>
        <v>23885.729807284857</v>
      </c>
      <c r="N762" s="52">
        <f t="shared" si="236"/>
        <v>10646.601955249185</v>
      </c>
      <c r="P762" s="6">
        <v>759</v>
      </c>
      <c r="Q762" s="52">
        <f t="shared" si="250"/>
        <v>-17279.989134900603</v>
      </c>
      <c r="R762" s="52">
        <f t="shared" si="251"/>
        <v>12202.62136867443</v>
      </c>
      <c r="T762" s="6">
        <v>759</v>
      </c>
      <c r="U762" s="52">
        <f t="shared" si="237"/>
        <v>-1114.2701927151447</v>
      </c>
      <c r="V762" s="52">
        <f t="shared" si="238"/>
        <v>-11853.398044750815</v>
      </c>
      <c r="X762" s="6">
        <v>758</v>
      </c>
      <c r="Y762" s="55">
        <v>379</v>
      </c>
      <c r="Z762" s="52">
        <f t="shared" si="252"/>
        <v>31614.147381248022</v>
      </c>
      <c r="AA762" s="52">
        <f t="shared" si="253"/>
        <v>-214467.19610864393</v>
      </c>
      <c r="AB762" s="52">
        <f t="shared" si="254"/>
        <v>931.49145032609556</v>
      </c>
      <c r="AC762" s="52">
        <f t="shared" si="255"/>
        <v>-2029.7619784532285</v>
      </c>
      <c r="AD762" s="52">
        <f t="shared" si="239"/>
        <v>-3.5998452610463829</v>
      </c>
      <c r="AE762" s="52">
        <f t="shared" si="240"/>
        <v>26.322742912152272</v>
      </c>
      <c r="AF762" s="52">
        <f t="shared" si="241"/>
        <v>-0.55210444800811287</v>
      </c>
      <c r="AG762" s="52">
        <f t="shared" si="242"/>
        <v>10.55170666090709</v>
      </c>
      <c r="AH762" s="52">
        <f t="shared" si="243"/>
        <v>-0.75759587520849692</v>
      </c>
      <c r="AI762" s="52">
        <f t="shared" si="244"/>
        <v>3.2947443776492245</v>
      </c>
      <c r="AJ762" s="52">
        <f t="shared" si="245"/>
        <v>-2.2901449378297731</v>
      </c>
      <c r="AK762" s="52">
        <f t="shared" si="246"/>
        <v>12.47629187359596</v>
      </c>
      <c r="AM762" s="52">
        <f t="shared" si="247"/>
        <v>222270.83607105666</v>
      </c>
      <c r="AN762" s="57">
        <f t="shared" si="248"/>
        <v>230324.86261532776</v>
      </c>
      <c r="AO762" s="57">
        <f t="shared" si="249"/>
        <v>202799.79810616173</v>
      </c>
    </row>
    <row r="763" spans="12:41" x14ac:dyDescent="0.25">
      <c r="L763" s="6">
        <v>760</v>
      </c>
      <c r="M763" s="52">
        <f t="shared" si="235"/>
        <v>23830.222215594888</v>
      </c>
      <c r="N763" s="52">
        <f t="shared" si="236"/>
        <v>10713.938048432698</v>
      </c>
      <c r="P763" s="6">
        <v>760</v>
      </c>
      <c r="Q763" s="52">
        <f t="shared" si="250"/>
        <v>-17318.844449083579</v>
      </c>
      <c r="R763" s="52">
        <f t="shared" si="251"/>
        <v>12249.756633902889</v>
      </c>
      <c r="T763" s="6">
        <v>760</v>
      </c>
      <c r="U763" s="52">
        <f t="shared" si="237"/>
        <v>-1169.7777844051116</v>
      </c>
      <c r="V763" s="52">
        <f t="shared" si="238"/>
        <v>-11786.061951567302</v>
      </c>
      <c r="X763" s="6">
        <v>759</v>
      </c>
      <c r="Y763" s="55">
        <v>379.5</v>
      </c>
      <c r="Z763" s="52">
        <f t="shared" si="252"/>
        <v>32079.443125753438</v>
      </c>
      <c r="AA763" s="52">
        <f t="shared" si="253"/>
        <v>-215478.7867550065</v>
      </c>
      <c r="AB763" s="52">
        <f t="shared" si="254"/>
        <v>929.6915276955724</v>
      </c>
      <c r="AC763" s="52">
        <f t="shared" si="255"/>
        <v>-2016.6006069971525</v>
      </c>
      <c r="AD763" s="52">
        <f t="shared" si="239"/>
        <v>-3.6026768339433657</v>
      </c>
      <c r="AE763" s="52">
        <f t="shared" si="240"/>
        <v>26.058445682813762</v>
      </c>
      <c r="AF763" s="52">
        <f t="shared" si="241"/>
        <v>-0.56629248863224191</v>
      </c>
      <c r="AG763" s="52">
        <f t="shared" si="242"/>
        <v>10.453396795625428</v>
      </c>
      <c r="AH763" s="52">
        <f t="shared" si="243"/>
        <v>-0.75368204615468193</v>
      </c>
      <c r="AI763" s="52">
        <f t="shared" si="244"/>
        <v>3.2630785424422672</v>
      </c>
      <c r="AJ763" s="52">
        <f t="shared" si="245"/>
        <v>-2.2827022991564418</v>
      </c>
      <c r="AK763" s="52">
        <f t="shared" si="246"/>
        <v>12.341970344746068</v>
      </c>
      <c r="AM763" s="52">
        <f t="shared" si="247"/>
        <v>223305.73725044096</v>
      </c>
      <c r="AN763" s="57">
        <f t="shared" si="248"/>
        <v>231415.1068379035</v>
      </c>
      <c r="AO763" s="57">
        <f t="shared" si="249"/>
        <v>203878.9568378143</v>
      </c>
    </row>
    <row r="764" spans="12:41" x14ac:dyDescent="0.25">
      <c r="L764" s="6">
        <v>761</v>
      </c>
      <c r="M764" s="52">
        <f t="shared" si="235"/>
        <v>23773.547901113863</v>
      </c>
      <c r="N764" s="52">
        <f t="shared" si="236"/>
        <v>10780.295144952534</v>
      </c>
      <c r="P764" s="6">
        <v>761</v>
      </c>
      <c r="Q764" s="52">
        <f t="shared" si="250"/>
        <v>-17358.516469220296</v>
      </c>
      <c r="R764" s="52">
        <f t="shared" si="251"/>
        <v>12296.206601466774</v>
      </c>
      <c r="T764" s="6">
        <v>761</v>
      </c>
      <c r="U764" s="52">
        <f t="shared" si="237"/>
        <v>-1226.4520988861382</v>
      </c>
      <c r="V764" s="52">
        <f t="shared" si="238"/>
        <v>-11719.704855047466</v>
      </c>
      <c r="X764" s="6">
        <v>760</v>
      </c>
      <c r="Y764" s="55">
        <v>380</v>
      </c>
      <c r="Z764" s="52">
        <f t="shared" si="252"/>
        <v>32543.838554996979</v>
      </c>
      <c r="AA764" s="52">
        <f t="shared" si="253"/>
        <v>-216483.82975279473</v>
      </c>
      <c r="AB764" s="52">
        <f t="shared" si="254"/>
        <v>927.8901892786007</v>
      </c>
      <c r="AC764" s="52">
        <f t="shared" si="255"/>
        <v>-2003.5713841557456</v>
      </c>
      <c r="AD764" s="52">
        <f t="shared" si="239"/>
        <v>-3.6051190005739322</v>
      </c>
      <c r="AE764" s="52">
        <f t="shared" si="240"/>
        <v>25.799512878708853</v>
      </c>
      <c r="AF764" s="52">
        <f t="shared" si="241"/>
        <v>-0.58002399057495713</v>
      </c>
      <c r="AG764" s="52">
        <f t="shared" si="242"/>
        <v>10.356956858769863</v>
      </c>
      <c r="AH764" s="52">
        <f t="shared" si="243"/>
        <v>-0.74982701722353073</v>
      </c>
      <c r="AI764" s="52">
        <f t="shared" si="244"/>
        <v>3.2320382214776271</v>
      </c>
      <c r="AJ764" s="52">
        <f t="shared" si="245"/>
        <v>-2.2752679927754444</v>
      </c>
      <c r="AK764" s="52">
        <f t="shared" si="246"/>
        <v>12.210517798461364</v>
      </c>
      <c r="AM764" s="52">
        <f t="shared" si="247"/>
        <v>224334.80308775714</v>
      </c>
      <c r="AN764" s="57">
        <f t="shared" si="248"/>
        <v>232498.98948078568</v>
      </c>
      <c r="AO764" s="57">
        <f t="shared" si="249"/>
        <v>204951.88085327944</v>
      </c>
    </row>
    <row r="765" spans="12:41" x14ac:dyDescent="0.25">
      <c r="L765" s="6">
        <v>762</v>
      </c>
      <c r="M765" s="52">
        <f t="shared" si="235"/>
        <v>23715.724127386977</v>
      </c>
      <c r="N765" s="52">
        <f t="shared" si="236"/>
        <v>10845.653031794285</v>
      </c>
      <c r="P765" s="6">
        <v>762</v>
      </c>
      <c r="Q765" s="52">
        <f t="shared" si="250"/>
        <v>-17398.993110829117</v>
      </c>
      <c r="R765" s="52">
        <f t="shared" si="251"/>
        <v>12341.957122255999</v>
      </c>
      <c r="T765" s="6">
        <v>762</v>
      </c>
      <c r="U765" s="52">
        <f t="shared" si="237"/>
        <v>-1284.2758726130232</v>
      </c>
      <c r="V765" s="52">
        <f t="shared" si="238"/>
        <v>-11654.346968205715</v>
      </c>
      <c r="X765" s="6">
        <v>761</v>
      </c>
      <c r="Y765" s="55">
        <v>380.5</v>
      </c>
      <c r="Z765" s="52">
        <f t="shared" si="252"/>
        <v>33007.333009761205</v>
      </c>
      <c r="AA765" s="52">
        <f t="shared" si="253"/>
        <v>-217482.39050576277</v>
      </c>
      <c r="AB765" s="52">
        <f t="shared" si="254"/>
        <v>926.08762977831373</v>
      </c>
      <c r="AC765" s="52">
        <f t="shared" si="255"/>
        <v>-1990.6716277163912</v>
      </c>
      <c r="AD765" s="52">
        <f t="shared" si="239"/>
        <v>-3.6071911707777726</v>
      </c>
      <c r="AE765" s="52">
        <f t="shared" si="240"/>
        <v>25.545790607955794</v>
      </c>
      <c r="AF765" s="52">
        <f t="shared" si="241"/>
        <v>-0.59331591245192516</v>
      </c>
      <c r="AG765" s="52">
        <f t="shared" si="242"/>
        <v>10.262336807120199</v>
      </c>
      <c r="AH765" s="52">
        <f t="shared" si="243"/>
        <v>-0.74602956067228021</v>
      </c>
      <c r="AI765" s="52">
        <f t="shared" si="244"/>
        <v>3.2016058574092523</v>
      </c>
      <c r="AJ765" s="52">
        <f t="shared" si="245"/>
        <v>-2.2678456976535672</v>
      </c>
      <c r="AK765" s="52">
        <f t="shared" si="246"/>
        <v>12.081847943426345</v>
      </c>
      <c r="AM765" s="52">
        <f t="shared" si="247"/>
        <v>225358.08560980091</v>
      </c>
      <c r="AN765" s="57">
        <f t="shared" si="248"/>
        <v>233576.57276153372</v>
      </c>
      <c r="AO765" s="57">
        <f t="shared" si="249"/>
        <v>206018.62980673154</v>
      </c>
    </row>
    <row r="766" spans="12:41" x14ac:dyDescent="0.25">
      <c r="L766" s="6">
        <v>763</v>
      </c>
      <c r="M766" s="52">
        <f t="shared" si="235"/>
        <v>23656.768508095851</v>
      </c>
      <c r="N766" s="52">
        <f t="shared" si="236"/>
        <v>10909.991800312495</v>
      </c>
      <c r="P766" s="6">
        <v>763</v>
      </c>
      <c r="Q766" s="52">
        <f t="shared" si="250"/>
        <v>-17440.262044332907</v>
      </c>
      <c r="R766" s="52">
        <f t="shared" si="251"/>
        <v>12386.994260218748</v>
      </c>
      <c r="T766" s="6">
        <v>763</v>
      </c>
      <c r="U766" s="52">
        <f t="shared" si="237"/>
        <v>-1343.2314919041501</v>
      </c>
      <c r="V766" s="52">
        <f t="shared" si="238"/>
        <v>-11590.008199687505</v>
      </c>
      <c r="X766" s="6">
        <v>762</v>
      </c>
      <c r="Y766" s="55">
        <v>381</v>
      </c>
      <c r="Z766" s="52">
        <f t="shared" si="252"/>
        <v>33469.925925754011</v>
      </c>
      <c r="AA766" s="52">
        <f t="shared" si="253"/>
        <v>-218474.53309579496</v>
      </c>
      <c r="AB766" s="52">
        <f t="shared" si="254"/>
        <v>924.28403419292488</v>
      </c>
      <c r="AC766" s="52">
        <f t="shared" si="255"/>
        <v>-1977.8987324124132</v>
      </c>
      <c r="AD766" s="52">
        <f t="shared" si="239"/>
        <v>-3.6089117884845177</v>
      </c>
      <c r="AE766" s="52">
        <f t="shared" si="240"/>
        <v>25.297130702690517</v>
      </c>
      <c r="AF766" s="52">
        <f t="shared" si="241"/>
        <v>-0.60618447860412472</v>
      </c>
      <c r="AG766" s="52">
        <f t="shared" si="242"/>
        <v>10.169488331081308</v>
      </c>
      <c r="AH766" s="52">
        <f t="shared" si="243"/>
        <v>-0.74228848353637711</v>
      </c>
      <c r="AI766" s="52">
        <f t="shared" si="244"/>
        <v>3.1717645342140592</v>
      </c>
      <c r="AJ766" s="52">
        <f t="shared" si="245"/>
        <v>-2.2604388263440156</v>
      </c>
      <c r="AK766" s="52">
        <f t="shared" si="246"/>
        <v>11.955877837395148</v>
      </c>
      <c r="AM766" s="52">
        <f t="shared" si="247"/>
        <v>226375.63586284596</v>
      </c>
      <c r="AN766" s="57">
        <f t="shared" si="248"/>
        <v>234647.91763799466</v>
      </c>
      <c r="AO766" s="57">
        <f t="shared" si="249"/>
        <v>207079.26216616854</v>
      </c>
    </row>
    <row r="767" spans="12:41" x14ac:dyDescent="0.25">
      <c r="L767" s="6">
        <v>764</v>
      </c>
      <c r="M767" s="52">
        <f t="shared" si="235"/>
        <v>23596.699001693258</v>
      </c>
      <c r="N767" s="52">
        <f t="shared" si="236"/>
        <v>10973.291852294986</v>
      </c>
      <c r="P767" s="6">
        <v>764</v>
      </c>
      <c r="Q767" s="52">
        <f t="shared" si="250"/>
        <v>-17482.310698814719</v>
      </c>
      <c r="R767" s="52">
        <f t="shared" si="251"/>
        <v>12431.30429660649</v>
      </c>
      <c r="T767" s="6">
        <v>764</v>
      </c>
      <c r="U767" s="52">
        <f t="shared" si="237"/>
        <v>-1403.3009983067427</v>
      </c>
      <c r="V767" s="52">
        <f t="shared" si="238"/>
        <v>-11526.708147705014</v>
      </c>
      <c r="X767" s="6">
        <v>763</v>
      </c>
      <c r="Y767" s="55">
        <v>381.5</v>
      </c>
      <c r="Z767" s="52">
        <f t="shared" si="252"/>
        <v>33931.616828876911</v>
      </c>
      <c r="AA767" s="52">
        <f t="shared" si="253"/>
        <v>-219460.32032066333</v>
      </c>
      <c r="AB767" s="52">
        <f t="shared" si="254"/>
        <v>922.47957829868267</v>
      </c>
      <c r="AC767" s="52">
        <f t="shared" si="255"/>
        <v>-1965.2501670610679</v>
      </c>
      <c r="AD767" s="52">
        <f t="shared" si="239"/>
        <v>-3.6102983851161543</v>
      </c>
      <c r="AE767" s="52">
        <f t="shared" si="240"/>
        <v>25.053390458704691</v>
      </c>
      <c r="AF767" s="52">
        <f t="shared" si="241"/>
        <v>-0.61864521603477673</v>
      </c>
      <c r="AG767" s="52">
        <f t="shared" si="242"/>
        <v>10.078364781399015</v>
      </c>
      <c r="AH767" s="52">
        <f t="shared" si="243"/>
        <v>-0.73860262639786778</v>
      </c>
      <c r="AI767" s="52">
        <f t="shared" si="244"/>
        <v>3.1424979484796811</v>
      </c>
      <c r="AJ767" s="52">
        <f t="shared" si="245"/>
        <v>-2.2530505426835097</v>
      </c>
      <c r="AK767" s="52">
        <f t="shared" si="246"/>
        <v>11.832527728825992</v>
      </c>
      <c r="AM767" s="52">
        <f t="shared" si="247"/>
        <v>227387.50393881532</v>
      </c>
      <c r="AN767" s="57">
        <f t="shared" si="248"/>
        <v>235713.08384440228</v>
      </c>
      <c r="AO767" s="57">
        <f t="shared" si="249"/>
        <v>208133.83524679198</v>
      </c>
    </row>
    <row r="768" spans="12:41" x14ac:dyDescent="0.25">
      <c r="L768" s="6">
        <v>765</v>
      </c>
      <c r="M768" s="52">
        <f t="shared" si="235"/>
        <v>23535.533905932742</v>
      </c>
      <c r="N768" s="52">
        <f t="shared" si="236"/>
        <v>11035.533905932733</v>
      </c>
      <c r="P768" s="6">
        <v>765</v>
      </c>
      <c r="Q768" s="52">
        <f t="shared" si="250"/>
        <v>-17525.126265847081</v>
      </c>
      <c r="R768" s="52">
        <f t="shared" si="251"/>
        <v>12474.873734152912</v>
      </c>
      <c r="T768" s="6">
        <v>765</v>
      </c>
      <c r="U768" s="52">
        <f t="shared" si="237"/>
        <v>-1464.466094067257</v>
      </c>
      <c r="V768" s="52">
        <f t="shared" si="238"/>
        <v>-11464.466094067267</v>
      </c>
      <c r="X768" s="6">
        <v>764</v>
      </c>
      <c r="Y768" s="55">
        <v>382</v>
      </c>
      <c r="Z768" s="52">
        <f t="shared" si="252"/>
        <v>34392.405330728106</v>
      </c>
      <c r="AA768" s="52">
        <f t="shared" si="253"/>
        <v>-220439.81373038652</v>
      </c>
      <c r="AB768" s="52">
        <f t="shared" si="254"/>
        <v>920.67442910612453</v>
      </c>
      <c r="AC768" s="52">
        <f t="shared" si="255"/>
        <v>-1952.7234718317156</v>
      </c>
      <c r="AD768" s="52">
        <f t="shared" si="239"/>
        <v>-3.6113676296819284</v>
      </c>
      <c r="AE768" s="52">
        <f t="shared" si="240"/>
        <v>24.814432389049919</v>
      </c>
      <c r="AF768" s="52">
        <f t="shared" si="241"/>
        <v>-0.63071298922371688</v>
      </c>
      <c r="AG768" s="52">
        <f t="shared" si="242"/>
        <v>9.9889210995224449</v>
      </c>
      <c r="AH768" s="52">
        <f t="shared" si="243"/>
        <v>-0.73497086220642815</v>
      </c>
      <c r="AI768" s="52">
        <f t="shared" si="244"/>
        <v>3.1137903822104001</v>
      </c>
      <c r="AJ768" s="52">
        <f t="shared" si="245"/>
        <v>-2.2456837782517831</v>
      </c>
      <c r="AK768" s="52">
        <f t="shared" si="246"/>
        <v>11.711720907317073</v>
      </c>
      <c r="AM768" s="52">
        <f t="shared" si="247"/>
        <v>228393.73900054107</v>
      </c>
      <c r="AN768" s="57">
        <f t="shared" si="248"/>
        <v>236772.12992613268</v>
      </c>
      <c r="AO768" s="57">
        <f t="shared" si="249"/>
        <v>209182.4052431664</v>
      </c>
    </row>
    <row r="769" spans="12:41" x14ac:dyDescent="0.25">
      <c r="L769" s="6">
        <v>766</v>
      </c>
      <c r="M769" s="52">
        <f t="shared" si="235"/>
        <v>23473.291852294995</v>
      </c>
      <c r="N769" s="52">
        <f t="shared" si="236"/>
        <v>11096.699001693247</v>
      </c>
      <c r="P769" s="6">
        <v>766</v>
      </c>
      <c r="Q769" s="52">
        <f t="shared" si="250"/>
        <v>-17568.695703393503</v>
      </c>
      <c r="R769" s="52">
        <f t="shared" si="251"/>
        <v>12517.689301185274</v>
      </c>
      <c r="T769" s="6">
        <v>766</v>
      </c>
      <c r="U769" s="52">
        <f t="shared" si="237"/>
        <v>-1526.7081477050046</v>
      </c>
      <c r="V769" s="52">
        <f t="shared" si="238"/>
        <v>-11403.300998306753</v>
      </c>
      <c r="X769" s="6">
        <v>765</v>
      </c>
      <c r="Y769" s="55">
        <v>382.5</v>
      </c>
      <c r="Z769" s="52">
        <f t="shared" si="252"/>
        <v>34852.291124327458</v>
      </c>
      <c r="AA769" s="52">
        <f t="shared" si="253"/>
        <v>-221413.07366225374</v>
      </c>
      <c r="AB769" s="52">
        <f t="shared" si="254"/>
        <v>918.86874529128352</v>
      </c>
      <c r="AC769" s="52">
        <f t="shared" si="255"/>
        <v>-1940.3162556371906</v>
      </c>
      <c r="AD769" s="52">
        <f t="shared" si="239"/>
        <v>-3.6121353757944865</v>
      </c>
      <c r="AE769" s="52">
        <f t="shared" si="240"/>
        <v>24.580123990749218</v>
      </c>
      <c r="AF769" s="52">
        <f t="shared" si="241"/>
        <v>-0.64240203295644094</v>
      </c>
      <c r="AG769" s="52">
        <f t="shared" si="242"/>
        <v>9.9011137514043472</v>
      </c>
      <c r="AH769" s="52">
        <f t="shared" si="243"/>
        <v>-0.73139209515041792</v>
      </c>
      <c r="AI769" s="52">
        <f t="shared" si="244"/>
        <v>3.085626677059043</v>
      </c>
      <c r="AJ769" s="52">
        <f t="shared" si="245"/>
        <v>-2.2383412476876279</v>
      </c>
      <c r="AK769" s="52">
        <f t="shared" si="246"/>
        <v>11.593383562285828</v>
      </c>
      <c r="AM769" s="52">
        <f t="shared" si="247"/>
        <v>229394.38930615148</v>
      </c>
      <c r="AN769" s="57">
        <f t="shared" si="248"/>
        <v>237825.11327317738</v>
      </c>
      <c r="AO769" s="57">
        <f t="shared" si="249"/>
        <v>210225.02726021261</v>
      </c>
    </row>
    <row r="770" spans="12:41" x14ac:dyDescent="0.25">
      <c r="L770" s="6">
        <v>767</v>
      </c>
      <c r="M770" s="52">
        <f t="shared" si="235"/>
        <v>23409.991800312491</v>
      </c>
      <c r="N770" s="52">
        <f t="shared" si="236"/>
        <v>11156.768508095853</v>
      </c>
      <c r="P770" s="6">
        <v>767</v>
      </c>
      <c r="Q770" s="52">
        <f t="shared" si="250"/>
        <v>-17613.005739781256</v>
      </c>
      <c r="R770" s="52">
        <f t="shared" si="251"/>
        <v>12559.737955667097</v>
      </c>
      <c r="T770" s="6">
        <v>767</v>
      </c>
      <c r="U770" s="52">
        <f t="shared" si="237"/>
        <v>-1590.0081996875078</v>
      </c>
      <c r="V770" s="52">
        <f t="shared" si="238"/>
        <v>-11343.231491904147</v>
      </c>
      <c r="X770" s="6">
        <v>766</v>
      </c>
      <c r="Y770" s="55">
        <v>383</v>
      </c>
      <c r="Z770" s="52">
        <f t="shared" si="252"/>
        <v>35311.273980051126</v>
      </c>
      <c r="AA770" s="52">
        <f t="shared" si="253"/>
        <v>-222380.1592745735</v>
      </c>
      <c r="AB770" s="52">
        <f t="shared" si="254"/>
        <v>917.06267760338631</v>
      </c>
      <c r="AC770" s="52">
        <f t="shared" si="255"/>
        <v>-1928.026193641816</v>
      </c>
      <c r="AD770" s="52">
        <f t="shared" si="239"/>
        <v>-3.6126167058175622</v>
      </c>
      <c r="AE770" s="52">
        <f t="shared" si="240"/>
        <v>24.350337523811689</v>
      </c>
      <c r="AF770" s="52">
        <f t="shared" si="241"/>
        <v>-0.65372598329519971</v>
      </c>
      <c r="AG770" s="52">
        <f t="shared" si="242"/>
        <v>9.8149006645445631</v>
      </c>
      <c r="AH770" s="52">
        <f t="shared" si="243"/>
        <v>-0.72786525957543702</v>
      </c>
      <c r="AI770" s="52">
        <f t="shared" si="244"/>
        <v>3.0579922098986967</v>
      </c>
      <c r="AJ770" s="52">
        <f t="shared" si="245"/>
        <v>-2.2310254629469255</v>
      </c>
      <c r="AK770" s="52">
        <f t="shared" si="246"/>
        <v>11.477444649368429</v>
      </c>
      <c r="AM770" s="52">
        <f t="shared" si="247"/>
        <v>230389.5022326223</v>
      </c>
      <c r="AN770" s="57">
        <f t="shared" si="248"/>
        <v>238872.09015239184</v>
      </c>
      <c r="AO770" s="57">
        <f t="shared" si="249"/>
        <v>211261.7553430867</v>
      </c>
    </row>
    <row r="771" spans="12:41" x14ac:dyDescent="0.25">
      <c r="L771" s="6">
        <v>768</v>
      </c>
      <c r="M771" s="52">
        <f t="shared" si="235"/>
        <v>23345.653031794296</v>
      </c>
      <c r="N771" s="52">
        <f t="shared" si="236"/>
        <v>11215.724127386968</v>
      </c>
      <c r="P771" s="6">
        <v>768</v>
      </c>
      <c r="Q771" s="52">
        <f t="shared" si="250"/>
        <v>-17658.042877743992</v>
      </c>
      <c r="R771" s="52">
        <f t="shared" si="251"/>
        <v>12601.006889170876</v>
      </c>
      <c r="T771" s="6">
        <v>768</v>
      </c>
      <c r="U771" s="52">
        <f t="shared" si="237"/>
        <v>-1654.3469682057048</v>
      </c>
      <c r="V771" s="52">
        <f t="shared" si="238"/>
        <v>-11284.275872613032</v>
      </c>
      <c r="X771" s="6">
        <v>767</v>
      </c>
      <c r="Y771" s="55">
        <v>383.5</v>
      </c>
      <c r="Z771" s="52">
        <f t="shared" si="252"/>
        <v>35769.353741764593</v>
      </c>
      <c r="AA771" s="52">
        <f t="shared" si="253"/>
        <v>-223341.12857920394</v>
      </c>
      <c r="AB771" s="52">
        <f t="shared" si="254"/>
        <v>915.25636925047752</v>
      </c>
      <c r="AC771" s="52">
        <f t="shared" si="255"/>
        <v>-1915.8510248799103</v>
      </c>
      <c r="AD771" s="52">
        <f t="shared" si="239"/>
        <v>-3.6128259723404965</v>
      </c>
      <c r="AE771" s="52">
        <f t="shared" si="240"/>
        <v>24.1249498018067</v>
      </c>
      <c r="AF771" s="52">
        <f t="shared" si="241"/>
        <v>-0.66469790681048413</v>
      </c>
      <c r="AG771" s="52">
        <f t="shared" si="242"/>
        <v>9.7302411680947412</v>
      </c>
      <c r="AH771" s="52">
        <f t="shared" si="243"/>
        <v>-0.72438931894808756</v>
      </c>
      <c r="AI771" s="52">
        <f t="shared" si="244"/>
        <v>3.030872869654297</v>
      </c>
      <c r="AJ771" s="52">
        <f t="shared" si="245"/>
        <v>-2.2237387465819247</v>
      </c>
      <c r="AK771" s="52">
        <f t="shared" si="246"/>
        <v>11.363835764057661</v>
      </c>
      <c r="AM771" s="52">
        <f t="shared" si="247"/>
        <v>231379.12429852757</v>
      </c>
      <c r="AN771" s="57">
        <f t="shared" si="248"/>
        <v>239913.11573857453</v>
      </c>
      <c r="AO771" s="57">
        <f t="shared" si="249"/>
        <v>212292.64250599343</v>
      </c>
    </row>
    <row r="772" spans="12:41" x14ac:dyDescent="0.25">
      <c r="L772" s="6">
        <v>769</v>
      </c>
      <c r="M772" s="52">
        <f t="shared" si="235"/>
        <v>23280.295144952539</v>
      </c>
      <c r="N772" s="52">
        <f t="shared" si="236"/>
        <v>11273.547901113858</v>
      </c>
      <c r="P772" s="6">
        <v>769</v>
      </c>
      <c r="Q772" s="52">
        <f t="shared" si="250"/>
        <v>-17703.793398533224</v>
      </c>
      <c r="R772" s="52">
        <f t="shared" si="251"/>
        <v>12641.4835307797</v>
      </c>
      <c r="T772" s="6">
        <v>769</v>
      </c>
      <c r="U772" s="52">
        <f t="shared" si="237"/>
        <v>-1719.7048550474619</v>
      </c>
      <c r="V772" s="52">
        <f t="shared" si="238"/>
        <v>-11226.452098886142</v>
      </c>
      <c r="X772" s="6">
        <v>768</v>
      </c>
      <c r="Y772" s="55">
        <v>384</v>
      </c>
      <c r="Z772" s="52">
        <f t="shared" si="252"/>
        <v>36226.530323143292</v>
      </c>
      <c r="AA772" s="52">
        <f t="shared" si="253"/>
        <v>-224296.03847291868</v>
      </c>
      <c r="AB772" s="52">
        <f t="shared" si="254"/>
        <v>913.44995626430727</v>
      </c>
      <c r="AC772" s="52">
        <f t="shared" si="255"/>
        <v>-1903.7885499790068</v>
      </c>
      <c r="AD772" s="52">
        <f t="shared" si="239"/>
        <v>-3.612776837159537</v>
      </c>
      <c r="AE772" s="52">
        <f t="shared" si="240"/>
        <v>23.903841993300553</v>
      </c>
      <c r="AF772" s="52">
        <f t="shared" si="241"/>
        <v>-0.67533032818280947</v>
      </c>
      <c r="AG772" s="52">
        <f t="shared" si="242"/>
        <v>9.6470959358530113</v>
      </c>
      <c r="AH772" s="52">
        <f t="shared" si="243"/>
        <v>-0.72096326486265028</v>
      </c>
      <c r="AI772" s="52">
        <f t="shared" si="244"/>
        <v>3.0042550353190154</v>
      </c>
      <c r="AJ772" s="52">
        <f t="shared" si="245"/>
        <v>-2.2164832441140772</v>
      </c>
      <c r="AK772" s="52">
        <f t="shared" si="246"/>
        <v>11.252491022128527</v>
      </c>
      <c r="AM772" s="52">
        <f t="shared" si="247"/>
        <v>232363.30118602351</v>
      </c>
      <c r="AN772" s="57">
        <f t="shared" si="248"/>
        <v>240948.24414442771</v>
      </c>
      <c r="AO772" s="57">
        <f t="shared" si="249"/>
        <v>213317.74075998113</v>
      </c>
    </row>
    <row r="773" spans="12:41" x14ac:dyDescent="0.25">
      <c r="L773" s="6">
        <v>770</v>
      </c>
      <c r="M773" s="52">
        <f t="shared" ref="M773:M836" si="256">$G$20*COS(L773*PI()/180)+$G$19</f>
        <v>23213.938048432698</v>
      </c>
      <c r="N773" s="52">
        <f t="shared" ref="N773:N836" si="257">$G$20*SIN(L773*PI()/180)+$H$19</f>
        <v>11330.222215594891</v>
      </c>
      <c r="P773" s="6">
        <v>770</v>
      </c>
      <c r="Q773" s="52">
        <f t="shared" si="250"/>
        <v>-17750.243366097115</v>
      </c>
      <c r="R773" s="52">
        <f t="shared" si="251"/>
        <v>12681.155550916425</v>
      </c>
      <c r="T773" s="6">
        <v>770</v>
      </c>
      <c r="U773" s="52">
        <f t="shared" ref="U773:U836" si="258">$G$40*COS(T773*PI()/180)+$G$39</f>
        <v>-1786.0619515673043</v>
      </c>
      <c r="V773" s="52">
        <f t="shared" ref="V773:V836" si="259">$G$40*SIN(T773*PI()/180)+$H$39</f>
        <v>-11169.777784405109</v>
      </c>
      <c r="X773" s="6">
        <v>769</v>
      </c>
      <c r="Y773" s="55">
        <v>384.5</v>
      </c>
      <c r="Z773" s="52">
        <f t="shared" si="252"/>
        <v>36682.803704170801</v>
      </c>
      <c r="AA773" s="52">
        <f t="shared" si="253"/>
        <v>-225244.94476765901</v>
      </c>
      <c r="AB773" s="52">
        <f t="shared" si="254"/>
        <v>911.64356784572749</v>
      </c>
      <c r="AC773" s="52">
        <f t="shared" si="255"/>
        <v>-1891.8366289823566</v>
      </c>
      <c r="AD773" s="52">
        <f t="shared" ref="AD773:AD836" si="260">AF773+AH773+AJ773</f>
        <v>-3.6124823079329391</v>
      </c>
      <c r="AE773" s="52">
        <f t="shared" ref="AE773:AE836" si="261">AG773+AI773+AK773</f>
        <v>23.68689943350892</v>
      </c>
      <c r="AF773" s="52">
        <f t="shared" ref="AF773:AF836" si="262">(($G$19-Z773)/(AM773^2+$G$24^2)^(3/2))*$G$23</f>
        <v>-0.68563525627703037</v>
      </c>
      <c r="AG773" s="52">
        <f t="shared" ref="AG773:AG836" si="263">(($H$19-AA773)/(AM773^2+$G$24^2)^(3/2))*$G$23</f>
        <v>9.565426931988755</v>
      </c>
      <c r="AH773" s="52">
        <f t="shared" ref="AH773:AH836" si="264">(($G$29-Z773)/(AN773^2+$G$34^2)^(3/2))*$G$33</f>
        <v>-0.71758611608859457</v>
      </c>
      <c r="AI773" s="52">
        <f t="shared" ref="AI773:AI836" si="265">(($H$29-AA773)/(AN773^2+$G$34^2)^(3/2))*$G$33</f>
        <v>2.9781255550857515</v>
      </c>
      <c r="AJ773" s="52">
        <f t="shared" ref="AJ773:AJ836" si="266">(($G$39-Z773)/(AO773^2+$G$44^2)^(3/2))*$G$43</f>
        <v>-2.2092609355673143</v>
      </c>
      <c r="AK773" s="52">
        <f t="shared" ref="AK773:AK836" si="267">(($H$39-AA773)/(AO773^2+$G$44^2)^(3/2))*$G$43</f>
        <v>11.143346946434411</v>
      </c>
      <c r="AM773" s="52">
        <f t="shared" ref="AM773:AM836" si="268">SQRT(($G$19-Z773)^2+($H$19-AA773)^2)</f>
        <v>233342.07776209703</v>
      </c>
      <c r="AN773" s="57">
        <f t="shared" ref="AN773:AN836" si="269">SQRT(($G$29-Z773)^2+($H$29-AA773)^2)</f>
        <v>241977.52844945021</v>
      </c>
      <c r="AO773" s="57">
        <f t="shared" ref="AO773:AO836" si="270">SQRT(($G$39-Z773)^2+($H$39-AA773)^2)</f>
        <v>214337.10113976165</v>
      </c>
    </row>
    <row r="774" spans="12:41" x14ac:dyDescent="0.25">
      <c r="L774" s="6">
        <v>771</v>
      </c>
      <c r="M774" s="52">
        <f t="shared" si="256"/>
        <v>23146.601955249189</v>
      </c>
      <c r="N774" s="52">
        <f t="shared" si="257"/>
        <v>11385.729807284852</v>
      </c>
      <c r="P774" s="6">
        <v>771</v>
      </c>
      <c r="Q774" s="52">
        <f t="shared" ref="Q774:Q837" si="271">$G$30*COS(P774*PI()/180)+$G$29</f>
        <v>-17797.378631325566</v>
      </c>
      <c r="R774" s="52">
        <f t="shared" ref="R774:R837" si="272">$G$30*SIN(P774*PI()/180)+$H$29</f>
        <v>12720.010865099397</v>
      </c>
      <c r="T774" s="6">
        <v>771</v>
      </c>
      <c r="U774" s="52">
        <f t="shared" si="258"/>
        <v>-1853.3980447508097</v>
      </c>
      <c r="V774" s="52">
        <f t="shared" si="259"/>
        <v>-11114.270192715148</v>
      </c>
      <c r="X774" s="6">
        <v>770</v>
      </c>
      <c r="Y774" s="55">
        <v>385</v>
      </c>
      <c r="Z774" s="52">
        <f t="shared" ref="Z774:Z837" si="273">Z773+AB773*$G$4+((1/2)*AD773)*$G$4^2</f>
        <v>37138.173927805175</v>
      </c>
      <c r="AA774" s="52">
        <f t="shared" ref="AA774:AA837" si="274">AA773+AC773*$G$4+((1/2)*AE773)*$G$4^2</f>
        <v>-226187.90221972097</v>
      </c>
      <c r="AB774" s="52">
        <f t="shared" ref="AB774:AB837" si="275">AB773+AD773*$G$4</f>
        <v>909.83732669176106</v>
      </c>
      <c r="AC774" s="52">
        <f t="shared" ref="AC774:AC837" si="276">AC773+AE773*$G$4</f>
        <v>-1879.9931792656021</v>
      </c>
      <c r="AD774" s="52">
        <f t="shared" si="260"/>
        <v>-3.6119547726642081</v>
      </c>
      <c r="AE774" s="52">
        <f t="shared" si="261"/>
        <v>23.474011445559771</v>
      </c>
      <c r="AF774" s="52">
        <f t="shared" si="262"/>
        <v>-0.69562420878429143</v>
      </c>
      <c r="AG774" s="52">
        <f t="shared" si="263"/>
        <v>9.4851973593474082</v>
      </c>
      <c r="AH774" s="52">
        <f t="shared" si="264"/>
        <v>-0.71425691765701749</v>
      </c>
      <c r="AI774" s="52">
        <f t="shared" si="265"/>
        <v>2.9524717265288896</v>
      </c>
      <c r="AJ774" s="52">
        <f t="shared" si="266"/>
        <v>-2.2020736462228991</v>
      </c>
      <c r="AK774" s="52">
        <f t="shared" si="267"/>
        <v>11.036342359683474</v>
      </c>
      <c r="AM774" s="52">
        <f t="shared" si="268"/>
        <v>234315.49809910904</v>
      </c>
      <c r="AN774" s="57">
        <f t="shared" si="269"/>
        <v>243001.02072780803</v>
      </c>
      <c r="AO774" s="57">
        <f t="shared" si="270"/>
        <v>215350.77372959768</v>
      </c>
    </row>
    <row r="775" spans="12:41" x14ac:dyDescent="0.25">
      <c r="L775" s="6">
        <v>772</v>
      </c>
      <c r="M775" s="52">
        <f t="shared" si="256"/>
        <v>23078.307376628291</v>
      </c>
      <c r="N775" s="52">
        <f t="shared" si="257"/>
        <v>11440.053768033609</v>
      </c>
      <c r="P775" s="6">
        <v>772</v>
      </c>
      <c r="Q775" s="52">
        <f t="shared" si="271"/>
        <v>-17845.184836360197</v>
      </c>
      <c r="R775" s="52">
        <f t="shared" si="272"/>
        <v>12758.037637623527</v>
      </c>
      <c r="T775" s="6">
        <v>772</v>
      </c>
      <c r="U775" s="52">
        <f t="shared" si="258"/>
        <v>-1921.6926233717081</v>
      </c>
      <c r="V775" s="52">
        <f t="shared" si="259"/>
        <v>-11059.946231966391</v>
      </c>
      <c r="X775" s="6">
        <v>771</v>
      </c>
      <c r="Y775" s="55">
        <v>385.5</v>
      </c>
      <c r="Z775" s="52">
        <f t="shared" si="273"/>
        <v>37592.641096804473</v>
      </c>
      <c r="AA775" s="52">
        <f t="shared" si="274"/>
        <v>-227124.96455792306</v>
      </c>
      <c r="AB775" s="52">
        <f t="shared" si="275"/>
        <v>908.03134930542899</v>
      </c>
      <c r="AC775" s="52">
        <f t="shared" si="276"/>
        <v>-1868.2561735428221</v>
      </c>
      <c r="AD775" s="52">
        <f t="shared" si="260"/>
        <v>-3.6112060321567636</v>
      </c>
      <c r="AE775" s="52">
        <f t="shared" si="261"/>
        <v>23.265071170803687</v>
      </c>
      <c r="AF775" s="52">
        <f t="shared" si="262"/>
        <v>-0.70530823552014055</v>
      </c>
      <c r="AG775" s="52">
        <f t="shared" si="263"/>
        <v>9.40637161019459</v>
      </c>
      <c r="AH775" s="52">
        <f t="shared" si="264"/>
        <v>-0.71097473998405558</v>
      </c>
      <c r="AI775" s="52">
        <f t="shared" si="265"/>
        <v>2.9272812777751209</v>
      </c>
      <c r="AJ775" s="52">
        <f t="shared" si="266"/>
        <v>-2.1949230566525677</v>
      </c>
      <c r="AK775" s="52">
        <f t="shared" si="267"/>
        <v>10.931418282833974</v>
      </c>
      <c r="AM775" s="52">
        <f t="shared" si="268"/>
        <v>235283.60549466175</v>
      </c>
      <c r="AN775" s="57">
        <f t="shared" si="269"/>
        <v>244018.77207522703</v>
      </c>
      <c r="AO775" s="57">
        <f t="shared" si="270"/>
        <v>216358.8076882966</v>
      </c>
    </row>
    <row r="776" spans="12:41" x14ac:dyDescent="0.25">
      <c r="L776" s="6">
        <v>773</v>
      </c>
      <c r="M776" s="52">
        <f t="shared" si="256"/>
        <v>23009.075115760246</v>
      </c>
      <c r="N776" s="52">
        <f t="shared" si="257"/>
        <v>11493.177550236462</v>
      </c>
      <c r="P776" s="6">
        <v>773</v>
      </c>
      <c r="Q776" s="52">
        <f t="shared" si="271"/>
        <v>-17893.647418967827</v>
      </c>
      <c r="R776" s="52">
        <f t="shared" si="272"/>
        <v>12795.224285165523</v>
      </c>
      <c r="T776" s="6">
        <v>773</v>
      </c>
      <c r="U776" s="52">
        <f t="shared" si="258"/>
        <v>-1990.9248842397537</v>
      </c>
      <c r="V776" s="52">
        <f t="shared" si="259"/>
        <v>-11006.822449763538</v>
      </c>
      <c r="X776" s="6">
        <v>772</v>
      </c>
      <c r="Y776" s="55">
        <v>386</v>
      </c>
      <c r="Z776" s="52">
        <f t="shared" si="273"/>
        <v>38046.205370703166</v>
      </c>
      <c r="AA776" s="52">
        <f t="shared" si="274"/>
        <v>-228056.18451079811</v>
      </c>
      <c r="AB776" s="52">
        <f t="shared" si="275"/>
        <v>906.22574628935058</v>
      </c>
      <c r="AC776" s="52">
        <f t="shared" si="276"/>
        <v>-1856.6236379574202</v>
      </c>
      <c r="AD776" s="52">
        <f t="shared" si="260"/>
        <v>-3.6102473305726566</v>
      </c>
      <c r="AE776" s="52">
        <f t="shared" si="261"/>
        <v>23.059975407643684</v>
      </c>
      <c r="AF776" s="52">
        <f t="shared" si="262"/>
        <v>-0.71469794046121826</v>
      </c>
      <c r="AG776" s="52">
        <f t="shared" si="263"/>
        <v>9.3289152192669711</v>
      </c>
      <c r="AH776" s="52">
        <f t="shared" si="264"/>
        <v>-0.7077386780295678</v>
      </c>
      <c r="AI776" s="52">
        <f t="shared" si="265"/>
        <v>2.9025423496067222</v>
      </c>
      <c r="AJ776" s="52">
        <f t="shared" si="266"/>
        <v>-2.1878107120818706</v>
      </c>
      <c r="AK776" s="52">
        <f t="shared" si="267"/>
        <v>10.828517838769988</v>
      </c>
      <c r="AM776" s="52">
        <f t="shared" si="268"/>
        <v>236246.4424908167</v>
      </c>
      <c r="AN776" s="57">
        <f t="shared" si="269"/>
        <v>245030.83263495026</v>
      </c>
      <c r="AO776" s="57">
        <f t="shared" si="270"/>
        <v>217361.2512733491</v>
      </c>
    </row>
    <row r="777" spans="12:41" x14ac:dyDescent="0.25">
      <c r="L777" s="6">
        <v>774</v>
      </c>
      <c r="M777" s="52">
        <f t="shared" si="256"/>
        <v>22938.926261462362</v>
      </c>
      <c r="N777" s="52">
        <f t="shared" si="257"/>
        <v>11545.084971874741</v>
      </c>
      <c r="P777" s="6">
        <v>774</v>
      </c>
      <c r="Q777" s="52">
        <f t="shared" si="271"/>
        <v>-17942.751616976348</v>
      </c>
      <c r="R777" s="52">
        <f t="shared" si="272"/>
        <v>12831.559480312319</v>
      </c>
      <c r="T777" s="6">
        <v>774</v>
      </c>
      <c r="U777" s="52">
        <f t="shared" si="258"/>
        <v>-2061.0737385376392</v>
      </c>
      <c r="V777" s="52">
        <f t="shared" si="259"/>
        <v>-10954.915028125259</v>
      </c>
      <c r="X777" s="6">
        <v>773</v>
      </c>
      <c r="Y777" s="55">
        <v>386.5</v>
      </c>
      <c r="Z777" s="52">
        <f t="shared" si="273"/>
        <v>38498.866962931519</v>
      </c>
      <c r="AA777" s="52">
        <f t="shared" si="274"/>
        <v>-228981.61383285088</v>
      </c>
      <c r="AB777" s="52">
        <f t="shared" si="275"/>
        <v>904.42062262406421</v>
      </c>
      <c r="AC777" s="52">
        <f t="shared" si="276"/>
        <v>-1845.0936502535983</v>
      </c>
      <c r="AD777" s="52">
        <f t="shared" si="260"/>
        <v>-3.6090893842186182</v>
      </c>
      <c r="AE777" s="52">
        <f t="shared" si="261"/>
        <v>22.858624458394097</v>
      </c>
      <c r="AF777" s="52">
        <f t="shared" si="262"/>
        <v>-0.72380350259742221</v>
      </c>
      <c r="AG777" s="52">
        <f t="shared" si="263"/>
        <v>9.2527948190067821</v>
      </c>
      <c r="AH777" s="52">
        <f t="shared" si="264"/>
        <v>-0.70454785048936353</v>
      </c>
      <c r="AI777" s="52">
        <f t="shared" si="265"/>
        <v>2.8782434784438879</v>
      </c>
      <c r="AJ777" s="52">
        <f t="shared" si="266"/>
        <v>-2.1807380311318325</v>
      </c>
      <c r="AK777" s="52">
        <f t="shared" si="267"/>
        <v>10.727586160943426</v>
      </c>
      <c r="AM777" s="52">
        <f t="shared" si="268"/>
        <v>237204.05089268996</v>
      </c>
      <c r="AN777" s="57">
        <f t="shared" si="269"/>
        <v>246037.25162279923</v>
      </c>
      <c r="AO777" s="57">
        <f t="shared" si="270"/>
        <v>218358.15186424833</v>
      </c>
    </row>
    <row r="778" spans="12:41" x14ac:dyDescent="0.25">
      <c r="L778" s="6">
        <v>775</v>
      </c>
      <c r="M778" s="52">
        <f t="shared" si="256"/>
        <v>22867.882181755231</v>
      </c>
      <c r="N778" s="52">
        <f t="shared" si="257"/>
        <v>11595.76022144496</v>
      </c>
      <c r="P778" s="6">
        <v>775</v>
      </c>
      <c r="Q778" s="52">
        <f t="shared" si="271"/>
        <v>-17992.482472771339</v>
      </c>
      <c r="R778" s="52">
        <f t="shared" si="272"/>
        <v>12867.032155011471</v>
      </c>
      <c r="T778" s="6">
        <v>775</v>
      </c>
      <c r="U778" s="52">
        <f t="shared" si="258"/>
        <v>-2132.1178182447702</v>
      </c>
      <c r="V778" s="52">
        <f t="shared" si="259"/>
        <v>-10904.23977855504</v>
      </c>
      <c r="X778" s="6">
        <v>774</v>
      </c>
      <c r="Y778" s="55">
        <v>387</v>
      </c>
      <c r="Z778" s="52">
        <f t="shared" si="273"/>
        <v>38950.626138070525</v>
      </c>
      <c r="AA778" s="52">
        <f t="shared" si="274"/>
        <v>-229901.3033299204</v>
      </c>
      <c r="AB778" s="52">
        <f t="shared" si="275"/>
        <v>902.61607793195492</v>
      </c>
      <c r="AC778" s="52">
        <f t="shared" si="276"/>
        <v>-1833.6643380244013</v>
      </c>
      <c r="AD778" s="52">
        <f t="shared" si="260"/>
        <v>-3.607742408673746</v>
      </c>
      <c r="AE778" s="52">
        <f t="shared" si="261"/>
        <v>22.660921983707212</v>
      </c>
      <c r="AF778" s="52">
        <f t="shared" si="262"/>
        <v>-0.73263469567107498</v>
      </c>
      <c r="AG778" s="52">
        <f t="shared" si="263"/>
        <v>9.1779780968620521</v>
      </c>
      <c r="AH778" s="52">
        <f t="shared" si="264"/>
        <v>-0.70140139901954413</v>
      </c>
      <c r="AI778" s="52">
        <f t="shared" si="265"/>
        <v>2.854373580156949</v>
      </c>
      <c r="AJ778" s="52">
        <f t="shared" si="266"/>
        <v>-2.1737063139831267</v>
      </c>
      <c r="AK778" s="52">
        <f t="shared" si="267"/>
        <v>10.628570306688211</v>
      </c>
      <c r="AM778" s="52">
        <f t="shared" si="268"/>
        <v>238156.47178644926</v>
      </c>
      <c r="AN778" s="57">
        <f t="shared" si="269"/>
        <v>247038.07735137723</v>
      </c>
      <c r="AO778" s="57">
        <f t="shared" si="270"/>
        <v>219349.55598502338</v>
      </c>
    </row>
    <row r="779" spans="12:41" x14ac:dyDescent="0.25">
      <c r="L779" s="6">
        <v>776</v>
      </c>
      <c r="M779" s="52">
        <f t="shared" si="256"/>
        <v>22795.964517353739</v>
      </c>
      <c r="N779" s="52">
        <f t="shared" si="257"/>
        <v>11645.187862775205</v>
      </c>
      <c r="P779" s="6">
        <v>776</v>
      </c>
      <c r="Q779" s="52">
        <f t="shared" si="271"/>
        <v>-18042.824837852382</v>
      </c>
      <c r="R779" s="52">
        <f t="shared" si="272"/>
        <v>12901.631503942644</v>
      </c>
      <c r="T779" s="6">
        <v>776</v>
      </c>
      <c r="U779" s="52">
        <f t="shared" si="258"/>
        <v>-2204.0354826462622</v>
      </c>
      <c r="V779" s="52">
        <f t="shared" si="259"/>
        <v>-10854.812137224795</v>
      </c>
      <c r="X779" s="6">
        <v>775</v>
      </c>
      <c r="Y779" s="55">
        <v>387.5</v>
      </c>
      <c r="Z779" s="52">
        <f t="shared" si="273"/>
        <v>39401.483209235419</v>
      </c>
      <c r="AA779" s="52">
        <f t="shared" si="274"/>
        <v>-230815.30288368464</v>
      </c>
      <c r="AB779" s="52">
        <f t="shared" si="275"/>
        <v>900.81220672761799</v>
      </c>
      <c r="AC779" s="52">
        <f t="shared" si="276"/>
        <v>-1822.3338770325477</v>
      </c>
      <c r="AD779" s="52">
        <f t="shared" si="260"/>
        <v>-3.6062161443648102</v>
      </c>
      <c r="AE779" s="52">
        <f t="shared" si="261"/>
        <v>22.466774864137612</v>
      </c>
      <c r="AF779" s="52">
        <f t="shared" si="262"/>
        <v>-0.74120090687002238</v>
      </c>
      <c r="AG779" s="52">
        <f t="shared" si="263"/>
        <v>9.1044337545444893</v>
      </c>
      <c r="AH779" s="52">
        <f t="shared" si="264"/>
        <v>-0.69829848749124357</v>
      </c>
      <c r="AI779" s="52">
        <f t="shared" si="265"/>
        <v>2.8309219346610175</v>
      </c>
      <c r="AJ779" s="52">
        <f t="shared" si="266"/>
        <v>-2.1667167500035442</v>
      </c>
      <c r="AK779" s="52">
        <f t="shared" si="267"/>
        <v>10.531419174932104</v>
      </c>
      <c r="AM779" s="52">
        <f t="shared" si="268"/>
        <v>239103.74555673651</v>
      </c>
      <c r="AN779" s="57">
        <f t="shared" si="269"/>
        <v>248033.35725345058</v>
      </c>
      <c r="AO779" s="57">
        <f t="shared" si="270"/>
        <v>220335.50932601979</v>
      </c>
    </row>
    <row r="780" spans="12:41" x14ac:dyDescent="0.25">
      <c r="L780" s="6">
        <v>777</v>
      </c>
      <c r="M780" s="52">
        <f t="shared" si="256"/>
        <v>22723.195175075143</v>
      </c>
      <c r="N780" s="52">
        <f t="shared" si="257"/>
        <v>11693.352839727115</v>
      </c>
      <c r="P780" s="6">
        <v>777</v>
      </c>
      <c r="Q780" s="52">
        <f t="shared" si="271"/>
        <v>-18093.763377447398</v>
      </c>
      <c r="R780" s="52">
        <f t="shared" si="272"/>
        <v>12935.34698780898</v>
      </c>
      <c r="T780" s="6">
        <v>777</v>
      </c>
      <c r="U780" s="52">
        <f t="shared" si="258"/>
        <v>-2276.8048249248563</v>
      </c>
      <c r="V780" s="52">
        <f t="shared" si="259"/>
        <v>-10806.647160272885</v>
      </c>
      <c r="X780" s="6">
        <v>776</v>
      </c>
      <c r="Y780" s="55">
        <v>388</v>
      </c>
      <c r="Z780" s="52">
        <f t="shared" si="273"/>
        <v>39851.438535581183</v>
      </c>
      <c r="AA780" s="52">
        <f t="shared" si="274"/>
        <v>-231723.6614753429</v>
      </c>
      <c r="AB780" s="52">
        <f t="shared" si="275"/>
        <v>899.00909865543554</v>
      </c>
      <c r="AC780" s="52">
        <f t="shared" si="276"/>
        <v>-1811.1004896004788</v>
      </c>
      <c r="AD780" s="52">
        <f t="shared" si="260"/>
        <v>-3.6045198806883132</v>
      </c>
      <c r="AE780" s="52">
        <f t="shared" si="261"/>
        <v>22.27609306844257</v>
      </c>
      <c r="AF780" s="52">
        <f t="shared" si="262"/>
        <v>-0.74951115453690609</v>
      </c>
      <c r="AG780" s="52">
        <f t="shared" si="263"/>
        <v>9.0321314691404506</v>
      </c>
      <c r="AH780" s="52">
        <f t="shared" si="264"/>
        <v>-0.69523830127459474</v>
      </c>
      <c r="AI780" s="52">
        <f t="shared" si="265"/>
        <v>2.8078781712503864</v>
      </c>
      <c r="AJ780" s="52">
        <f t="shared" si="266"/>
        <v>-2.1597704248768124</v>
      </c>
      <c r="AK780" s="52">
        <f t="shared" si="267"/>
        <v>10.436083428051735</v>
      </c>
      <c r="AM780" s="52">
        <f t="shared" si="268"/>
        <v>240045.9119035386</v>
      </c>
      <c r="AN780" s="57">
        <f t="shared" si="269"/>
        <v>249023.13790454215</v>
      </c>
      <c r="AO780" s="57">
        <f t="shared" si="270"/>
        <v>221316.05676495784</v>
      </c>
    </row>
    <row r="781" spans="12:41" x14ac:dyDescent="0.25">
      <c r="L781" s="6">
        <v>778</v>
      </c>
      <c r="M781" s="52">
        <f t="shared" si="256"/>
        <v>22649.596321166024</v>
      </c>
      <c r="N781" s="52">
        <f t="shared" si="257"/>
        <v>11740.240480782131</v>
      </c>
      <c r="P781" s="6">
        <v>778</v>
      </c>
      <c r="Q781" s="52">
        <f t="shared" si="271"/>
        <v>-18145.282575183785</v>
      </c>
      <c r="R781" s="52">
        <f t="shared" si="272"/>
        <v>12968.168336547491</v>
      </c>
      <c r="T781" s="6">
        <v>778</v>
      </c>
      <c r="U781" s="52">
        <f t="shared" si="258"/>
        <v>-2350.4036788339772</v>
      </c>
      <c r="V781" s="52">
        <f t="shared" si="259"/>
        <v>-10759.759519217869</v>
      </c>
      <c r="X781" s="6">
        <v>777</v>
      </c>
      <c r="Y781" s="55">
        <v>388.5</v>
      </c>
      <c r="Z781" s="52">
        <f t="shared" si="273"/>
        <v>40300.492519923821</v>
      </c>
      <c r="AA781" s="52">
        <f t="shared" si="274"/>
        <v>-232626.42720850959</v>
      </c>
      <c r="AB781" s="52">
        <f t="shared" si="275"/>
        <v>897.20683871509141</v>
      </c>
      <c r="AC781" s="52">
        <f t="shared" si="276"/>
        <v>-1799.9624430662575</v>
      </c>
      <c r="AD781" s="52">
        <f t="shared" si="260"/>
        <v>-3.6026624787705614</v>
      </c>
      <c r="AE781" s="52">
        <f t="shared" si="261"/>
        <v>22.088789528240447</v>
      </c>
      <c r="AF781" s="52">
        <f t="shared" si="262"/>
        <v>-0.75757410495299504</v>
      </c>
      <c r="AG781" s="52">
        <f t="shared" si="263"/>
        <v>8.9610418559800458</v>
      </c>
      <c r="AH781" s="52">
        <f t="shared" si="264"/>
        <v>-0.69222004655039793</v>
      </c>
      <c r="AI781" s="52">
        <f t="shared" si="265"/>
        <v>2.7852322546310675</v>
      </c>
      <c r="AJ781" s="52">
        <f t="shared" si="266"/>
        <v>-2.1528683272671687</v>
      </c>
      <c r="AK781" s="52">
        <f t="shared" si="267"/>
        <v>10.342515417629333</v>
      </c>
      <c r="AM781" s="52">
        <f t="shared" si="268"/>
        <v>240983.00985852745</v>
      </c>
      <c r="AN781" s="57">
        <f t="shared" si="269"/>
        <v>250007.4650447694</v>
      </c>
      <c r="AO781" s="57">
        <f t="shared" si="270"/>
        <v>222291.24238729785</v>
      </c>
    </row>
    <row r="782" spans="12:41" x14ac:dyDescent="0.25">
      <c r="L782" s="6">
        <v>779</v>
      </c>
      <c r="M782" s="52">
        <f t="shared" si="256"/>
        <v>22575.190374550275</v>
      </c>
      <c r="N782" s="52">
        <f t="shared" si="257"/>
        <v>11785.83650351056</v>
      </c>
      <c r="P782" s="6">
        <v>779</v>
      </c>
      <c r="Q782" s="52">
        <f t="shared" si="271"/>
        <v>-18197.366737814809</v>
      </c>
      <c r="R782" s="52">
        <f t="shared" si="272"/>
        <v>13000.085552457393</v>
      </c>
      <c r="T782" s="6">
        <v>779</v>
      </c>
      <c r="U782" s="52">
        <f t="shared" si="258"/>
        <v>-2424.8096254497264</v>
      </c>
      <c r="V782" s="52">
        <f t="shared" si="259"/>
        <v>-10714.16349648944</v>
      </c>
      <c r="X782" s="6">
        <v>778</v>
      </c>
      <c r="Y782" s="55">
        <v>389</v>
      </c>
      <c r="Z782" s="52">
        <f t="shared" si="273"/>
        <v>40748.645606471524</v>
      </c>
      <c r="AA782" s="52">
        <f t="shared" si="274"/>
        <v>-233523.64733135168</v>
      </c>
      <c r="AB782" s="52">
        <f t="shared" si="275"/>
        <v>895.40550747570614</v>
      </c>
      <c r="AC782" s="52">
        <f t="shared" si="276"/>
        <v>-1788.9180483021373</v>
      </c>
      <c r="AD782" s="52">
        <f t="shared" si="260"/>
        <v>-3.600652392951436</v>
      </c>
      <c r="AE782" s="52">
        <f t="shared" si="261"/>
        <v>21.904780018673819</v>
      </c>
      <c r="AF782" s="52">
        <f t="shared" si="262"/>
        <v>-0.76539808825080013</v>
      </c>
      <c r="AG782" s="52">
        <f t="shared" si="263"/>
        <v>8.8911364331709635</v>
      </c>
      <c r="AH782" s="52">
        <f t="shared" si="264"/>
        <v>-0.68924294964837873</v>
      </c>
      <c r="AI782" s="52">
        <f t="shared" si="265"/>
        <v>2.7629744716137625</v>
      </c>
      <c r="AJ782" s="52">
        <f t="shared" si="266"/>
        <v>-2.146011355052257</v>
      </c>
      <c r="AK782" s="52">
        <f t="shared" si="267"/>
        <v>10.250669113889092</v>
      </c>
      <c r="AM782" s="52">
        <f t="shared" si="268"/>
        <v>241915.07780089017</v>
      </c>
      <c r="AN782" s="57">
        <f t="shared" si="269"/>
        <v>250986.38359995792</v>
      </c>
      <c r="AO782" s="57">
        <f t="shared" si="270"/>
        <v>223261.10950594035</v>
      </c>
    </row>
    <row r="783" spans="12:41" x14ac:dyDescent="0.25">
      <c r="L783" s="6">
        <v>780</v>
      </c>
      <c r="M783" s="52">
        <f t="shared" si="256"/>
        <v>22500.000000000007</v>
      </c>
      <c r="N783" s="52">
        <f t="shared" si="257"/>
        <v>11830.127018922189</v>
      </c>
      <c r="P783" s="6">
        <v>780</v>
      </c>
      <c r="Q783" s="52">
        <f t="shared" si="271"/>
        <v>-18249.999999999996</v>
      </c>
      <c r="R783" s="52">
        <f t="shared" si="272"/>
        <v>13031.088913245532</v>
      </c>
      <c r="T783" s="6">
        <v>780</v>
      </c>
      <c r="U783" s="52">
        <f t="shared" si="258"/>
        <v>-2499.9999999999927</v>
      </c>
      <c r="V783" s="52">
        <f t="shared" si="259"/>
        <v>-10669.872981077811</v>
      </c>
      <c r="X783" s="6">
        <v>779</v>
      </c>
      <c r="Y783" s="55">
        <v>389.5</v>
      </c>
      <c r="Z783" s="52">
        <f t="shared" si="273"/>
        <v>41195.898278660257</v>
      </c>
      <c r="AA783" s="52">
        <f t="shared" si="274"/>
        <v>-234415.36825800041</v>
      </c>
      <c r="AB783" s="52">
        <f t="shared" si="275"/>
        <v>893.60518127923046</v>
      </c>
      <c r="AC783" s="52">
        <f t="shared" si="276"/>
        <v>-1777.9656582928005</v>
      </c>
      <c r="AD783" s="52">
        <f t="shared" si="260"/>
        <v>-3.5984976910713415</v>
      </c>
      <c r="AE783" s="52">
        <f t="shared" si="261"/>
        <v>21.723983044748017</v>
      </c>
      <c r="AF783" s="52">
        <f t="shared" si="262"/>
        <v>-0.7729911135065054</v>
      </c>
      <c r="AG783" s="52">
        <f t="shared" si="263"/>
        <v>8.8223875877133988</v>
      </c>
      <c r="AH783" s="52">
        <f t="shared" si="264"/>
        <v>-0.6863062564107093</v>
      </c>
      <c r="AI783" s="52">
        <f t="shared" si="265"/>
        <v>2.7410954184308043</v>
      </c>
      <c r="AJ783" s="52">
        <f t="shared" si="266"/>
        <v>-2.1392003211541266</v>
      </c>
      <c r="AK783" s="52">
        <f t="shared" si="267"/>
        <v>10.160500038603814</v>
      </c>
      <c r="AM783" s="52">
        <f t="shared" si="268"/>
        <v>242842.15347266887</v>
      </c>
      <c r="AN783" s="57">
        <f t="shared" si="269"/>
        <v>251959.93770206027</v>
      </c>
      <c r="AO783" s="57">
        <f t="shared" si="270"/>
        <v>224225.70068028834</v>
      </c>
    </row>
    <row r="784" spans="12:41" x14ac:dyDescent="0.25">
      <c r="L784" s="6">
        <v>781</v>
      </c>
      <c r="M784" s="52">
        <f t="shared" si="256"/>
        <v>22424.048101231681</v>
      </c>
      <c r="N784" s="52">
        <f t="shared" si="257"/>
        <v>11873.098535696981</v>
      </c>
      <c r="P784" s="6">
        <v>781</v>
      </c>
      <c r="Q784" s="52">
        <f t="shared" si="271"/>
        <v>-18303.166329137821</v>
      </c>
      <c r="R784" s="52">
        <f t="shared" si="272"/>
        <v>13061.168974987886</v>
      </c>
      <c r="T784" s="6">
        <v>781</v>
      </c>
      <c r="U784" s="52">
        <f t="shared" si="258"/>
        <v>-2575.9518987683182</v>
      </c>
      <c r="V784" s="52">
        <f t="shared" si="259"/>
        <v>-10626.901464303019</v>
      </c>
      <c r="X784" s="6">
        <v>780</v>
      </c>
      <c r="Y784" s="55">
        <v>390</v>
      </c>
      <c r="Z784" s="52">
        <f t="shared" si="273"/>
        <v>41642.251057088484</v>
      </c>
      <c r="AA784" s="52">
        <f t="shared" si="274"/>
        <v>-235301.63558926622</v>
      </c>
      <c r="AB784" s="52">
        <f t="shared" si="275"/>
        <v>891.80593243369481</v>
      </c>
      <c r="AC784" s="52">
        <f t="shared" si="276"/>
        <v>-1767.1036667704266</v>
      </c>
      <c r="AD784" s="52">
        <f t="shared" si="260"/>
        <v>-3.5962060736350572</v>
      </c>
      <c r="AE784" s="52">
        <f t="shared" si="261"/>
        <v>21.546319733031595</v>
      </c>
      <c r="AF784" s="52">
        <f t="shared" si="262"/>
        <v>-0.78036088305959028</v>
      </c>
      <c r="AG784" s="52">
        <f t="shared" si="263"/>
        <v>8.7547685431130144</v>
      </c>
      <c r="AH784" s="52">
        <f t="shared" si="264"/>
        <v>-0.68340923157977762</v>
      </c>
      <c r="AI784" s="52">
        <f t="shared" si="265"/>
        <v>2.7195859886438285</v>
      </c>
      <c r="AJ784" s="52">
        <f t="shared" si="266"/>
        <v>-2.1324359589956892</v>
      </c>
      <c r="AK784" s="52">
        <f t="shared" si="267"/>
        <v>10.071965201274752</v>
      </c>
      <c r="AM784" s="52">
        <f t="shared" si="268"/>
        <v>243764.27399362868</v>
      </c>
      <c r="AN784" s="57">
        <f t="shared" si="269"/>
        <v>252928.17070890756</v>
      </c>
      <c r="AO784" s="57">
        <f t="shared" si="270"/>
        <v>225185.05773469587</v>
      </c>
    </row>
    <row r="785" spans="12:41" x14ac:dyDescent="0.25">
      <c r="L785" s="6">
        <v>782</v>
      </c>
      <c r="M785" s="52">
        <f t="shared" si="256"/>
        <v>22347.357813929455</v>
      </c>
      <c r="N785" s="52">
        <f t="shared" si="257"/>
        <v>11914.737964294633</v>
      </c>
      <c r="P785" s="6">
        <v>782</v>
      </c>
      <c r="Q785" s="52">
        <f t="shared" si="271"/>
        <v>-18356.849530249383</v>
      </c>
      <c r="R785" s="52">
        <f t="shared" si="272"/>
        <v>13090.316575006244</v>
      </c>
      <c r="T785" s="6">
        <v>782</v>
      </c>
      <c r="U785" s="52">
        <f t="shared" si="258"/>
        <v>-2652.6421860705445</v>
      </c>
      <c r="V785" s="52">
        <f t="shared" si="259"/>
        <v>-10585.262035705367</v>
      </c>
      <c r="X785" s="6">
        <v>781</v>
      </c>
      <c r="Y785" s="55">
        <v>390.5</v>
      </c>
      <c r="Z785" s="52">
        <f t="shared" si="273"/>
        <v>42087.704497546125</v>
      </c>
      <c r="AA785" s="52">
        <f t="shared" si="274"/>
        <v>-236182.49413268481</v>
      </c>
      <c r="AB785" s="52">
        <f t="shared" si="275"/>
        <v>890.00782939687724</v>
      </c>
      <c r="AC785" s="52">
        <f t="shared" si="276"/>
        <v>-1756.3305069039109</v>
      </c>
      <c r="AD785" s="52">
        <f t="shared" si="260"/>
        <v>-3.5937848919219366</v>
      </c>
      <c r="AE785" s="52">
        <f t="shared" si="261"/>
        <v>21.371713728431338</v>
      </c>
      <c r="AF785" s="52">
        <f t="shared" si="262"/>
        <v>-0.78751480610430968</v>
      </c>
      <c r="AG785" s="52">
        <f t="shared" si="263"/>
        <v>8.6882533284178862</v>
      </c>
      <c r="AH785" s="52">
        <f t="shared" si="264"/>
        <v>-0.68055115820899104</v>
      </c>
      <c r="AI785" s="52">
        <f t="shared" si="265"/>
        <v>2.6984373616099528</v>
      </c>
      <c r="AJ785" s="52">
        <f t="shared" si="266"/>
        <v>-2.1257189276086357</v>
      </c>
      <c r="AK785" s="52">
        <f t="shared" si="267"/>
        <v>9.985023038403499</v>
      </c>
      <c r="AM785" s="52">
        <f t="shared" si="268"/>
        <v>244681.47587567163</v>
      </c>
      <c r="AN785" s="57">
        <f t="shared" si="269"/>
        <v>253891.12522332088</v>
      </c>
      <c r="AO785" s="57">
        <f t="shared" si="270"/>
        <v>226139.22177632825</v>
      </c>
    </row>
    <row r="786" spans="12:41" x14ac:dyDescent="0.25">
      <c r="L786" s="6">
        <v>783</v>
      </c>
      <c r="M786" s="52">
        <f t="shared" si="256"/>
        <v>22269.952498697741</v>
      </c>
      <c r="N786" s="52">
        <f t="shared" si="257"/>
        <v>11955.032620941836</v>
      </c>
      <c r="P786" s="6">
        <v>783</v>
      </c>
      <c r="Q786" s="52">
        <f t="shared" si="271"/>
        <v>-18411.033250911583</v>
      </c>
      <c r="R786" s="52">
        <f t="shared" si="272"/>
        <v>13118.522834659285</v>
      </c>
      <c r="T786" s="6">
        <v>783</v>
      </c>
      <c r="U786" s="52">
        <f t="shared" si="258"/>
        <v>-2730.0475013022597</v>
      </c>
      <c r="V786" s="52">
        <f t="shared" si="259"/>
        <v>-10544.967379058164</v>
      </c>
      <c r="X786" s="6">
        <v>782</v>
      </c>
      <c r="Y786" s="55">
        <v>391</v>
      </c>
      <c r="Z786" s="52">
        <f t="shared" si="273"/>
        <v>42532.259189133074</v>
      </c>
      <c r="AA786" s="52">
        <f t="shared" si="274"/>
        <v>-237057.98792192072</v>
      </c>
      <c r="AB786" s="52">
        <f t="shared" si="275"/>
        <v>888.21093695091622</v>
      </c>
      <c r="AC786" s="52">
        <f t="shared" si="276"/>
        <v>-1745.6446500396953</v>
      </c>
      <c r="AD786" s="52">
        <f t="shared" si="260"/>
        <v>-3.5912411651062093</v>
      </c>
      <c r="AE786" s="52">
        <f t="shared" si="261"/>
        <v>21.200091095764648</v>
      </c>
      <c r="AF786" s="52">
        <f t="shared" si="262"/>
        <v>-0.79446001159454072</v>
      </c>
      <c r="AG786" s="52">
        <f t="shared" si="263"/>
        <v>8.6228167486059366</v>
      </c>
      <c r="AH786" s="52">
        <f t="shared" si="264"/>
        <v>-0.67773133709577027</v>
      </c>
      <c r="AI786" s="52">
        <f t="shared" si="265"/>
        <v>2.6776409914774311</v>
      </c>
      <c r="AJ786" s="52">
        <f t="shared" si="266"/>
        <v>-2.1190498164158984</v>
      </c>
      <c r="AK786" s="52">
        <f t="shared" si="267"/>
        <v>9.8996333556812814</v>
      </c>
      <c r="AM786" s="52">
        <f t="shared" si="268"/>
        <v>245593.79503681397</v>
      </c>
      <c r="AN786" s="57">
        <f t="shared" si="269"/>
        <v>254848.84311160771</v>
      </c>
      <c r="AO786" s="57">
        <f t="shared" si="270"/>
        <v>227088.23321245602</v>
      </c>
    </row>
    <row r="787" spans="12:41" x14ac:dyDescent="0.25">
      <c r="L787" s="6">
        <v>784</v>
      </c>
      <c r="M787" s="52">
        <f t="shared" si="256"/>
        <v>22191.855733945391</v>
      </c>
      <c r="N787" s="52">
        <f t="shared" si="257"/>
        <v>11993.970231495834</v>
      </c>
      <c r="P787" s="6">
        <v>784</v>
      </c>
      <c r="Q787" s="52">
        <f t="shared" si="271"/>
        <v>-18465.700986238226</v>
      </c>
      <c r="R787" s="52">
        <f t="shared" si="272"/>
        <v>13145.779162047083</v>
      </c>
      <c r="T787" s="6">
        <v>784</v>
      </c>
      <c r="U787" s="52">
        <f t="shared" si="258"/>
        <v>-2808.1442660546095</v>
      </c>
      <c r="V787" s="52">
        <f t="shared" si="259"/>
        <v>-10506.029768504166</v>
      </c>
      <c r="X787" s="6">
        <v>783</v>
      </c>
      <c r="Y787" s="55">
        <v>391.5</v>
      </c>
      <c r="Z787" s="52">
        <f t="shared" si="273"/>
        <v>42975.91575246289</v>
      </c>
      <c r="AA787" s="52">
        <f t="shared" si="274"/>
        <v>-237928.16023555357</v>
      </c>
      <c r="AB787" s="52">
        <f t="shared" si="275"/>
        <v>886.41531636836316</v>
      </c>
      <c r="AC787" s="52">
        <f t="shared" si="276"/>
        <v>-1735.0446044918131</v>
      </c>
      <c r="AD787" s="52">
        <f t="shared" si="260"/>
        <v>-3.5885815964477943</v>
      </c>
      <c r="AE787" s="52">
        <f t="shared" si="261"/>
        <v>21.031380225875274</v>
      </c>
      <c r="AF787" s="52">
        <f t="shared" si="262"/>
        <v>-0.80120336050107721</v>
      </c>
      <c r="AG787" s="52">
        <f t="shared" si="263"/>
        <v>8.5584343562560239</v>
      </c>
      <c r="AH787" s="52">
        <f t="shared" si="264"/>
        <v>-0.6749490862355727</v>
      </c>
      <c r="AI787" s="52">
        <f t="shared" si="265"/>
        <v>2.6571885966820448</v>
      </c>
      <c r="AJ787" s="52">
        <f t="shared" si="266"/>
        <v>-2.1124291497111445</v>
      </c>
      <c r="AK787" s="52">
        <f t="shared" si="267"/>
        <v>9.8157572729372049</v>
      </c>
      <c r="AM787" s="52">
        <f t="shared" si="268"/>
        <v>246501.26681474241</v>
      </c>
      <c r="AN787" s="57">
        <f t="shared" si="269"/>
        <v>255801.36552146793</v>
      </c>
      <c r="AO787" s="57">
        <f t="shared" si="270"/>
        <v>228032.13176720528</v>
      </c>
    </row>
    <row r="788" spans="12:41" x14ac:dyDescent="0.25">
      <c r="L788" s="6">
        <v>785</v>
      </c>
      <c r="M788" s="52">
        <f t="shared" si="256"/>
        <v>22113.091308703497</v>
      </c>
      <c r="N788" s="52">
        <f t="shared" si="257"/>
        <v>12031.538935183249</v>
      </c>
      <c r="P788" s="6">
        <v>785</v>
      </c>
      <c r="Q788" s="52">
        <f t="shared" si="271"/>
        <v>-18520.83608390755</v>
      </c>
      <c r="R788" s="52">
        <f t="shared" si="272"/>
        <v>13172.077254628275</v>
      </c>
      <c r="T788" s="6">
        <v>785</v>
      </c>
      <c r="U788" s="52">
        <f t="shared" si="258"/>
        <v>-2886.9086912965026</v>
      </c>
      <c r="V788" s="52">
        <f t="shared" si="259"/>
        <v>-10468.461064816751</v>
      </c>
      <c r="X788" s="6">
        <v>784</v>
      </c>
      <c r="Y788" s="55">
        <v>392</v>
      </c>
      <c r="Z788" s="52">
        <f t="shared" si="273"/>
        <v>43418.674837947518</v>
      </c>
      <c r="AA788" s="52">
        <f t="shared" si="274"/>
        <v>-238793.05361527123</v>
      </c>
      <c r="AB788" s="52">
        <f t="shared" si="275"/>
        <v>884.6210255701393</v>
      </c>
      <c r="AC788" s="52">
        <f t="shared" si="276"/>
        <v>-1724.5289143788755</v>
      </c>
      <c r="AD788" s="52">
        <f t="shared" si="260"/>
        <v>-3.5858125886093655</v>
      </c>
      <c r="AE788" s="52">
        <f t="shared" si="261"/>
        <v>20.865511746049826</v>
      </c>
      <c r="AF788" s="52">
        <f t="shared" si="262"/>
        <v>-0.80775145745788368</v>
      </c>
      <c r="AG788" s="52">
        <f t="shared" si="263"/>
        <v>8.4950824244384968</v>
      </c>
      <c r="AH788" s="52">
        <f t="shared" si="264"/>
        <v>-0.67220374029617602</v>
      </c>
      <c r="AI788" s="52">
        <f t="shared" si="265"/>
        <v>2.6370721499185605</v>
      </c>
      <c r="AJ788" s="52">
        <f t="shared" si="266"/>
        <v>-2.1058573908553058</v>
      </c>
      <c r="AK788" s="52">
        <f t="shared" si="267"/>
        <v>9.7333571716927683</v>
      </c>
      <c r="AM788" s="52">
        <f t="shared" si="268"/>
        <v>247403.9259799658</v>
      </c>
      <c r="AN788" s="57">
        <f t="shared" si="269"/>
        <v>256748.73289933204</v>
      </c>
      <c r="AO788" s="57">
        <f t="shared" si="270"/>
        <v>228970.956497785</v>
      </c>
    </row>
    <row r="789" spans="12:41" x14ac:dyDescent="0.25">
      <c r="L789" s="6">
        <v>786</v>
      </c>
      <c r="M789" s="52">
        <f t="shared" si="256"/>
        <v>22033.683215379006</v>
      </c>
      <c r="N789" s="52">
        <f t="shared" si="257"/>
        <v>12067.727288213002</v>
      </c>
      <c r="P789" s="6">
        <v>786</v>
      </c>
      <c r="Q789" s="52">
        <f t="shared" si="271"/>
        <v>-18576.421749234694</v>
      </c>
      <c r="R789" s="52">
        <f t="shared" si="272"/>
        <v>13197.409101749101</v>
      </c>
      <c r="T789" s="6">
        <v>786</v>
      </c>
      <c r="U789" s="52">
        <f t="shared" si="258"/>
        <v>-2966.3167846209935</v>
      </c>
      <c r="V789" s="52">
        <f t="shared" si="259"/>
        <v>-10432.272711786998</v>
      </c>
      <c r="X789" s="6">
        <v>785</v>
      </c>
      <c r="Y789" s="55">
        <v>392.5</v>
      </c>
      <c r="Z789" s="52">
        <f t="shared" si="273"/>
        <v>43860.537124159011</v>
      </c>
      <c r="AA789" s="52">
        <f t="shared" si="274"/>
        <v>-239652.70988349241</v>
      </c>
      <c r="AB789" s="52">
        <f t="shared" si="275"/>
        <v>882.82811927583464</v>
      </c>
      <c r="AC789" s="52">
        <f t="shared" si="276"/>
        <v>-1714.0961585058506</v>
      </c>
      <c r="AD789" s="52">
        <f t="shared" si="260"/>
        <v>-3.5829402581519512</v>
      </c>
      <c r="AE789" s="52">
        <f t="shared" si="261"/>
        <v>20.702418434508346</v>
      </c>
      <c r="AF789" s="52">
        <f t="shared" si="262"/>
        <v>-0.81411066183153469</v>
      </c>
      <c r="AG789" s="52">
        <f t="shared" si="263"/>
        <v>8.4327379207646036</v>
      </c>
      <c r="AH789" s="52">
        <f t="shared" si="264"/>
        <v>-0.66949465011126874</v>
      </c>
      <c r="AI789" s="52">
        <f t="shared" si="265"/>
        <v>2.6172838685621991</v>
      </c>
      <c r="AJ789" s="52">
        <f t="shared" si="266"/>
        <v>-2.0993349462091477</v>
      </c>
      <c r="AK789" s="52">
        <f t="shared" si="267"/>
        <v>9.6523966451815451</v>
      </c>
      <c r="AM789" s="52">
        <f t="shared" si="268"/>
        <v>248301.80674857591</v>
      </c>
      <c r="AN789" s="57">
        <f t="shared" si="269"/>
        <v>257690.98500715412</v>
      </c>
      <c r="AO789" s="57">
        <f t="shared" si="270"/>
        <v>229904.74581021143</v>
      </c>
    </row>
    <row r="790" spans="12:41" x14ac:dyDescent="0.25">
      <c r="L790" s="6">
        <v>787</v>
      </c>
      <c r="M790" s="52">
        <f t="shared" si="256"/>
        <v>21953.655642446371</v>
      </c>
      <c r="N790" s="52">
        <f t="shared" si="257"/>
        <v>12102.524267262201</v>
      </c>
      <c r="P790" s="6">
        <v>787</v>
      </c>
      <c r="Q790" s="52">
        <f t="shared" si="271"/>
        <v>-18632.44105028754</v>
      </c>
      <c r="R790" s="52">
        <f t="shared" si="272"/>
        <v>13221.766987083542</v>
      </c>
      <c r="T790" s="6">
        <v>787</v>
      </c>
      <c r="U790" s="52">
        <f t="shared" si="258"/>
        <v>-3046.3443575536294</v>
      </c>
      <c r="V790" s="52">
        <f t="shared" si="259"/>
        <v>-10397.475732737799</v>
      </c>
      <c r="X790" s="6">
        <v>786</v>
      </c>
      <c r="Y790" s="55">
        <v>393</v>
      </c>
      <c r="Z790" s="52">
        <f t="shared" si="273"/>
        <v>44301.503316264658</v>
      </c>
      <c r="AA790" s="52">
        <f t="shared" si="274"/>
        <v>-240507.17016044102</v>
      </c>
      <c r="AB790" s="52">
        <f t="shared" si="275"/>
        <v>881.03664914675869</v>
      </c>
      <c r="AC790" s="52">
        <f t="shared" si="276"/>
        <v>-1703.7449492885964</v>
      </c>
      <c r="AD790" s="52">
        <f t="shared" si="260"/>
        <v>-3.5799704492580053</v>
      </c>
      <c r="AE790" s="52">
        <f t="shared" si="261"/>
        <v>20.542035138756635</v>
      </c>
      <c r="AF790" s="52">
        <f t="shared" si="262"/>
        <v>-0.82028709824603019</v>
      </c>
      <c r="AG790" s="52">
        <f t="shared" si="263"/>
        <v>8.3713784825385691</v>
      </c>
      <c r="AH790" s="52">
        <f t="shared" si="264"/>
        <v>-0.6668211821925305</v>
      </c>
      <c r="AI790" s="52">
        <f t="shared" si="265"/>
        <v>2.5978162055168954</v>
      </c>
      <c r="AJ790" s="52">
        <f t="shared" si="266"/>
        <v>-2.0928621688194449</v>
      </c>
      <c r="AK790" s="52">
        <f t="shared" si="267"/>
        <v>9.57284045070117</v>
      </c>
      <c r="AM790" s="52">
        <f t="shared" si="268"/>
        <v>249194.94279463289</v>
      </c>
      <c r="AN790" s="57">
        <f t="shared" si="269"/>
        <v>258628.16093867997</v>
      </c>
      <c r="AO790" s="57">
        <f t="shared" si="270"/>
        <v>230833.53747454844</v>
      </c>
    </row>
    <row r="791" spans="12:41" x14ac:dyDescent="0.25">
      <c r="L791" s="6">
        <v>788</v>
      </c>
      <c r="M791" s="52">
        <f t="shared" si="256"/>
        <v>21873.032967079569</v>
      </c>
      <c r="N791" s="52">
        <f t="shared" si="257"/>
        <v>12135.919272833933</v>
      </c>
      <c r="P791" s="6">
        <v>788</v>
      </c>
      <c r="Q791" s="52">
        <f t="shared" si="271"/>
        <v>-18688.876923044303</v>
      </c>
      <c r="R791" s="52">
        <f t="shared" si="272"/>
        <v>13245.143490983754</v>
      </c>
      <c r="T791" s="6">
        <v>788</v>
      </c>
      <c r="U791" s="52">
        <f t="shared" si="258"/>
        <v>-3126.9670329204328</v>
      </c>
      <c r="V791" s="52">
        <f t="shared" si="259"/>
        <v>-10364.080727166067</v>
      </c>
      <c r="X791" s="6">
        <v>787</v>
      </c>
      <c r="Y791" s="55">
        <v>393.5</v>
      </c>
      <c r="Z791" s="52">
        <f t="shared" si="273"/>
        <v>44741.574144531878</v>
      </c>
      <c r="AA791" s="52">
        <f t="shared" si="274"/>
        <v>-241356.47488069299</v>
      </c>
      <c r="AB791" s="52">
        <f t="shared" si="275"/>
        <v>879.24666392212964</v>
      </c>
      <c r="AC791" s="52">
        <f t="shared" si="276"/>
        <v>-1693.4739317192182</v>
      </c>
      <c r="AD791" s="52">
        <f t="shared" si="260"/>
        <v>-3.5769087467273852</v>
      </c>
      <c r="AE791" s="52">
        <f t="shared" si="261"/>
        <v>20.384298697598414</v>
      </c>
      <c r="AF791" s="52">
        <f t="shared" si="262"/>
        <v>-0.82628666659305272</v>
      </c>
      <c r="AG791" s="52">
        <f t="shared" si="263"/>
        <v>8.3109823929578468</v>
      </c>
      <c r="AH791" s="52">
        <f t="shared" si="264"/>
        <v>-0.66418271825943898</v>
      </c>
      <c r="AI791" s="52">
        <f t="shared" si="265"/>
        <v>2.5786618404685409</v>
      </c>
      <c r="AJ791" s="52">
        <f t="shared" si="266"/>
        <v>-2.0864393618748935</v>
      </c>
      <c r="AK791" s="52">
        <f t="shared" si="267"/>
        <v>9.4946544641720259</v>
      </c>
      <c r="AM791" s="52">
        <f t="shared" si="268"/>
        <v>250083.36726218788</v>
      </c>
      <c r="AN791" s="57">
        <f t="shared" si="269"/>
        <v>259560.29913521127</v>
      </c>
      <c r="AO791" s="57">
        <f t="shared" si="270"/>
        <v>231757.36863968265</v>
      </c>
    </row>
    <row r="792" spans="12:41" x14ac:dyDescent="0.25">
      <c r="L792" s="6">
        <v>789</v>
      </c>
      <c r="M792" s="52">
        <f t="shared" si="256"/>
        <v>21791.839747726495</v>
      </c>
      <c r="N792" s="52">
        <f t="shared" si="257"/>
        <v>12167.902132486011</v>
      </c>
      <c r="P792" s="6">
        <v>789</v>
      </c>
      <c r="Q792" s="52">
        <f t="shared" si="271"/>
        <v>-18745.712176591453</v>
      </c>
      <c r="R792" s="52">
        <f t="shared" si="272"/>
        <v>13267.531492740207</v>
      </c>
      <c r="T792" s="6">
        <v>789</v>
      </c>
      <c r="U792" s="52">
        <f t="shared" si="258"/>
        <v>-3208.1602522735029</v>
      </c>
      <c r="V792" s="52">
        <f t="shared" si="259"/>
        <v>-10332.097867513989</v>
      </c>
      <c r="X792" s="6">
        <v>788</v>
      </c>
      <c r="Y792" s="55">
        <v>394</v>
      </c>
      <c r="Z792" s="52">
        <f t="shared" si="273"/>
        <v>45180.750362899598</v>
      </c>
      <c r="AA792" s="52">
        <f t="shared" si="274"/>
        <v>-242200.66380921539</v>
      </c>
      <c r="AB792" s="52">
        <f t="shared" si="275"/>
        <v>877.45820954876592</v>
      </c>
      <c r="AC792" s="52">
        <f t="shared" si="276"/>
        <v>-1683.281782370419</v>
      </c>
      <c r="AD792" s="52">
        <f t="shared" si="260"/>
        <v>-3.57376048828894</v>
      </c>
      <c r="AE792" s="52">
        <f t="shared" si="261"/>
        <v>20.229147866618874</v>
      </c>
      <c r="AF792" s="52">
        <f t="shared" si="262"/>
        <v>-0.83211505155594845</v>
      </c>
      <c r="AG792" s="52">
        <f t="shared" si="263"/>
        <v>8.2515285583107492</v>
      </c>
      <c r="AH792" s="52">
        <f t="shared" si="264"/>
        <v>-0.66157865478600963</v>
      </c>
      <c r="AI792" s="52">
        <f t="shared" si="265"/>
        <v>2.5598136715224058</v>
      </c>
      <c r="AJ792" s="52">
        <f t="shared" si="266"/>
        <v>-2.0800667819469818</v>
      </c>
      <c r="AK792" s="52">
        <f t="shared" si="267"/>
        <v>9.417805636785717</v>
      </c>
      <c r="AM792" s="52">
        <f t="shared" si="268"/>
        <v>250967.11277695626</v>
      </c>
      <c r="AN792" s="57">
        <f t="shared" si="269"/>
        <v>260487.43740088411</v>
      </c>
      <c r="AO792" s="57">
        <f t="shared" si="270"/>
        <v>232676.2758476501</v>
      </c>
    </row>
    <row r="793" spans="12:41" x14ac:dyDescent="0.25">
      <c r="L793" s="6">
        <v>790</v>
      </c>
      <c r="M793" s="52">
        <f t="shared" si="256"/>
        <v>21710.100716628345</v>
      </c>
      <c r="N793" s="52">
        <f t="shared" si="257"/>
        <v>12198.463103929542</v>
      </c>
      <c r="P793" s="6">
        <v>790</v>
      </c>
      <c r="Q793" s="52">
        <f t="shared" si="271"/>
        <v>-18802.929498360158</v>
      </c>
      <c r="R793" s="52">
        <f t="shared" si="272"/>
        <v>13288.92417275068</v>
      </c>
      <c r="T793" s="6">
        <v>790</v>
      </c>
      <c r="U793" s="52">
        <f t="shared" si="258"/>
        <v>-3289.8992833716557</v>
      </c>
      <c r="V793" s="52">
        <f t="shared" si="259"/>
        <v>-10301.536896070458</v>
      </c>
      <c r="X793" s="6">
        <v>789</v>
      </c>
      <c r="Y793" s="55">
        <v>394.5</v>
      </c>
      <c r="Z793" s="52">
        <f t="shared" si="273"/>
        <v>45619.032747612946</v>
      </c>
      <c r="AA793" s="52">
        <f t="shared" si="274"/>
        <v>-243039.77605691727</v>
      </c>
      <c r="AB793" s="52">
        <f t="shared" si="275"/>
        <v>875.67132930462139</v>
      </c>
      <c r="AC793" s="52">
        <f t="shared" si="276"/>
        <v>-1673.1672084371096</v>
      </c>
      <c r="AD793" s="52">
        <f t="shared" si="260"/>
        <v>-3.5705307762677343</v>
      </c>
      <c r="AE793" s="52">
        <f t="shared" si="261"/>
        <v>20.07652324696231</v>
      </c>
      <c r="AF793" s="52">
        <f t="shared" si="262"/>
        <v>-0.83777773167402436</v>
      </c>
      <c r="AG793" s="52">
        <f t="shared" si="263"/>
        <v>8.1929964861237519</v>
      </c>
      <c r="AH793" s="52">
        <f t="shared" si="264"/>
        <v>-0.65900840256380178</v>
      </c>
      <c r="AI793" s="52">
        <f t="shared" si="265"/>
        <v>2.5412648072054571</v>
      </c>
      <c r="AJ793" s="52">
        <f t="shared" si="266"/>
        <v>-2.0737446420299084</v>
      </c>
      <c r="AK793" s="52">
        <f t="shared" si="267"/>
        <v>9.3422619536331002</v>
      </c>
      <c r="AM793" s="52">
        <f t="shared" si="268"/>
        <v>251846.21145765428</v>
      </c>
      <c r="AN793" s="57">
        <f t="shared" si="269"/>
        <v>261409.61291748079</v>
      </c>
      <c r="AO793" s="57">
        <f t="shared" si="270"/>
        <v>233590.29504753166</v>
      </c>
    </row>
    <row r="794" spans="12:41" x14ac:dyDescent="0.25">
      <c r="L794" s="6">
        <v>791</v>
      </c>
      <c r="M794" s="52">
        <f t="shared" si="256"/>
        <v>21627.840772285788</v>
      </c>
      <c r="N794" s="52">
        <f t="shared" si="257"/>
        <v>12227.592877996582</v>
      </c>
      <c r="P794" s="6">
        <v>791</v>
      </c>
      <c r="Q794" s="52">
        <f t="shared" si="271"/>
        <v>-18860.511459399946</v>
      </c>
      <c r="R794" s="52">
        <f t="shared" si="272"/>
        <v>13309.315014597607</v>
      </c>
      <c r="T794" s="6">
        <v>791</v>
      </c>
      <c r="U794" s="52">
        <f t="shared" si="258"/>
        <v>-3372.1592277142108</v>
      </c>
      <c r="V794" s="52">
        <f t="shared" si="259"/>
        <v>-10272.407122003418</v>
      </c>
      <c r="X794" s="6">
        <v>790</v>
      </c>
      <c r="Y794" s="55">
        <v>395</v>
      </c>
      <c r="Z794" s="52">
        <f t="shared" si="273"/>
        <v>46056.42209591822</v>
      </c>
      <c r="AA794" s="52">
        <f t="shared" si="274"/>
        <v>-243873.85009572995</v>
      </c>
      <c r="AB794" s="52">
        <f t="shared" si="275"/>
        <v>873.8860639164875</v>
      </c>
      <c r="AC794" s="52">
        <f t="shared" si="276"/>
        <v>-1663.1289468136285</v>
      </c>
      <c r="AD794" s="52">
        <f t="shared" si="260"/>
        <v>-3.5672244886450821</v>
      </c>
      <c r="AE794" s="52">
        <f t="shared" si="261"/>
        <v>19.926367217235729</v>
      </c>
      <c r="AF794" s="52">
        <f t="shared" si="262"/>
        <v>-0.84327998797209924</v>
      </c>
      <c r="AG794" s="52">
        <f t="shared" si="263"/>
        <v>8.1353662642130065</v>
      </c>
      <c r="AH794" s="52">
        <f t="shared" si="264"/>
        <v>-0.65647138628045187</v>
      </c>
      <c r="AI794" s="52">
        <f t="shared" si="265"/>
        <v>2.5230085588150235</v>
      </c>
      <c r="AJ794" s="52">
        <f t="shared" si="266"/>
        <v>-2.0674731143925311</v>
      </c>
      <c r="AK794" s="52">
        <f t="shared" si="267"/>
        <v>9.2679923942077007</v>
      </c>
      <c r="AM794" s="52">
        <f t="shared" si="268"/>
        <v>252720.69492701063</v>
      </c>
      <c r="AN794" s="57">
        <f t="shared" si="269"/>
        <v>262326.8622587921</v>
      </c>
      <c r="AO794" s="57">
        <f t="shared" si="270"/>
        <v>234499.46160893256</v>
      </c>
    </row>
    <row r="795" spans="12:41" x14ac:dyDescent="0.25">
      <c r="L795" s="6">
        <v>792</v>
      </c>
      <c r="M795" s="52">
        <f t="shared" si="256"/>
        <v>21545.08497187473</v>
      </c>
      <c r="N795" s="52">
        <f t="shared" si="257"/>
        <v>12255.282581475771</v>
      </c>
      <c r="P795" s="6">
        <v>792</v>
      </c>
      <c r="Q795" s="52">
        <f t="shared" si="271"/>
        <v>-18918.440519687687</v>
      </c>
      <c r="R795" s="52">
        <f t="shared" si="272"/>
        <v>13328.697807033039</v>
      </c>
      <c r="T795" s="6">
        <v>792</v>
      </c>
      <c r="U795" s="52">
        <f t="shared" si="258"/>
        <v>-3454.9150281252687</v>
      </c>
      <c r="V795" s="52">
        <f t="shared" si="259"/>
        <v>-10244.717418524229</v>
      </c>
      <c r="X795" s="6">
        <v>791</v>
      </c>
      <c r="Y795" s="55">
        <v>395.5</v>
      </c>
      <c r="Z795" s="52">
        <f t="shared" si="273"/>
        <v>46492.919224815385</v>
      </c>
      <c r="AA795" s="52">
        <f t="shared" si="274"/>
        <v>-244702.92377323462</v>
      </c>
      <c r="AB795" s="52">
        <f t="shared" si="275"/>
        <v>872.10245167216499</v>
      </c>
      <c r="AC795" s="52">
        <f t="shared" si="276"/>
        <v>-1653.1657632050108</v>
      </c>
      <c r="AD795" s="52">
        <f t="shared" si="260"/>
        <v>-3.5638462895463814</v>
      </c>
      <c r="AE795" s="52">
        <f t="shared" si="261"/>
        <v>19.778623868380194</v>
      </c>
      <c r="AF795" s="52">
        <f t="shared" si="262"/>
        <v>-0.84862691217869124</v>
      </c>
      <c r="AG795" s="52">
        <f t="shared" si="263"/>
        <v>8.0786185405964588</v>
      </c>
      <c r="AH795" s="52">
        <f t="shared" si="264"/>
        <v>-0.65396704411316142</v>
      </c>
      <c r="AI795" s="52">
        <f t="shared" si="265"/>
        <v>2.505038433096777</v>
      </c>
      <c r="AJ795" s="52">
        <f t="shared" si="266"/>
        <v>-2.0612523332545289</v>
      </c>
      <c r="AK795" s="52">
        <f t="shared" si="267"/>
        <v>9.1949668946869583</v>
      </c>
      <c r="AM795" s="52">
        <f t="shared" si="268"/>
        <v>253590.59432246414</v>
      </c>
      <c r="AN795" s="57">
        <f t="shared" si="269"/>
        <v>263239.22140454676</v>
      </c>
      <c r="AO795" s="57">
        <f t="shared" si="270"/>
        <v>235403.81033506189</v>
      </c>
    </row>
    <row r="796" spans="12:41" x14ac:dyDescent="0.25">
      <c r="L796" s="6">
        <v>793</v>
      </c>
      <c r="M796" s="52">
        <f t="shared" si="256"/>
        <v>21461.858523613682</v>
      </c>
      <c r="N796" s="52">
        <f t="shared" si="257"/>
        <v>12281.523779815177</v>
      </c>
      <c r="P796" s="6">
        <v>793</v>
      </c>
      <c r="Q796" s="52">
        <f t="shared" si="271"/>
        <v>-18976.699033470421</v>
      </c>
      <c r="R796" s="52">
        <f t="shared" si="272"/>
        <v>13347.066645870626</v>
      </c>
      <c r="T796" s="6">
        <v>793</v>
      </c>
      <c r="U796" s="52">
        <f t="shared" si="258"/>
        <v>-3538.1414763863168</v>
      </c>
      <c r="V796" s="52">
        <f t="shared" si="259"/>
        <v>-10218.476220184823</v>
      </c>
      <c r="X796" s="6">
        <v>792</v>
      </c>
      <c r="Y796" s="55">
        <v>396</v>
      </c>
      <c r="Z796" s="52">
        <f t="shared" si="273"/>
        <v>46928.524969865277</v>
      </c>
      <c r="AA796" s="52">
        <f t="shared" si="274"/>
        <v>-245527.03432685358</v>
      </c>
      <c r="AB796" s="52">
        <f t="shared" si="275"/>
        <v>870.32052852739184</v>
      </c>
      <c r="AC796" s="52">
        <f t="shared" si="276"/>
        <v>-1643.2764512708206</v>
      </c>
      <c r="AD796" s="52">
        <f t="shared" si="260"/>
        <v>-3.5604006391894947</v>
      </c>
      <c r="AE796" s="52">
        <f t="shared" si="261"/>
        <v>19.633238941361547</v>
      </c>
      <c r="AF796" s="52">
        <f t="shared" si="262"/>
        <v>-0.85382341455496757</v>
      </c>
      <c r="AG796" s="52">
        <f t="shared" si="263"/>
        <v>8.0227345042268006</v>
      </c>
      <c r="AH796" s="52">
        <f t="shared" si="264"/>
        <v>-0.65149482733644692</v>
      </c>
      <c r="AI796" s="52">
        <f t="shared" si="265"/>
        <v>2.4873481252354415</v>
      </c>
      <c r="AJ796" s="52">
        <f t="shared" si="266"/>
        <v>-2.0550823972980803</v>
      </c>
      <c r="AK796" s="52">
        <f t="shared" si="267"/>
        <v>9.1231563118993062</v>
      </c>
      <c r="AM796" s="52">
        <f t="shared" si="268"/>
        <v>254455.94030655955</v>
      </c>
      <c r="AN796" s="57">
        <f t="shared" si="269"/>
        <v>264146.72575392429</v>
      </c>
      <c r="AO796" s="57">
        <f t="shared" si="270"/>
        <v>236303.3754754262</v>
      </c>
    </row>
    <row r="797" spans="12:41" x14ac:dyDescent="0.25">
      <c r="L797" s="6">
        <v>794</v>
      </c>
      <c r="M797" s="52">
        <f t="shared" si="256"/>
        <v>21378.186779085001</v>
      </c>
      <c r="N797" s="52">
        <f t="shared" si="257"/>
        <v>12306.308479691594</v>
      </c>
      <c r="P797" s="6">
        <v>794</v>
      </c>
      <c r="Q797" s="52">
        <f t="shared" si="271"/>
        <v>-19035.269254640501</v>
      </c>
      <c r="R797" s="52">
        <f t="shared" si="272"/>
        <v>13364.415935784114</v>
      </c>
      <c r="T797" s="6">
        <v>794</v>
      </c>
      <c r="U797" s="52">
        <f t="shared" si="258"/>
        <v>-3621.8132209149994</v>
      </c>
      <c r="V797" s="52">
        <f t="shared" si="259"/>
        <v>-10193.691520308406</v>
      </c>
      <c r="X797" s="6">
        <v>793</v>
      </c>
      <c r="Y797" s="55">
        <v>396.5</v>
      </c>
      <c r="Z797" s="52">
        <f t="shared" si="273"/>
        <v>47363.240184049071</v>
      </c>
      <c r="AA797" s="52">
        <f t="shared" si="274"/>
        <v>-246346.2183976213</v>
      </c>
      <c r="AB797" s="52">
        <f t="shared" si="275"/>
        <v>868.54032820779707</v>
      </c>
      <c r="AC797" s="52">
        <f t="shared" si="276"/>
        <v>-1633.4598318001399</v>
      </c>
      <c r="AD797" s="52">
        <f t="shared" si="260"/>
        <v>-3.5568918033244206</v>
      </c>
      <c r="AE797" s="52">
        <f t="shared" si="261"/>
        <v>19.490159767539929</v>
      </c>
      <c r="AF797" s="52">
        <f t="shared" si="262"/>
        <v>-0.8588742313551011</v>
      </c>
      <c r="AG797" s="52">
        <f t="shared" si="263"/>
        <v>7.967695866505907</v>
      </c>
      <c r="AH797" s="52">
        <f t="shared" si="264"/>
        <v>-0.64905419994362357</v>
      </c>
      <c r="AI797" s="52">
        <f t="shared" si="265"/>
        <v>2.4699315121430163</v>
      </c>
      <c r="AJ797" s="52">
        <f t="shared" si="266"/>
        <v>-2.0489633720256957</v>
      </c>
      <c r="AK797" s="52">
        <f t="shared" si="267"/>
        <v>9.0525323888910041</v>
      </c>
      <c r="AM797" s="52">
        <f t="shared" si="268"/>
        <v>255316.76307705062</v>
      </c>
      <c r="AN797" s="57">
        <f t="shared" si="269"/>
        <v>265049.41013866611</v>
      </c>
      <c r="AO797" s="57">
        <f t="shared" si="270"/>
        <v>237198.19073815108</v>
      </c>
    </row>
    <row r="798" spans="12:41" x14ac:dyDescent="0.25">
      <c r="L798" s="6">
        <v>795</v>
      </c>
      <c r="M798" s="52">
        <f t="shared" si="256"/>
        <v>21294.095225512614</v>
      </c>
      <c r="N798" s="52">
        <f t="shared" si="257"/>
        <v>12329.629131445339</v>
      </c>
      <c r="P798" s="6">
        <v>795</v>
      </c>
      <c r="Q798" s="52">
        <f t="shared" si="271"/>
        <v>-19094.133342141169</v>
      </c>
      <c r="R798" s="52">
        <f t="shared" si="272"/>
        <v>13380.740392011738</v>
      </c>
      <c r="T798" s="6">
        <v>795</v>
      </c>
      <c r="U798" s="52">
        <f t="shared" si="258"/>
        <v>-3705.904774487386</v>
      </c>
      <c r="V798" s="52">
        <f t="shared" si="259"/>
        <v>-10170.370868554661</v>
      </c>
      <c r="X798" s="6">
        <v>794</v>
      </c>
      <c r="Y798" s="55">
        <v>397</v>
      </c>
      <c r="Z798" s="52">
        <f t="shared" si="273"/>
        <v>47797.065736677556</v>
      </c>
      <c r="AA798" s="52">
        <f t="shared" si="274"/>
        <v>-247160.51204355044</v>
      </c>
      <c r="AB798" s="52">
        <f t="shared" si="275"/>
        <v>866.76188230613491</v>
      </c>
      <c r="AC798" s="52">
        <f t="shared" si="276"/>
        <v>-1623.71475191637</v>
      </c>
      <c r="AD798" s="52">
        <f t="shared" si="260"/>
        <v>-3.5533238621928893</v>
      </c>
      <c r="AE798" s="52">
        <f t="shared" si="261"/>
        <v>19.349335211585149</v>
      </c>
      <c r="AF798" s="52">
        <f t="shared" si="262"/>
        <v>-0.86378393193758352</v>
      </c>
      <c r="AG798" s="52">
        <f t="shared" si="263"/>
        <v>7.9134848435448006</v>
      </c>
      <c r="AH798" s="52">
        <f t="shared" si="264"/>
        <v>-0.64664463828142771</v>
      </c>
      <c r="AI798" s="52">
        <f t="shared" si="265"/>
        <v>2.4527826460298607</v>
      </c>
      <c r="AJ798" s="52">
        <f t="shared" si="266"/>
        <v>-2.0428952919738781</v>
      </c>
      <c r="AK798" s="52">
        <f t="shared" si="267"/>
        <v>8.9830677220104871</v>
      </c>
      <c r="AM798" s="52">
        <f t="shared" si="268"/>
        <v>256173.09237672185</v>
      </c>
      <c r="AN798" s="57">
        <f t="shared" si="269"/>
        <v>265947.3088358001</v>
      </c>
      <c r="AO798" s="57">
        <f t="shared" si="270"/>
        <v>238088.28930194484</v>
      </c>
    </row>
    <row r="799" spans="12:41" x14ac:dyDescent="0.25">
      <c r="L799" s="6">
        <v>796</v>
      </c>
      <c r="M799" s="52">
        <f t="shared" si="256"/>
        <v>21209.609477998336</v>
      </c>
      <c r="N799" s="52">
        <f t="shared" si="257"/>
        <v>12351.478631379983</v>
      </c>
      <c r="P799" s="6">
        <v>796</v>
      </c>
      <c r="Q799" s="52">
        <f t="shared" si="271"/>
        <v>-19153.273365401164</v>
      </c>
      <c r="R799" s="52">
        <f t="shared" si="272"/>
        <v>13396.035041965988</v>
      </c>
      <c r="T799" s="6">
        <v>796</v>
      </c>
      <c r="U799" s="52">
        <f t="shared" si="258"/>
        <v>-3790.3905220016636</v>
      </c>
      <c r="V799" s="52">
        <f t="shared" si="259"/>
        <v>-10148.521368620017</v>
      </c>
      <c r="X799" s="6">
        <v>795</v>
      </c>
      <c r="Y799" s="55">
        <v>397.5</v>
      </c>
      <c r="Z799" s="52">
        <f t="shared" si="273"/>
        <v>48230.002512347848</v>
      </c>
      <c r="AA799" s="52">
        <f t="shared" si="274"/>
        <v>-247969.95075260717</v>
      </c>
      <c r="AB799" s="52">
        <f t="shared" si="275"/>
        <v>864.98522037503847</v>
      </c>
      <c r="AC799" s="52">
        <f t="shared" si="276"/>
        <v>-1614.0400843105774</v>
      </c>
      <c r="AD799" s="52">
        <f t="shared" si="260"/>
        <v>-3.5497007190349468</v>
      </c>
      <c r="AE799" s="52">
        <f t="shared" si="261"/>
        <v>19.210715616813218</v>
      </c>
      <c r="AF799" s="52">
        <f t="shared" si="262"/>
        <v>-0.86855692554584607</v>
      </c>
      <c r="AG799" s="52">
        <f t="shared" si="263"/>
        <v>7.8600841391345275</v>
      </c>
      <c r="AH799" s="52">
        <f t="shared" si="264"/>
        <v>-0.6442656306972665</v>
      </c>
      <c r="AI799" s="52">
        <f t="shared" si="265"/>
        <v>2.4358957482449624</v>
      </c>
      <c r="AJ799" s="52">
        <f t="shared" si="266"/>
        <v>-2.0368781627918344</v>
      </c>
      <c r="AK799" s="52">
        <f t="shared" si="267"/>
        <v>8.9147357294337297</v>
      </c>
      <c r="AM799" s="52">
        <f t="shared" si="268"/>
        <v>257024.95750293726</v>
      </c>
      <c r="AN799" s="57">
        <f t="shared" si="269"/>
        <v>266840.45557999174</v>
      </c>
      <c r="AO799" s="57">
        <f t="shared" si="270"/>
        <v>238973.70382771568</v>
      </c>
    </row>
    <row r="800" spans="12:41" x14ac:dyDescent="0.25">
      <c r="L800" s="6">
        <v>797</v>
      </c>
      <c r="M800" s="52">
        <f t="shared" si="256"/>
        <v>21124.755271719328</v>
      </c>
      <c r="N800" s="52">
        <f t="shared" si="257"/>
        <v>12371.850323926175</v>
      </c>
      <c r="P800" s="6">
        <v>797</v>
      </c>
      <c r="Q800" s="52">
        <f t="shared" si="271"/>
        <v>-19212.671309796471</v>
      </c>
      <c r="R800" s="52">
        <f t="shared" si="272"/>
        <v>13410.295226748323</v>
      </c>
      <c r="T800" s="6">
        <v>797</v>
      </c>
      <c r="U800" s="52">
        <f t="shared" si="258"/>
        <v>-3875.244728280672</v>
      </c>
      <c r="V800" s="52">
        <f t="shared" si="259"/>
        <v>-10128.149676073825</v>
      </c>
      <c r="X800" s="6">
        <v>796</v>
      </c>
      <c r="Y800" s="55">
        <v>398</v>
      </c>
      <c r="Z800" s="52">
        <f t="shared" si="273"/>
        <v>48662.051409945489</v>
      </c>
      <c r="AA800" s="52">
        <f t="shared" si="274"/>
        <v>-248774.56945531035</v>
      </c>
      <c r="AB800" s="52">
        <f t="shared" si="275"/>
        <v>863.21037001552099</v>
      </c>
      <c r="AC800" s="52">
        <f t="shared" si="276"/>
        <v>-1604.4347265021709</v>
      </c>
      <c r="AD800" s="52">
        <f t="shared" si="260"/>
        <v>-3.5460261081677502</v>
      </c>
      <c r="AE800" s="52">
        <f t="shared" si="261"/>
        <v>19.074252752825227</v>
      </c>
      <c r="AF800" s="52">
        <f t="shared" si="262"/>
        <v>-0.87319746777542528</v>
      </c>
      <c r="AG800" s="52">
        <f t="shared" si="263"/>
        <v>7.8074769283947756</v>
      </c>
      <c r="AH800" s="52">
        <f t="shared" si="264"/>
        <v>-0.64191667719855694</v>
      </c>
      <c r="AI800" s="52">
        <f t="shared" si="265"/>
        <v>2.4192652033722841</v>
      </c>
      <c r="AJ800" s="52">
        <f t="shared" si="266"/>
        <v>-2.030911963193768</v>
      </c>
      <c r="AK800" s="52">
        <f t="shared" si="267"/>
        <v>8.8475106210581682</v>
      </c>
      <c r="AM800" s="52">
        <f t="shared" si="268"/>
        <v>257872.38731692667</v>
      </c>
      <c r="AN800" s="57">
        <f t="shared" si="269"/>
        <v>267728.8835755366</v>
      </c>
      <c r="AO800" s="57">
        <f t="shared" si="270"/>
        <v>239854.46646985618</v>
      </c>
    </row>
    <row r="801" spans="12:41" x14ac:dyDescent="0.25">
      <c r="L801" s="6">
        <v>798</v>
      </c>
      <c r="M801" s="52">
        <f t="shared" si="256"/>
        <v>21039.558454088805</v>
      </c>
      <c r="N801" s="52">
        <f t="shared" si="257"/>
        <v>12390.738003669027</v>
      </c>
      <c r="P801" s="6">
        <v>798</v>
      </c>
      <c r="Q801" s="52">
        <f t="shared" si="271"/>
        <v>-19272.309082137836</v>
      </c>
      <c r="R801" s="52">
        <f t="shared" si="272"/>
        <v>13423.516602568317</v>
      </c>
      <c r="T801" s="6">
        <v>798</v>
      </c>
      <c r="U801" s="52">
        <f t="shared" si="258"/>
        <v>-3960.4415459111951</v>
      </c>
      <c r="V801" s="52">
        <f t="shared" si="259"/>
        <v>-10109.261996330973</v>
      </c>
      <c r="X801" s="6">
        <v>797</v>
      </c>
      <c r="Y801" s="55">
        <v>398.5</v>
      </c>
      <c r="Z801" s="52">
        <f t="shared" si="273"/>
        <v>49093.213341689734</v>
      </c>
      <c r="AA801" s="52">
        <f t="shared" si="274"/>
        <v>-249574.40253696733</v>
      </c>
      <c r="AB801" s="52">
        <f t="shared" si="275"/>
        <v>861.4373569614371</v>
      </c>
      <c r="AC801" s="52">
        <f t="shared" si="276"/>
        <v>-1594.8976001257583</v>
      </c>
      <c r="AD801" s="52">
        <f t="shared" si="260"/>
        <v>-3.5423036026603847</v>
      </c>
      <c r="AE801" s="52">
        <f t="shared" si="261"/>
        <v>18.939899765337501</v>
      </c>
      <c r="AF801" s="52">
        <f t="shared" si="262"/>
        <v>-0.87770966674402628</v>
      </c>
      <c r="AG801" s="52">
        <f t="shared" si="263"/>
        <v>7.7556468420698801</v>
      </c>
      <c r="AH801" s="52">
        <f t="shared" si="264"/>
        <v>-0.63959728912371483</v>
      </c>
      <c r="AI801" s="52">
        <f t="shared" si="265"/>
        <v>2.4028855535711</v>
      </c>
      <c r="AJ801" s="52">
        <f t="shared" si="266"/>
        <v>-2.0249966467926437</v>
      </c>
      <c r="AK801" s="52">
        <f t="shared" si="267"/>
        <v>8.78136736969652</v>
      </c>
      <c r="AM801" s="52">
        <f t="shared" si="268"/>
        <v>258715.41025281773</v>
      </c>
      <c r="AN801" s="57">
        <f t="shared" si="269"/>
        <v>268612.62550800509</v>
      </c>
      <c r="AO801" s="57">
        <f t="shared" si="270"/>
        <v>240730.6088872056</v>
      </c>
    </row>
    <row r="802" spans="12:41" x14ac:dyDescent="0.25">
      <c r="L802" s="6">
        <v>799</v>
      </c>
      <c r="M802" s="52">
        <f t="shared" si="256"/>
        <v>20954.044976882727</v>
      </c>
      <c r="N802" s="52">
        <f t="shared" si="257"/>
        <v>12408.13591723832</v>
      </c>
      <c r="P802" s="6">
        <v>799</v>
      </c>
      <c r="Q802" s="52">
        <f t="shared" si="271"/>
        <v>-19332.16851618209</v>
      </c>
      <c r="R802" s="52">
        <f t="shared" si="272"/>
        <v>13435.695142066823</v>
      </c>
      <c r="T802" s="6">
        <v>799</v>
      </c>
      <c r="U802" s="52">
        <f t="shared" si="258"/>
        <v>-4045.9550231172707</v>
      </c>
      <c r="V802" s="52">
        <f t="shared" si="259"/>
        <v>-10091.86408276168</v>
      </c>
      <c r="X802" s="6">
        <v>798</v>
      </c>
      <c r="Y802" s="55">
        <v>399</v>
      </c>
      <c r="Z802" s="52">
        <f t="shared" si="273"/>
        <v>49523.489232220119</v>
      </c>
      <c r="AA802" s="52">
        <f t="shared" si="274"/>
        <v>-250369.48384955953</v>
      </c>
      <c r="AB802" s="52">
        <f t="shared" si="275"/>
        <v>859.66620516010687</v>
      </c>
      <c r="AC802" s="52">
        <f t="shared" si="276"/>
        <v>-1585.4276502430896</v>
      </c>
      <c r="AD802" s="52">
        <f t="shared" si="260"/>
        <v>-3.538536621627002</v>
      </c>
      <c r="AE802" s="52">
        <f t="shared" si="261"/>
        <v>18.807611128097136</v>
      </c>
      <c r="AF802" s="52">
        <f t="shared" si="262"/>
        <v>-0.88209748897975149</v>
      </c>
      <c r="AG802" s="52">
        <f t="shared" si="263"/>
        <v>7.7045779514420882</v>
      </c>
      <c r="AH802" s="52">
        <f t="shared" si="264"/>
        <v>-0.63730698882428616</v>
      </c>
      <c r="AI802" s="52">
        <f t="shared" si="265"/>
        <v>2.3867514931485192</v>
      </c>
      <c r="AJ802" s="52">
        <f t="shared" si="266"/>
        <v>-2.0191321438229646</v>
      </c>
      <c r="AK802" s="52">
        <f t="shared" si="267"/>
        <v>8.7162816835065282</v>
      </c>
      <c r="AM802" s="52">
        <f t="shared" si="268"/>
        <v>259554.05432642208</v>
      </c>
      <c r="AN802" s="57">
        <f t="shared" si="269"/>
        <v>269491.71355555381</v>
      </c>
      <c r="AO802" s="57">
        <f t="shared" si="270"/>
        <v>241602.16225370188</v>
      </c>
    </row>
    <row r="803" spans="12:41" x14ac:dyDescent="0.25">
      <c r="L803" s="6">
        <v>800</v>
      </c>
      <c r="M803" s="52">
        <f t="shared" si="256"/>
        <v>20868.240888334654</v>
      </c>
      <c r="N803" s="52">
        <f t="shared" si="257"/>
        <v>12424.038765061039</v>
      </c>
      <c r="P803" s="6">
        <v>800</v>
      </c>
      <c r="Q803" s="52">
        <f t="shared" si="271"/>
        <v>-19392.231378165743</v>
      </c>
      <c r="R803" s="52">
        <f t="shared" si="272"/>
        <v>13446.827135542728</v>
      </c>
      <c r="T803" s="6">
        <v>800</v>
      </c>
      <c r="U803" s="52">
        <f t="shared" si="258"/>
        <v>-4131.7591116653466</v>
      </c>
      <c r="V803" s="52">
        <f t="shared" si="259"/>
        <v>-10075.961234938961</v>
      </c>
      <c r="X803" s="6">
        <v>799</v>
      </c>
      <c r="Y803" s="55">
        <v>399.5</v>
      </c>
      <c r="Z803" s="52">
        <f t="shared" si="273"/>
        <v>49952.880017722469</v>
      </c>
      <c r="AA803" s="52">
        <f t="shared" si="274"/>
        <v>-251159.84672329007</v>
      </c>
      <c r="AB803" s="52">
        <f t="shared" si="275"/>
        <v>857.89693684929341</v>
      </c>
      <c r="AC803" s="52">
        <f t="shared" si="276"/>
        <v>-1576.0238446790411</v>
      </c>
      <c r="AD803" s="52">
        <f t="shared" si="260"/>
        <v>-3.534728437159218</v>
      </c>
      <c r="AE803" s="52">
        <f t="shared" si="261"/>
        <v>18.677342596783404</v>
      </c>
      <c r="AF803" s="52">
        <f t="shared" si="262"/>
        <v>-0.88636476504202322</v>
      </c>
      <c r="AG803" s="52">
        <f t="shared" si="263"/>
        <v>7.6542547538347723</v>
      </c>
      <c r="AH803" s="52">
        <f t="shared" si="264"/>
        <v>-0.63504530935781356</v>
      </c>
      <c r="AI803" s="52">
        <f t="shared" si="265"/>
        <v>2.3708578633533524</v>
      </c>
      <c r="AJ803" s="52">
        <f t="shared" si="266"/>
        <v>-2.0133183627593811</v>
      </c>
      <c r="AK803" s="52">
        <f t="shared" si="267"/>
        <v>8.6522299795952797</v>
      </c>
      <c r="AM803" s="52">
        <f t="shared" si="268"/>
        <v>260388.34714378446</v>
      </c>
      <c r="AN803" s="57">
        <f t="shared" si="269"/>
        <v>270366.17939991358</v>
      </c>
      <c r="AO803" s="57">
        <f t="shared" si="270"/>
        <v>242469.15726873401</v>
      </c>
    </row>
    <row r="804" spans="12:41" x14ac:dyDescent="0.25">
      <c r="L804" s="6">
        <v>801</v>
      </c>
      <c r="M804" s="52">
        <f t="shared" si="256"/>
        <v>20782.172325201162</v>
      </c>
      <c r="N804" s="52">
        <f t="shared" si="257"/>
        <v>12438.441702975688</v>
      </c>
      <c r="P804" s="6">
        <v>801</v>
      </c>
      <c r="Q804" s="52">
        <f t="shared" si="271"/>
        <v>-19452.479372359187</v>
      </c>
      <c r="R804" s="52">
        <f t="shared" si="272"/>
        <v>13456.909192082981</v>
      </c>
      <c r="T804" s="6">
        <v>801</v>
      </c>
      <c r="U804" s="52">
        <f t="shared" si="258"/>
        <v>-4217.8276747988384</v>
      </c>
      <c r="V804" s="52">
        <f t="shared" si="259"/>
        <v>-10061.558297024312</v>
      </c>
      <c r="X804" s="6">
        <v>800</v>
      </c>
      <c r="Y804" s="55">
        <v>400</v>
      </c>
      <c r="Z804" s="52">
        <f t="shared" si="273"/>
        <v>50381.386645092476</v>
      </c>
      <c r="AA804" s="52">
        <f t="shared" si="274"/>
        <v>-251945.52397780502</v>
      </c>
      <c r="AB804" s="52">
        <f t="shared" si="275"/>
        <v>856.12957263071382</v>
      </c>
      <c r="AC804" s="52">
        <f t="shared" si="276"/>
        <v>-1566.6851733806493</v>
      </c>
      <c r="AD804" s="52">
        <f t="shared" si="260"/>
        <v>-3.5308821809172777</v>
      </c>
      <c r="AE804" s="52">
        <f t="shared" si="261"/>
        <v>18.549051164799319</v>
      </c>
      <c r="AF804" s="52">
        <f t="shared" si="262"/>
        <v>-0.89051519488873976</v>
      </c>
      <c r="AG804" s="52">
        <f t="shared" si="263"/>
        <v>7.6046621586782086</v>
      </c>
      <c r="AH804" s="52">
        <f t="shared" si="264"/>
        <v>-0.63281179419097677</v>
      </c>
      <c r="AI804" s="52">
        <f t="shared" si="265"/>
        <v>2.3551996473807537</v>
      </c>
      <c r="AJ804" s="52">
        <f t="shared" si="266"/>
        <v>-2.0075551918375609</v>
      </c>
      <c r="AK804" s="52">
        <f t="shared" si="267"/>
        <v>8.5891893587403576</v>
      </c>
      <c r="AM804" s="52">
        <f t="shared" si="268"/>
        <v>261218.31590950204</v>
      </c>
      <c r="AN804" s="57">
        <f t="shared" si="269"/>
        <v>271236.05423706636</v>
      </c>
      <c r="AO804" s="57">
        <f t="shared" si="270"/>
        <v>243331.62416720478</v>
      </c>
    </row>
    <row r="805" spans="12:41" x14ac:dyDescent="0.25">
      <c r="L805" s="6">
        <v>802</v>
      </c>
      <c r="M805" s="52">
        <f t="shared" si="256"/>
        <v>20695.865504800331</v>
      </c>
      <c r="N805" s="52">
        <f t="shared" si="257"/>
        <v>12451.340343707852</v>
      </c>
      <c r="P805" s="6">
        <v>802</v>
      </c>
      <c r="Q805" s="52">
        <f t="shared" si="271"/>
        <v>-19512.89414663977</v>
      </c>
      <c r="R805" s="52">
        <f t="shared" si="272"/>
        <v>13465.938240595497</v>
      </c>
      <c r="T805" s="6">
        <v>802</v>
      </c>
      <c r="U805" s="52">
        <f t="shared" si="258"/>
        <v>-4304.1344951996689</v>
      </c>
      <c r="V805" s="52">
        <f t="shared" si="259"/>
        <v>-10048.659656292148</v>
      </c>
      <c r="X805" s="6">
        <v>801</v>
      </c>
      <c r="Y805" s="55">
        <v>400.5</v>
      </c>
      <c r="Z805" s="52">
        <f t="shared" si="273"/>
        <v>50809.010071135221</v>
      </c>
      <c r="AA805" s="52">
        <f t="shared" si="274"/>
        <v>-252726.54793309973</v>
      </c>
      <c r="AB805" s="52">
        <f t="shared" si="275"/>
        <v>854.36413154025513</v>
      </c>
      <c r="AC805" s="52">
        <f t="shared" si="276"/>
        <v>-1557.4106477982496</v>
      </c>
      <c r="AD805" s="52">
        <f t="shared" si="260"/>
        <v>-3.5270008503988834</v>
      </c>
      <c r="AE805" s="52">
        <f t="shared" si="261"/>
        <v>18.422695020866541</v>
      </c>
      <c r="AF805" s="52">
        <f t="shared" si="262"/>
        <v>-0.89455235300268165</v>
      </c>
      <c r="AG805" s="52">
        <f t="shared" si="263"/>
        <v>7.5557854741141321</v>
      </c>
      <c r="AH805" s="52">
        <f t="shared" si="264"/>
        <v>-0.63060599691265529</v>
      </c>
      <c r="AI805" s="52">
        <f t="shared" si="265"/>
        <v>2.3397719655780058</v>
      </c>
      <c r="AJ805" s="52">
        <f t="shared" si="266"/>
        <v>-2.0018425004835465</v>
      </c>
      <c r="AK805" s="52">
        <f t="shared" si="267"/>
        <v>8.5271375811744061</v>
      </c>
      <c r="AM805" s="52">
        <f t="shared" si="268"/>
        <v>262043.98743482202</v>
      </c>
      <c r="AN805" s="57">
        <f t="shared" si="269"/>
        <v>272101.36878762202</v>
      </c>
      <c r="AO805" s="57">
        <f t="shared" si="270"/>
        <v>244189.59272931441</v>
      </c>
    </row>
    <row r="806" spans="12:41" x14ac:dyDescent="0.25">
      <c r="L806" s="6">
        <v>803</v>
      </c>
      <c r="M806" s="52">
        <f t="shared" si="256"/>
        <v>20609.346717025739</v>
      </c>
      <c r="N806" s="52">
        <f t="shared" si="257"/>
        <v>12462.73075820661</v>
      </c>
      <c r="P806" s="6">
        <v>803</v>
      </c>
      <c r="Q806" s="52">
        <f t="shared" si="271"/>
        <v>-19573.457298081983</v>
      </c>
      <c r="R806" s="52">
        <f t="shared" si="272"/>
        <v>13473.911530744626</v>
      </c>
      <c r="T806" s="6">
        <v>803</v>
      </c>
      <c r="U806" s="52">
        <f t="shared" si="258"/>
        <v>-4390.6532829742628</v>
      </c>
      <c r="V806" s="52">
        <f t="shared" si="259"/>
        <v>-10037.26924179339</v>
      </c>
      <c r="X806" s="6">
        <v>802</v>
      </c>
      <c r="Y806" s="55">
        <v>401</v>
      </c>
      <c r="Z806" s="52">
        <f t="shared" si="273"/>
        <v>51235.751261799043</v>
      </c>
      <c r="AA806" s="52">
        <f t="shared" si="274"/>
        <v>-253502.95042012125</v>
      </c>
      <c r="AB806" s="52">
        <f t="shared" si="275"/>
        <v>852.60063111505565</v>
      </c>
      <c r="AC806" s="52">
        <f t="shared" si="276"/>
        <v>-1548.1993002878162</v>
      </c>
      <c r="AD806" s="52">
        <f t="shared" si="260"/>
        <v>-3.5230873149026403</v>
      </c>
      <c r="AE806" s="52">
        <f t="shared" si="261"/>
        <v>18.298233508336288</v>
      </c>
      <c r="AF806" s="52">
        <f t="shared" si="262"/>
        <v>-0.89847969328915445</v>
      </c>
      <c r="AG806" s="52">
        <f t="shared" si="263"/>
        <v>7.5076103941137751</v>
      </c>
      <c r="AH806" s="52">
        <f t="shared" si="264"/>
        <v>-0.62842748095648016</v>
      </c>
      <c r="AI806" s="52">
        <f t="shared" si="265"/>
        <v>2.3245700708419128</v>
      </c>
      <c r="AJ806" s="52">
        <f t="shared" si="266"/>
        <v>-1.9961801406570054</v>
      </c>
      <c r="AK806" s="52">
        <f t="shared" si="267"/>
        <v>8.4660530433806027</v>
      </c>
      <c r="AM806" s="52">
        <f t="shared" si="268"/>
        <v>262865.38814552448</v>
      </c>
      <c r="AN806" s="57">
        <f t="shared" si="269"/>
        <v>272962.15330690407</v>
      </c>
      <c r="AO806" s="57">
        <f t="shared" si="270"/>
        <v>245043.09229007404</v>
      </c>
    </row>
    <row r="807" spans="12:41" x14ac:dyDescent="0.25">
      <c r="L807" s="6">
        <v>804</v>
      </c>
      <c r="M807" s="52">
        <f t="shared" si="256"/>
        <v>20522.642316338264</v>
      </c>
      <c r="N807" s="52">
        <f t="shared" si="257"/>
        <v>12472.609476841368</v>
      </c>
      <c r="P807" s="6">
        <v>804</v>
      </c>
      <c r="Q807" s="52">
        <f t="shared" si="271"/>
        <v>-19634.150378563216</v>
      </c>
      <c r="R807" s="52">
        <f t="shared" si="272"/>
        <v>13480.826633788956</v>
      </c>
      <c r="T807" s="6">
        <v>804</v>
      </c>
      <c r="U807" s="52">
        <f t="shared" si="258"/>
        <v>-4477.3576836617358</v>
      </c>
      <c r="V807" s="52">
        <f t="shared" si="259"/>
        <v>-10027.390523158632</v>
      </c>
      <c r="X807" s="6">
        <v>803</v>
      </c>
      <c r="Y807" s="55">
        <v>401.5</v>
      </c>
      <c r="Z807" s="52">
        <f t="shared" si="273"/>
        <v>51661.611191442207</v>
      </c>
      <c r="AA807" s="52">
        <f t="shared" si="274"/>
        <v>-254274.76279107662</v>
      </c>
      <c r="AB807" s="52">
        <f t="shared" si="275"/>
        <v>850.83908745760436</v>
      </c>
      <c r="AC807" s="52">
        <f t="shared" si="276"/>
        <v>-1539.0501835336481</v>
      </c>
      <c r="AD807" s="52">
        <f t="shared" si="260"/>
        <v>-3.519144321202798</v>
      </c>
      <c r="AE807" s="52">
        <f t="shared" si="261"/>
        <v>18.175627086137965</v>
      </c>
      <c r="AF807" s="52">
        <f t="shared" si="262"/>
        <v>-0.90230055375640594</v>
      </c>
      <c r="AG807" s="52">
        <f t="shared" si="263"/>
        <v>7.4601229860874048</v>
      </c>
      <c r="AH807" s="52">
        <f t="shared" si="264"/>
        <v>-0.6262758193325344</v>
      </c>
      <c r="AI807" s="52">
        <f t="shared" si="265"/>
        <v>2.3095893441990833</v>
      </c>
      <c r="AJ807" s="52">
        <f t="shared" si="266"/>
        <v>-1.9905679481138576</v>
      </c>
      <c r="AK807" s="52">
        <f t="shared" si="267"/>
        <v>8.4059147558514784</v>
      </c>
      <c r="AM807" s="52">
        <f t="shared" si="268"/>
        <v>263682.54408959742</v>
      </c>
      <c r="AN807" s="57">
        <f t="shared" si="269"/>
        <v>273818.43759475596</v>
      </c>
      <c r="AO807" s="57">
        <f t="shared" si="270"/>
        <v>245892.15174855856</v>
      </c>
    </row>
    <row r="808" spans="12:41" x14ac:dyDescent="0.25">
      <c r="L808" s="6">
        <v>805</v>
      </c>
      <c r="M808" s="52">
        <f t="shared" si="256"/>
        <v>20435.778713738295</v>
      </c>
      <c r="N808" s="52">
        <f t="shared" si="257"/>
        <v>12480.973490458728</v>
      </c>
      <c r="P808" s="6">
        <v>805</v>
      </c>
      <c r="Q808" s="52">
        <f t="shared" si="271"/>
        <v>-19694.954900383196</v>
      </c>
      <c r="R808" s="52">
        <f t="shared" si="272"/>
        <v>13486.681443321109</v>
      </c>
      <c r="T808" s="6">
        <v>805</v>
      </c>
      <c r="U808" s="52">
        <f t="shared" si="258"/>
        <v>-4564.2212862617071</v>
      </c>
      <c r="V808" s="52">
        <f t="shared" si="259"/>
        <v>-10019.026509541272</v>
      </c>
      <c r="X808" s="6">
        <v>804</v>
      </c>
      <c r="Y808" s="55">
        <v>402</v>
      </c>
      <c r="Z808" s="52">
        <f t="shared" si="273"/>
        <v>52086.590842130856</v>
      </c>
      <c r="AA808" s="52">
        <f t="shared" si="274"/>
        <v>-255042.01592945767</v>
      </c>
      <c r="AB808" s="52">
        <f t="shared" si="275"/>
        <v>849.07951529700301</v>
      </c>
      <c r="AC808" s="52">
        <f t="shared" si="276"/>
        <v>-1529.9623699905792</v>
      </c>
      <c r="AD808" s="52">
        <f t="shared" si="260"/>
        <v>-3.5151744989505911</v>
      </c>
      <c r="AE808" s="52">
        <f t="shared" si="261"/>
        <v>18.054837291289122</v>
      </c>
      <c r="AF808" s="52">
        <f t="shared" si="262"/>
        <v>-0.90601816098964005</v>
      </c>
      <c r="AG808" s="52">
        <f t="shared" si="263"/>
        <v>7.4133096789638042</v>
      </c>
      <c r="AH808" s="52">
        <f t="shared" si="264"/>
        <v>-0.62415059436786413</v>
      </c>
      <c r="AI808" s="52">
        <f t="shared" si="265"/>
        <v>2.2948252905607647</v>
      </c>
      <c r="AJ808" s="52">
        <f t="shared" si="266"/>
        <v>-1.9850057435930868</v>
      </c>
      <c r="AK808" s="52">
        <f t="shared" si="267"/>
        <v>8.3467023217645533</v>
      </c>
      <c r="AM808" s="52">
        <f t="shared" si="268"/>
        <v>264495.4809447109</v>
      </c>
      <c r="AN808" s="57">
        <f t="shared" si="269"/>
        <v>274670.2510050764</v>
      </c>
      <c r="AO808" s="57">
        <f t="shared" si="270"/>
        <v>246736.79957690719</v>
      </c>
    </row>
    <row r="809" spans="12:41" x14ac:dyDescent="0.25">
      <c r="L809" s="6">
        <v>806</v>
      </c>
      <c r="M809" s="52">
        <f t="shared" si="256"/>
        <v>20348.782368720633</v>
      </c>
      <c r="N809" s="52">
        <f t="shared" si="257"/>
        <v>12487.820251299119</v>
      </c>
      <c r="P809" s="6">
        <v>806</v>
      </c>
      <c r="Q809" s="52">
        <f t="shared" si="271"/>
        <v>-19755.852341895556</v>
      </c>
      <c r="R809" s="52">
        <f t="shared" si="272"/>
        <v>13491.474175909385</v>
      </c>
      <c r="T809" s="6">
        <v>806</v>
      </c>
      <c r="U809" s="52">
        <f t="shared" si="258"/>
        <v>-4651.2176312793654</v>
      </c>
      <c r="V809" s="52">
        <f t="shared" si="259"/>
        <v>-10012.179748700881</v>
      </c>
      <c r="X809" s="6">
        <v>805</v>
      </c>
      <c r="Y809" s="55">
        <v>402.5</v>
      </c>
      <c r="Z809" s="52">
        <f t="shared" si="273"/>
        <v>52510.691202966991</v>
      </c>
      <c r="AA809" s="52">
        <f t="shared" si="274"/>
        <v>-255804.74025979155</v>
      </c>
      <c r="AB809" s="52">
        <f t="shared" si="275"/>
        <v>847.32192804752776</v>
      </c>
      <c r="AC809" s="52">
        <f t="shared" si="276"/>
        <v>-1520.9349513449347</v>
      </c>
      <c r="AD809" s="52">
        <f t="shared" si="260"/>
        <v>-3.511180365816541</v>
      </c>
      <c r="AE809" s="52">
        <f t="shared" si="261"/>
        <v>17.93582670289415</v>
      </c>
      <c r="AF809" s="52">
        <f t="shared" si="262"/>
        <v>-0.90963563442881556</v>
      </c>
      <c r="AG809" s="52">
        <f t="shared" si="263"/>
        <v>7.3671572517188348</v>
      </c>
      <c r="AH809" s="52">
        <f t="shared" si="264"/>
        <v>-0.62205139745541338</v>
      </c>
      <c r="AI809" s="52">
        <f t="shared" si="265"/>
        <v>2.2802735346441017</v>
      </c>
      <c r="AJ809" s="52">
        <f t="shared" si="266"/>
        <v>-1.9794933339323124</v>
      </c>
      <c r="AK809" s="52">
        <f t="shared" si="267"/>
        <v>8.2883959165312149</v>
      </c>
      <c r="AM809" s="52">
        <f t="shared" si="268"/>
        <v>265304.22402549675</v>
      </c>
      <c r="AN809" s="57">
        <f t="shared" si="269"/>
        <v>275517.62245509325</v>
      </c>
      <c r="AO809" s="57">
        <f t="shared" si="270"/>
        <v>247577.0638290807</v>
      </c>
    </row>
    <row r="810" spans="12:41" x14ac:dyDescent="0.25">
      <c r="L810" s="6">
        <v>807</v>
      </c>
      <c r="M810" s="52">
        <f t="shared" si="256"/>
        <v>20261.679781214716</v>
      </c>
      <c r="N810" s="52">
        <f t="shared" si="257"/>
        <v>12493.14767377287</v>
      </c>
      <c r="P810" s="6">
        <v>807</v>
      </c>
      <c r="Q810" s="52">
        <f t="shared" si="271"/>
        <v>-19816.824153149701</v>
      </c>
      <c r="R810" s="52">
        <f t="shared" si="272"/>
        <v>13495.203371641008</v>
      </c>
      <c r="T810" s="6">
        <v>807</v>
      </c>
      <c r="U810" s="52">
        <f t="shared" si="258"/>
        <v>-4738.3202187852858</v>
      </c>
      <c r="V810" s="52">
        <f t="shared" si="259"/>
        <v>-10006.85232622713</v>
      </c>
      <c r="X810" s="6">
        <v>806</v>
      </c>
      <c r="Y810" s="55">
        <v>403</v>
      </c>
      <c r="Z810" s="52">
        <f t="shared" si="273"/>
        <v>52933.913269445031</v>
      </c>
      <c r="AA810" s="52">
        <f t="shared" si="274"/>
        <v>-256562.96575712613</v>
      </c>
      <c r="AB810" s="52">
        <f t="shared" si="275"/>
        <v>845.56633786461953</v>
      </c>
      <c r="AC810" s="52">
        <f t="shared" si="276"/>
        <v>-1511.9670379934876</v>
      </c>
      <c r="AD810" s="52">
        <f t="shared" si="260"/>
        <v>-3.5071643323877257</v>
      </c>
      <c r="AE810" s="52">
        <f t="shared" si="261"/>
        <v>17.818558907565432</v>
      </c>
      <c r="AF810" s="52">
        <f t="shared" si="262"/>
        <v>-0.91315599045999229</v>
      </c>
      <c r="AG810" s="52">
        <f t="shared" si="263"/>
        <v>7.3216528223344897</v>
      </c>
      <c r="AH810" s="52">
        <f t="shared" si="264"/>
        <v>-0.6199778288111184</v>
      </c>
      <c r="AI810" s="52">
        <f t="shared" si="265"/>
        <v>2.2659298170524869</v>
      </c>
      <c r="AJ810" s="52">
        <f t="shared" si="266"/>
        <v>-1.9740305131166149</v>
      </c>
      <c r="AK810" s="52">
        <f t="shared" si="267"/>
        <v>8.2309762681784555</v>
      </c>
      <c r="AM810" s="52">
        <f t="shared" si="268"/>
        <v>266108.79829063994</v>
      </c>
      <c r="AN810" s="57">
        <f t="shared" si="269"/>
        <v>276360.58043438417</v>
      </c>
      <c r="AO810" s="57">
        <f t="shared" si="270"/>
        <v>248412.97214938287</v>
      </c>
    </row>
    <row r="811" spans="12:41" x14ac:dyDescent="0.25">
      <c r="L811" s="6">
        <v>808</v>
      </c>
      <c r="M811" s="52">
        <f t="shared" si="256"/>
        <v>20174.497483512507</v>
      </c>
      <c r="N811" s="52">
        <f t="shared" si="257"/>
        <v>12496.954135095479</v>
      </c>
      <c r="P811" s="6">
        <v>808</v>
      </c>
      <c r="Q811" s="52">
        <f t="shared" si="271"/>
        <v>-19877.851761541246</v>
      </c>
      <c r="R811" s="52">
        <f t="shared" si="272"/>
        <v>13497.867894566836</v>
      </c>
      <c r="T811" s="6">
        <v>808</v>
      </c>
      <c r="U811" s="52">
        <f t="shared" si="258"/>
        <v>-4825.5025164874942</v>
      </c>
      <c r="V811" s="52">
        <f t="shared" si="259"/>
        <v>-10003.045864904521</v>
      </c>
      <c r="X811" s="6">
        <v>807</v>
      </c>
      <c r="Y811" s="55">
        <v>403.5</v>
      </c>
      <c r="Z811" s="52">
        <f t="shared" si="273"/>
        <v>53356.258042835791</v>
      </c>
      <c r="AA811" s="52">
        <f t="shared" si="274"/>
        <v>-257316.72195625943</v>
      </c>
      <c r="AB811" s="52">
        <f t="shared" si="275"/>
        <v>843.81275569842569</v>
      </c>
      <c r="AC811" s="52">
        <f t="shared" si="276"/>
        <v>-1503.0577585397048</v>
      </c>
      <c r="AD811" s="52">
        <f t="shared" si="260"/>
        <v>-3.5031287068324639</v>
      </c>
      <c r="AE811" s="52">
        <f t="shared" si="261"/>
        <v>17.702998466199787</v>
      </c>
      <c r="AF811" s="52">
        <f t="shared" si="262"/>
        <v>-0.91658214632916513</v>
      </c>
      <c r="AG811" s="52">
        <f t="shared" si="263"/>
        <v>7.2767838371682831</v>
      </c>
      <c r="AH811" s="52">
        <f t="shared" si="264"/>
        <v>-0.61792949723879997</v>
      </c>
      <c r="AI811" s="52">
        <f t="shared" si="265"/>
        <v>2.2517899905076715</v>
      </c>
      <c r="AJ811" s="52">
        <f t="shared" si="266"/>
        <v>-1.968617063264499</v>
      </c>
      <c r="AK811" s="52">
        <f t="shared" si="267"/>
        <v>8.1744246385238348</v>
      </c>
      <c r="AM811" s="52">
        <f t="shared" si="268"/>
        <v>266909.22834978765</v>
      </c>
      <c r="AN811" s="57">
        <f t="shared" si="269"/>
        <v>277199.15301365411</v>
      </c>
      <c r="AO811" s="57">
        <f t="shared" si="270"/>
        <v>249244.55178075444</v>
      </c>
    </row>
    <row r="812" spans="12:41" x14ac:dyDescent="0.25">
      <c r="L812" s="6">
        <v>809</v>
      </c>
      <c r="M812" s="52">
        <f t="shared" si="256"/>
        <v>20087.262032186423</v>
      </c>
      <c r="N812" s="52">
        <f t="shared" si="257"/>
        <v>12499.238475781956</v>
      </c>
      <c r="P812" s="6">
        <v>809</v>
      </c>
      <c r="Q812" s="52">
        <f t="shared" si="271"/>
        <v>-19938.916577469503</v>
      </c>
      <c r="R812" s="52">
        <f t="shared" si="272"/>
        <v>13499.46693304737</v>
      </c>
      <c r="T812" s="6">
        <v>809</v>
      </c>
      <c r="U812" s="52">
        <f t="shared" si="258"/>
        <v>-4912.7379678135767</v>
      </c>
      <c r="V812" s="52">
        <f t="shared" si="259"/>
        <v>-10000.761524218044</v>
      </c>
      <c r="X812" s="6">
        <v>808</v>
      </c>
      <c r="Y812" s="55">
        <v>404</v>
      </c>
      <c r="Z812" s="52">
        <f t="shared" si="273"/>
        <v>53777.72652959665</v>
      </c>
      <c r="AA812" s="52">
        <f t="shared" si="274"/>
        <v>-258066.03796072101</v>
      </c>
      <c r="AB812" s="52">
        <f t="shared" si="275"/>
        <v>842.06119134500943</v>
      </c>
      <c r="AC812" s="52">
        <f t="shared" si="276"/>
        <v>-1494.2062593066048</v>
      </c>
      <c r="AD812" s="52">
        <f t="shared" si="260"/>
        <v>-3.4990756993448331</v>
      </c>
      <c r="AE812" s="52">
        <f t="shared" si="261"/>
        <v>17.589110882050903</v>
      </c>
      <c r="AF812" s="52">
        <f t="shared" si="262"/>
        <v>-0.91991692388743618</v>
      </c>
      <c r="AG812" s="52">
        <f t="shared" si="263"/>
        <v>7.2325380607170731</v>
      </c>
      <c r="AH812" s="52">
        <f t="shared" si="264"/>
        <v>-0.61590601990265326</v>
      </c>
      <c r="AI812" s="52">
        <f t="shared" si="265"/>
        <v>2.2378500162271653</v>
      </c>
      <c r="AJ812" s="52">
        <f t="shared" si="266"/>
        <v>-1.9632527555547434</v>
      </c>
      <c r="AK812" s="52">
        <f t="shared" si="267"/>
        <v>8.1187228051066658</v>
      </c>
      <c r="AM812" s="52">
        <f t="shared" si="268"/>
        <v>267705.5384702814</v>
      </c>
      <c r="AN812" s="57">
        <f t="shared" si="269"/>
        <v>278033.36785327521</v>
      </c>
      <c r="AO812" s="57">
        <f t="shared" si="270"/>
        <v>250071.82957284639</v>
      </c>
    </row>
    <row r="813" spans="12:41" x14ac:dyDescent="0.25">
      <c r="L813" s="6">
        <v>810</v>
      </c>
      <c r="M813" s="52">
        <f t="shared" si="256"/>
        <v>20000.000000000011</v>
      </c>
      <c r="N813" s="52">
        <f t="shared" si="257"/>
        <v>12500</v>
      </c>
      <c r="P813" s="6">
        <v>810</v>
      </c>
      <c r="Q813" s="52">
        <f t="shared" si="271"/>
        <v>-19999.999999999993</v>
      </c>
      <c r="R813" s="52">
        <f t="shared" si="272"/>
        <v>13500</v>
      </c>
      <c r="T813" s="6">
        <v>810</v>
      </c>
      <c r="U813" s="52">
        <f t="shared" si="258"/>
        <v>-4999.9999999999882</v>
      </c>
      <c r="V813" s="52">
        <f t="shared" si="259"/>
        <v>-10000</v>
      </c>
      <c r="X813" s="6">
        <v>809</v>
      </c>
      <c r="Y813" s="55">
        <v>404.5</v>
      </c>
      <c r="Z813" s="52">
        <f t="shared" si="273"/>
        <v>54198.319740806735</v>
      </c>
      <c r="AA813" s="52">
        <f t="shared" si="274"/>
        <v>-258810.94245151404</v>
      </c>
      <c r="AB813" s="52">
        <f t="shared" si="275"/>
        <v>840.31165349533705</v>
      </c>
      <c r="AC813" s="52">
        <f t="shared" si="276"/>
        <v>-1485.4117038655793</v>
      </c>
      <c r="AD813" s="52">
        <f t="shared" si="260"/>
        <v>-3.4950074263803819</v>
      </c>
      <c r="AE813" s="52">
        <f t="shared" si="261"/>
        <v>17.476862570038925</v>
      </c>
      <c r="AF813" s="52">
        <f t="shared" si="262"/>
        <v>-0.92316305317555614</v>
      </c>
      <c r="AG813" s="52">
        <f t="shared" si="263"/>
        <v>7.1889035657574683</v>
      </c>
      <c r="AH813" s="52">
        <f t="shared" si="264"/>
        <v>-0.61390702210688541</v>
      </c>
      <c r="AI813" s="52">
        <f t="shared" si="265"/>
        <v>2.2241059604399078</v>
      </c>
      <c r="AJ813" s="52">
        <f t="shared" si="266"/>
        <v>-1.9579373510979401</v>
      </c>
      <c r="AK813" s="52">
        <f t="shared" si="267"/>
        <v>8.0638530438415508</v>
      </c>
      <c r="AM813" s="52">
        <f t="shared" si="268"/>
        <v>268497.75258371921</v>
      </c>
      <c r="AN813" s="57">
        <f t="shared" si="269"/>
        <v>278863.25221159955</v>
      </c>
      <c r="AO813" s="57">
        <f t="shared" si="270"/>
        <v>250894.83198988033</v>
      </c>
    </row>
    <row r="814" spans="12:41" x14ac:dyDescent="0.25">
      <c r="L814" s="6">
        <v>811</v>
      </c>
      <c r="M814" s="52">
        <f t="shared" si="256"/>
        <v>19912.73796781358</v>
      </c>
      <c r="N814" s="52">
        <f t="shared" si="257"/>
        <v>12499.238475781956</v>
      </c>
      <c r="P814" s="6">
        <v>811</v>
      </c>
      <c r="Q814" s="52">
        <f t="shared" si="271"/>
        <v>-20061.083422530493</v>
      </c>
      <c r="R814" s="52">
        <f t="shared" si="272"/>
        <v>13499.46693304737</v>
      </c>
      <c r="T814" s="6">
        <v>811</v>
      </c>
      <c r="U814" s="52">
        <f t="shared" si="258"/>
        <v>-5087.2620321864179</v>
      </c>
      <c r="V814" s="52">
        <f t="shared" si="259"/>
        <v>-10000.761524218044</v>
      </c>
      <c r="X814" s="6">
        <v>810</v>
      </c>
      <c r="Y814" s="55">
        <v>405</v>
      </c>
      <c r="Z814" s="52">
        <f t="shared" si="273"/>
        <v>54618.038691626112</v>
      </c>
      <c r="AA814" s="52">
        <f t="shared" si="274"/>
        <v>-259551.46369562557</v>
      </c>
      <c r="AB814" s="52">
        <f t="shared" si="275"/>
        <v>838.56414978214684</v>
      </c>
      <c r="AC814" s="52">
        <f t="shared" si="276"/>
        <v>-1476.6732725805598</v>
      </c>
      <c r="AD814" s="52">
        <f t="shared" si="260"/>
        <v>-3.4909259146936815</v>
      </c>
      <c r="AE814" s="52">
        <f t="shared" si="261"/>
        <v>17.366220827241399</v>
      </c>
      <c r="AF814" s="52">
        <f t="shared" si="262"/>
        <v>-0.92632317585562285</v>
      </c>
      <c r="AG814" s="52">
        <f t="shared" si="263"/>
        <v>7.1458687238472329</v>
      </c>
      <c r="AH814" s="52">
        <f t="shared" si="264"/>
        <v>-0.61193213708245908</v>
      </c>
      <c r="AI814" s="52">
        <f t="shared" si="265"/>
        <v>2.2105539910348782</v>
      </c>
      <c r="AJ814" s="52">
        <f t="shared" si="266"/>
        <v>-1.9526706017555997</v>
      </c>
      <c r="AK814" s="52">
        <f t="shared" si="267"/>
        <v>8.0097981123592881</v>
      </c>
      <c r="AM814" s="52">
        <f t="shared" si="268"/>
        <v>269285.89429235045</v>
      </c>
      <c r="AN814" s="57">
        <f t="shared" si="269"/>
        <v>279688.83295305009</v>
      </c>
      <c r="AO814" s="57">
        <f t="shared" si="270"/>
        <v>251713.58511830287</v>
      </c>
    </row>
    <row r="815" spans="12:41" x14ac:dyDescent="0.25">
      <c r="L815" s="6">
        <v>812</v>
      </c>
      <c r="M815" s="52">
        <f t="shared" si="256"/>
        <v>19825.502516487501</v>
      </c>
      <c r="N815" s="52">
        <f t="shared" si="257"/>
        <v>12496.954135095479</v>
      </c>
      <c r="P815" s="6">
        <v>812</v>
      </c>
      <c r="Q815" s="52">
        <f t="shared" si="271"/>
        <v>-20122.148238458751</v>
      </c>
      <c r="R815" s="52">
        <f t="shared" si="272"/>
        <v>13497.867894566836</v>
      </c>
      <c r="T815" s="6">
        <v>812</v>
      </c>
      <c r="U815" s="52">
        <f t="shared" si="258"/>
        <v>-5174.4974835125004</v>
      </c>
      <c r="V815" s="52">
        <f t="shared" si="259"/>
        <v>-10003.045864904521</v>
      </c>
      <c r="X815" s="6">
        <v>811</v>
      </c>
      <c r="Y815" s="55">
        <v>405.5</v>
      </c>
      <c r="Z815" s="52">
        <f t="shared" si="273"/>
        <v>55036.884400777853</v>
      </c>
      <c r="AA815" s="52">
        <f t="shared" si="274"/>
        <v>-260287.62955431244</v>
      </c>
      <c r="AB815" s="52">
        <f t="shared" si="275"/>
        <v>836.81868682480001</v>
      </c>
      <c r="AC815" s="52">
        <f t="shared" si="276"/>
        <v>-1467.9901621669392</v>
      </c>
      <c r="AD815" s="52">
        <f t="shared" si="260"/>
        <v>-3.4868331051881496</v>
      </c>
      <c r="AE815" s="52">
        <f t="shared" si="261"/>
        <v>17.257153804514438</v>
      </c>
      <c r="AF815" s="52">
        <f t="shared" si="262"/>
        <v>-0.92939984849725576</v>
      </c>
      <c r="AG815" s="52">
        <f t="shared" si="263"/>
        <v>7.1034221961725521</v>
      </c>
      <c r="AH815" s="52">
        <f t="shared" si="264"/>
        <v>-0.60998100578044301</v>
      </c>
      <c r="AI815" s="52">
        <f t="shared" si="265"/>
        <v>2.1971903743359875</v>
      </c>
      <c r="AJ815" s="52">
        <f t="shared" si="266"/>
        <v>-1.9474522509104506</v>
      </c>
      <c r="AK815" s="52">
        <f t="shared" si="267"/>
        <v>7.9565412340058996</v>
      </c>
      <c r="AM815" s="52">
        <f t="shared" si="268"/>
        <v>270069.98687531188</v>
      </c>
      <c r="AN815" s="57">
        <f t="shared" si="269"/>
        <v>280510.13655599853</v>
      </c>
      <c r="AO815" s="57">
        <f t="shared" si="270"/>
        <v>252528.11467423974</v>
      </c>
    </row>
    <row r="816" spans="12:41" x14ac:dyDescent="0.25">
      <c r="L816" s="6">
        <v>813</v>
      </c>
      <c r="M816" s="52">
        <f t="shared" si="256"/>
        <v>19738.320218785291</v>
      </c>
      <c r="N816" s="52">
        <f t="shared" si="257"/>
        <v>12493.14767377287</v>
      </c>
      <c r="P816" s="6">
        <v>813</v>
      </c>
      <c r="Q816" s="52">
        <f t="shared" si="271"/>
        <v>-20183.175846850296</v>
      </c>
      <c r="R816" s="52">
        <f t="shared" si="272"/>
        <v>13495.203371641008</v>
      </c>
      <c r="T816" s="6">
        <v>813</v>
      </c>
      <c r="U816" s="52">
        <f t="shared" si="258"/>
        <v>-5261.6797812147088</v>
      </c>
      <c r="V816" s="52">
        <f t="shared" si="259"/>
        <v>-10006.85232622713</v>
      </c>
      <c r="X816" s="6">
        <v>812</v>
      </c>
      <c r="Y816" s="55">
        <v>406</v>
      </c>
      <c r="Z816" s="52">
        <f t="shared" si="273"/>
        <v>55454.857890052102</v>
      </c>
      <c r="AA816" s="52">
        <f t="shared" si="274"/>
        <v>-261019.46749117036</v>
      </c>
      <c r="AB816" s="52">
        <f t="shared" si="275"/>
        <v>835.0752702722059</v>
      </c>
      <c r="AC816" s="52">
        <f t="shared" si="276"/>
        <v>-1459.3615852646819</v>
      </c>
      <c r="AD816" s="52">
        <f t="shared" si="260"/>
        <v>-3.4827308565874731</v>
      </c>
      <c r="AE816" s="52">
        <f t="shared" si="261"/>
        <v>17.14963047919284</v>
      </c>
      <c r="AF816" s="52">
        <f t="shared" si="262"/>
        <v>-0.9323955457251244</v>
      </c>
      <c r="AG816" s="52">
        <f t="shared" si="263"/>
        <v>7.061552924726211</v>
      </c>
      <c r="AH816" s="52">
        <f t="shared" si="264"/>
        <v>-0.60805327667194131</v>
      </c>
      <c r="AI816" s="52">
        <f t="shared" si="265"/>
        <v>2.1840114719985064</v>
      </c>
      <c r="AJ816" s="52">
        <f t="shared" si="266"/>
        <v>-1.9422820341904077</v>
      </c>
      <c r="AK816" s="52">
        <f t="shared" si="267"/>
        <v>7.9040660824681233</v>
      </c>
      <c r="AM816" s="52">
        <f t="shared" si="268"/>
        <v>270850.0532947068</v>
      </c>
      <c r="AN816" s="57">
        <f t="shared" si="269"/>
        <v>281327.18912043597</v>
      </c>
      <c r="AO816" s="57">
        <f t="shared" si="270"/>
        <v>253338.44601075735</v>
      </c>
    </row>
    <row r="817" spans="12:41" x14ac:dyDescent="0.25">
      <c r="L817" s="6">
        <v>814</v>
      </c>
      <c r="M817" s="52">
        <f t="shared" si="256"/>
        <v>19651.217631279371</v>
      </c>
      <c r="N817" s="52">
        <f t="shared" si="257"/>
        <v>12487.820251299121</v>
      </c>
      <c r="P817" s="6">
        <v>814</v>
      </c>
      <c r="Q817" s="52">
        <f t="shared" si="271"/>
        <v>-20244.147658104441</v>
      </c>
      <c r="R817" s="52">
        <f t="shared" si="272"/>
        <v>13491.474175909385</v>
      </c>
      <c r="T817" s="6">
        <v>814</v>
      </c>
      <c r="U817" s="52">
        <f t="shared" si="258"/>
        <v>-5348.7823687206283</v>
      </c>
      <c r="V817" s="52">
        <f t="shared" si="259"/>
        <v>-10012.179748700879</v>
      </c>
      <c r="X817" s="6">
        <v>813</v>
      </c>
      <c r="Y817" s="55">
        <v>406.5</v>
      </c>
      <c r="Z817" s="52">
        <f t="shared" si="273"/>
        <v>55871.960183831136</v>
      </c>
      <c r="AA817" s="52">
        <f t="shared" si="274"/>
        <v>-261747.00457999279</v>
      </c>
      <c r="AB817" s="52">
        <f t="shared" si="275"/>
        <v>833.33390484391214</v>
      </c>
      <c r="AC817" s="52">
        <f t="shared" si="276"/>
        <v>-1450.7867700250856</v>
      </c>
      <c r="AD817" s="52">
        <f t="shared" si="260"/>
        <v>-3.4786209489378566</v>
      </c>
      <c r="AE817" s="52">
        <f t="shared" si="261"/>
        <v>17.043620628822957</v>
      </c>
      <c r="AF817" s="52">
        <f t="shared" si="262"/>
        <v>-0.93531266323448869</v>
      </c>
      <c r="AG817" s="52">
        <f t="shared" si="263"/>
        <v>7.0202501238036916</v>
      </c>
      <c r="AH817" s="52">
        <f t="shared" si="264"/>
        <v>-0.60614860555418526</v>
      </c>
      <c r="AI817" s="52">
        <f t="shared" si="265"/>
        <v>2.1710137380211281</v>
      </c>
      <c r="AJ817" s="52">
        <f t="shared" si="266"/>
        <v>-1.9371596801491824</v>
      </c>
      <c r="AK817" s="52">
        <f t="shared" si="267"/>
        <v>7.8523567669981373</v>
      </c>
      <c r="AM817" s="52">
        <f t="shared" si="268"/>
        <v>271626.11620153359</v>
      </c>
      <c r="AN817" s="57">
        <f t="shared" si="269"/>
        <v>282140.01637544343</v>
      </c>
      <c r="AO817" s="57">
        <f t="shared" si="270"/>
        <v>254144.60412493692</v>
      </c>
    </row>
    <row r="818" spans="12:41" x14ac:dyDescent="0.25">
      <c r="L818" s="6">
        <v>815</v>
      </c>
      <c r="M818" s="52">
        <f t="shared" si="256"/>
        <v>19564.221286261713</v>
      </c>
      <c r="N818" s="52">
        <f t="shared" si="257"/>
        <v>12480.973490458728</v>
      </c>
      <c r="P818" s="6">
        <v>815</v>
      </c>
      <c r="Q818" s="52">
        <f t="shared" si="271"/>
        <v>-20305.0450996168</v>
      </c>
      <c r="R818" s="52">
        <f t="shared" si="272"/>
        <v>13486.681443321109</v>
      </c>
      <c r="T818" s="6">
        <v>815</v>
      </c>
      <c r="U818" s="52">
        <f t="shared" si="258"/>
        <v>-5435.7787137382875</v>
      </c>
      <c r="V818" s="52">
        <f t="shared" si="259"/>
        <v>-10019.026509541272</v>
      </c>
      <c r="X818" s="6">
        <v>814</v>
      </c>
      <c r="Y818" s="55">
        <v>407</v>
      </c>
      <c r="Z818" s="52">
        <f t="shared" si="273"/>
        <v>56288.192308634476</v>
      </c>
      <c r="AA818" s="52">
        <f t="shared" si="274"/>
        <v>-262470.26751242671</v>
      </c>
      <c r="AB818" s="52">
        <f t="shared" si="275"/>
        <v>831.59459436944326</v>
      </c>
      <c r="AC818" s="52">
        <f t="shared" si="276"/>
        <v>-1442.2649597106742</v>
      </c>
      <c r="AD818" s="52">
        <f t="shared" si="260"/>
        <v>-3.4745050869496019</v>
      </c>
      <c r="AE818" s="52">
        <f t="shared" si="261"/>
        <v>16.939094805882682</v>
      </c>
      <c r="AF818" s="52">
        <f t="shared" si="262"/>
        <v>-0.93815352068083868</v>
      </c>
      <c r="AG818" s="52">
        <f t="shared" si="263"/>
        <v>6.9795032718030043</v>
      </c>
      <c r="AH818" s="52">
        <f t="shared" si="264"/>
        <v>-0.60426665536269986</v>
      </c>
      <c r="AI818" s="52">
        <f t="shared" si="265"/>
        <v>2.1581937158691766</v>
      </c>
      <c r="AJ818" s="52">
        <f t="shared" si="266"/>
        <v>-1.9320849109060634</v>
      </c>
      <c r="AK818" s="52">
        <f t="shared" si="267"/>
        <v>7.8013978182105008</v>
      </c>
      <c r="AM818" s="52">
        <f t="shared" si="268"/>
        <v>272398.19794146891</v>
      </c>
      <c r="AN818" s="57">
        <f t="shared" si="269"/>
        <v>282948.6436864693</v>
      </c>
      <c r="AO818" s="57">
        <f t="shared" si="270"/>
        <v>254946.61366476747</v>
      </c>
    </row>
    <row r="819" spans="12:41" x14ac:dyDescent="0.25">
      <c r="L819" s="6">
        <v>816</v>
      </c>
      <c r="M819" s="52">
        <f t="shared" si="256"/>
        <v>19477.357683661743</v>
      </c>
      <c r="N819" s="52">
        <f t="shared" si="257"/>
        <v>12472.609476841368</v>
      </c>
      <c r="P819" s="6">
        <v>816</v>
      </c>
      <c r="Q819" s="52">
        <f t="shared" si="271"/>
        <v>-20365.849621436781</v>
      </c>
      <c r="R819" s="52">
        <f t="shared" si="272"/>
        <v>13480.826633788958</v>
      </c>
      <c r="T819" s="6">
        <v>816</v>
      </c>
      <c r="U819" s="52">
        <f t="shared" si="258"/>
        <v>-5522.6423163382588</v>
      </c>
      <c r="V819" s="52">
        <f t="shared" si="259"/>
        <v>-10027.390523158632</v>
      </c>
      <c r="X819" s="6">
        <v>815</v>
      </c>
      <c r="Y819" s="55">
        <v>407.5</v>
      </c>
      <c r="Z819" s="52">
        <f t="shared" si="273"/>
        <v>56703.555292683326</v>
      </c>
      <c r="AA819" s="52">
        <f t="shared" si="274"/>
        <v>-263189.28260543128</v>
      </c>
      <c r="AB819" s="52">
        <f t="shared" si="275"/>
        <v>829.85734182596843</v>
      </c>
      <c r="AC819" s="52">
        <f t="shared" si="276"/>
        <v>-1433.7954123077329</v>
      </c>
      <c r="AD819" s="52">
        <f t="shared" si="260"/>
        <v>-3.4703849031860772</v>
      </c>
      <c r="AE819" s="52">
        <f t="shared" si="261"/>
        <v>16.836024313446167</v>
      </c>
      <c r="AF819" s="52">
        <f t="shared" si="262"/>
        <v>-0.94092036444968763</v>
      </c>
      <c r="AG819" s="52">
        <f t="shared" si="263"/>
        <v>6.9393021033169369</v>
      </c>
      <c r="AH819" s="52">
        <f t="shared" si="264"/>
        <v>-0.60240709598920916</v>
      </c>
      <c r="AI819" s="52">
        <f t="shared" si="265"/>
        <v>2.1455480357037828</v>
      </c>
      <c r="AJ819" s="52">
        <f t="shared" si="266"/>
        <v>-1.92705744274718</v>
      </c>
      <c r="AK819" s="52">
        <f t="shared" si="267"/>
        <v>7.7511741744254454</v>
      </c>
      <c r="AM819" s="52">
        <f t="shared" si="268"/>
        <v>273166.32056050777</v>
      </c>
      <c r="AN819" s="57">
        <f t="shared" si="269"/>
        <v>283753.09606241819</v>
      </c>
      <c r="AO819" s="57">
        <f t="shared" si="270"/>
        <v>255744.49893586343</v>
      </c>
    </row>
    <row r="820" spans="12:41" x14ac:dyDescent="0.25">
      <c r="L820" s="6">
        <v>817</v>
      </c>
      <c r="M820" s="52">
        <f t="shared" si="256"/>
        <v>19390.653282974268</v>
      </c>
      <c r="N820" s="52">
        <f t="shared" si="257"/>
        <v>12462.730758206611</v>
      </c>
      <c r="P820" s="6">
        <v>817</v>
      </c>
      <c r="Q820" s="52">
        <f t="shared" si="271"/>
        <v>-20426.542701918013</v>
      </c>
      <c r="R820" s="52">
        <f t="shared" si="272"/>
        <v>13473.911530744628</v>
      </c>
      <c r="T820" s="6">
        <v>817</v>
      </c>
      <c r="U820" s="52">
        <f t="shared" si="258"/>
        <v>-5609.3467170257318</v>
      </c>
      <c r="V820" s="52">
        <f t="shared" si="259"/>
        <v>-10037.269241793389</v>
      </c>
      <c r="X820" s="6">
        <v>816</v>
      </c>
      <c r="Y820" s="55">
        <v>408</v>
      </c>
      <c r="Z820" s="52">
        <f t="shared" si="273"/>
        <v>57118.050165483408</v>
      </c>
      <c r="AA820" s="52">
        <f t="shared" si="274"/>
        <v>-263904.07580854598</v>
      </c>
      <c r="AB820" s="52">
        <f t="shared" si="275"/>
        <v>828.12214937437534</v>
      </c>
      <c r="AC820" s="52">
        <f t="shared" si="276"/>
        <v>-1425.3774001510099</v>
      </c>
      <c r="AD820" s="52">
        <f t="shared" si="260"/>
        <v>-3.4662619611077385</v>
      </c>
      <c r="AE820" s="52">
        <f t="shared" si="261"/>
        <v>16.734381181752223</v>
      </c>
      <c r="AF820" s="52">
        <f t="shared" si="262"/>
        <v>-0.94361537031193388</v>
      </c>
      <c r="AG820" s="52">
        <f t="shared" si="263"/>
        <v>6.8996366015044952</v>
      </c>
      <c r="AH820" s="52">
        <f t="shared" si="264"/>
        <v>-0.60056960410520377</v>
      </c>
      <c r="AI820" s="52">
        <f t="shared" si="265"/>
        <v>2.1330734117129766</v>
      </c>
      <c r="AJ820" s="52">
        <f t="shared" si="266"/>
        <v>-1.9220769866906007</v>
      </c>
      <c r="AK820" s="52">
        <f t="shared" si="267"/>
        <v>7.7016711685347508</v>
      </c>
      <c r="AM820" s="52">
        <f t="shared" si="268"/>
        <v>273930.505810467</v>
      </c>
      <c r="AN820" s="57">
        <f t="shared" si="269"/>
        <v>284553.39816255879</v>
      </c>
      <c r="AO820" s="57">
        <f t="shared" si="270"/>
        <v>256538.28390801229</v>
      </c>
    </row>
    <row r="821" spans="12:41" x14ac:dyDescent="0.25">
      <c r="L821" s="6">
        <v>818</v>
      </c>
      <c r="M821" s="52">
        <f t="shared" si="256"/>
        <v>19304.134495199676</v>
      </c>
      <c r="N821" s="52">
        <f t="shared" si="257"/>
        <v>12451.340343707852</v>
      </c>
      <c r="P821" s="6">
        <v>818</v>
      </c>
      <c r="Q821" s="52">
        <f t="shared" si="271"/>
        <v>-20487.105853360226</v>
      </c>
      <c r="R821" s="52">
        <f t="shared" si="272"/>
        <v>13465.938240595497</v>
      </c>
      <c r="T821" s="6">
        <v>818</v>
      </c>
      <c r="U821" s="52">
        <f t="shared" si="258"/>
        <v>-5695.8655048003257</v>
      </c>
      <c r="V821" s="52">
        <f t="shared" si="259"/>
        <v>-10048.659656292148</v>
      </c>
      <c r="X821" s="6">
        <v>817</v>
      </c>
      <c r="Y821" s="55">
        <v>408.5</v>
      </c>
      <c r="Z821" s="52">
        <f t="shared" si="273"/>
        <v>57531.677957425461</v>
      </c>
      <c r="AA821" s="52">
        <f t="shared" si="274"/>
        <v>-264614.67271097377</v>
      </c>
      <c r="AB821" s="52">
        <f t="shared" si="275"/>
        <v>826.38901839382152</v>
      </c>
      <c r="AC821" s="52">
        <f t="shared" si="276"/>
        <v>-1417.0102095601337</v>
      </c>
      <c r="AD821" s="52">
        <f t="shared" si="260"/>
        <v>-3.4621377579785015</v>
      </c>
      <c r="AE821" s="52">
        <f t="shared" si="261"/>
        <v>16.634138145638499</v>
      </c>
      <c r="AF821" s="52">
        <f t="shared" si="262"/>
        <v>-0.94624064597024105</v>
      </c>
      <c r="AG821" s="52">
        <f t="shared" si="263"/>
        <v>6.8604969907312707</v>
      </c>
      <c r="AH821" s="52">
        <f t="shared" si="264"/>
        <v>-0.59875386299082256</v>
      </c>
      <c r="AI821" s="52">
        <f t="shared" si="265"/>
        <v>2.1207666395398612</v>
      </c>
      <c r="AJ821" s="52">
        <f t="shared" si="266"/>
        <v>-1.9171432490174378</v>
      </c>
      <c r="AK821" s="52">
        <f t="shared" si="267"/>
        <v>7.6528745153673672</v>
      </c>
      <c r="AM821" s="52">
        <f t="shared" si="268"/>
        <v>274690.77515435475</v>
      </c>
      <c r="AN821" s="57">
        <f t="shared" si="269"/>
        <v>285349.57430325559</v>
      </c>
      <c r="AO821" s="57">
        <f t="shared" si="270"/>
        <v>257327.99222155704</v>
      </c>
    </row>
    <row r="822" spans="12:41" x14ac:dyDescent="0.25">
      <c r="L822" s="6">
        <v>819</v>
      </c>
      <c r="M822" s="52">
        <f t="shared" si="256"/>
        <v>19217.827674798846</v>
      </c>
      <c r="N822" s="52">
        <f t="shared" si="257"/>
        <v>12438.441702975688</v>
      </c>
      <c r="P822" s="6">
        <v>819</v>
      </c>
      <c r="Q822" s="52">
        <f t="shared" si="271"/>
        <v>-20547.52062764081</v>
      </c>
      <c r="R822" s="52">
        <f t="shared" si="272"/>
        <v>13456.909192082981</v>
      </c>
      <c r="T822" s="6">
        <v>819</v>
      </c>
      <c r="U822" s="52">
        <f t="shared" si="258"/>
        <v>-5782.1723252011561</v>
      </c>
      <c r="V822" s="52">
        <f t="shared" si="259"/>
        <v>-10061.558297024312</v>
      </c>
      <c r="X822" s="6">
        <v>818</v>
      </c>
      <c r="Y822" s="55">
        <v>409</v>
      </c>
      <c r="Z822" s="52">
        <f t="shared" si="273"/>
        <v>57944.439699402625</v>
      </c>
      <c r="AA822" s="52">
        <f t="shared" si="274"/>
        <v>-265321.09854848566</v>
      </c>
      <c r="AB822" s="52">
        <f t="shared" si="275"/>
        <v>824.65794951483224</v>
      </c>
      <c r="AC822" s="52">
        <f t="shared" si="276"/>
        <v>-1408.6931404873144</v>
      </c>
      <c r="AD822" s="52">
        <f t="shared" si="260"/>
        <v>-3.4580137276410499</v>
      </c>
      <c r="AE822" s="52">
        <f t="shared" si="261"/>
        <v>16.535268622803336</v>
      </c>
      <c r="AF822" s="52">
        <f t="shared" si="262"/>
        <v>-0.94879823350135062</v>
      </c>
      <c r="AG822" s="52">
        <f t="shared" si="263"/>
        <v>6.8218737294670433</v>
      </c>
      <c r="AH822" s="52">
        <f t="shared" si="264"/>
        <v>-0.59695956236899472</v>
      </c>
      <c r="AI822" s="52">
        <f t="shared" si="265"/>
        <v>2.1086245938042771</v>
      </c>
      <c r="AJ822" s="52">
        <f t="shared" si="266"/>
        <v>-1.9122559317707049</v>
      </c>
      <c r="AK822" s="52">
        <f t="shared" si="267"/>
        <v>7.6047702995320137</v>
      </c>
      <c r="AM822" s="52">
        <f t="shared" si="268"/>
        <v>275447.14977161068</v>
      </c>
      <c r="AN822" s="57">
        <f t="shared" si="269"/>
        <v>286141.64846453018</v>
      </c>
      <c r="AO822" s="57">
        <f t="shared" si="270"/>
        <v>258113.64719361975</v>
      </c>
    </row>
    <row r="823" spans="12:41" x14ac:dyDescent="0.25">
      <c r="L823" s="6">
        <v>820</v>
      </c>
      <c r="M823" s="52">
        <f t="shared" si="256"/>
        <v>19131.759111665353</v>
      </c>
      <c r="N823" s="52">
        <f t="shared" si="257"/>
        <v>12424.038765061041</v>
      </c>
      <c r="P823" s="6">
        <v>820</v>
      </c>
      <c r="Q823" s="52">
        <f t="shared" si="271"/>
        <v>-20607.768621834253</v>
      </c>
      <c r="R823" s="52">
        <f t="shared" si="272"/>
        <v>13446.827135542728</v>
      </c>
      <c r="T823" s="6">
        <v>820</v>
      </c>
      <c r="U823" s="52">
        <f t="shared" si="258"/>
        <v>-5868.2408883346479</v>
      </c>
      <c r="V823" s="52">
        <f t="shared" si="259"/>
        <v>-10075.961234938959</v>
      </c>
      <c r="X823" s="6">
        <v>819</v>
      </c>
      <c r="Y823" s="55">
        <v>409.5</v>
      </c>
      <c r="Z823" s="52">
        <f t="shared" si="273"/>
        <v>58356.336422444088</v>
      </c>
      <c r="AA823" s="52">
        <f t="shared" si="274"/>
        <v>-266023.37821015145</v>
      </c>
      <c r="AB823" s="52">
        <f t="shared" si="275"/>
        <v>822.92894265101177</v>
      </c>
      <c r="AC823" s="52">
        <f t="shared" si="276"/>
        <v>-1400.4255061759127</v>
      </c>
      <c r="AD823" s="52">
        <f t="shared" si="260"/>
        <v>-3.4538912431678082</v>
      </c>
      <c r="AE823" s="52">
        <f t="shared" si="261"/>
        <v>16.437746692861509</v>
      </c>
      <c r="AF823" s="52">
        <f t="shared" si="262"/>
        <v>-0.95129011169916455</v>
      </c>
      <c r="AG823" s="52">
        <f t="shared" si="263"/>
        <v>6.7837575034307118</v>
      </c>
      <c r="AH823" s="52">
        <f t="shared" si="264"/>
        <v>-0.59518639824452679</v>
      </c>
      <c r="AI823" s="52">
        <f t="shared" si="265"/>
        <v>2.0966442257135642</v>
      </c>
      <c r="AJ823" s="52">
        <f t="shared" si="266"/>
        <v>-1.9074147332241167</v>
      </c>
      <c r="AK823" s="52">
        <f t="shared" si="267"/>
        <v>7.5573449637172345</v>
      </c>
      <c r="AM823" s="52">
        <f t="shared" si="268"/>
        <v>276199.65056322078</v>
      </c>
      <c r="AN823" s="57">
        <f t="shared" si="269"/>
        <v>286929.64429645735</v>
      </c>
      <c r="AO823" s="57">
        <f t="shared" si="270"/>
        <v>258895.27182416958</v>
      </c>
    </row>
    <row r="824" spans="12:41" x14ac:dyDescent="0.25">
      <c r="L824" s="6">
        <v>821</v>
      </c>
      <c r="M824" s="52">
        <f t="shared" si="256"/>
        <v>19045.955023117283</v>
      </c>
      <c r="N824" s="52">
        <f t="shared" si="257"/>
        <v>12408.135917238322</v>
      </c>
      <c r="P824" s="6">
        <v>821</v>
      </c>
      <c r="Q824" s="52">
        <f t="shared" si="271"/>
        <v>-20667.831483817899</v>
      </c>
      <c r="R824" s="52">
        <f t="shared" si="272"/>
        <v>13435.695142066825</v>
      </c>
      <c r="T824" s="6">
        <v>821</v>
      </c>
      <c r="U824" s="52">
        <f t="shared" si="258"/>
        <v>-5954.0449768827148</v>
      </c>
      <c r="V824" s="52">
        <f t="shared" si="259"/>
        <v>-10091.864082761678</v>
      </c>
      <c r="X824" s="6">
        <v>820</v>
      </c>
      <c r="Y824" s="55">
        <v>410</v>
      </c>
      <c r="Z824" s="52">
        <f t="shared" si="273"/>
        <v>58767.369157364199</v>
      </c>
      <c r="AA824" s="52">
        <f t="shared" si="274"/>
        <v>-266721.53624490282</v>
      </c>
      <c r="AB824" s="52">
        <f t="shared" si="275"/>
        <v>821.20199702942784</v>
      </c>
      <c r="AC824" s="52">
        <f t="shared" si="276"/>
        <v>-1392.206632829482</v>
      </c>
      <c r="AD824" s="52">
        <f t="shared" si="260"/>
        <v>-3.4497716193934571</v>
      </c>
      <c r="AE824" s="52">
        <f t="shared" si="261"/>
        <v>16.341547077159554</v>
      </c>
      <c r="AF824" s="52">
        <f t="shared" si="262"/>
        <v>-0.95371819832307536</v>
      </c>
      <c r="AG824" s="52">
        <f t="shared" si="263"/>
        <v>6.7461392189723748</v>
      </c>
      <c r="AH824" s="52">
        <f t="shared" si="264"/>
        <v>-0.5934340727481211</v>
      </c>
      <c r="AI824" s="52">
        <f t="shared" si="265"/>
        <v>2.0848225607593043</v>
      </c>
      <c r="AJ824" s="52">
        <f t="shared" si="266"/>
        <v>-1.9026193483222607</v>
      </c>
      <c r="AK824" s="52">
        <f t="shared" si="267"/>
        <v>7.510585297427876</v>
      </c>
      <c r="AM824" s="52">
        <f t="shared" si="268"/>
        <v>276948.29815670993</v>
      </c>
      <c r="AN824" s="57">
        <f t="shared" si="269"/>
        <v>287713.58512540133</v>
      </c>
      <c r="AO824" s="57">
        <f t="shared" si="270"/>
        <v>259672.8888019415</v>
      </c>
    </row>
    <row r="825" spans="12:41" x14ac:dyDescent="0.25">
      <c r="L825" s="6">
        <v>822</v>
      </c>
      <c r="M825" s="52">
        <f t="shared" si="256"/>
        <v>18960.441545911199</v>
      </c>
      <c r="N825" s="52">
        <f t="shared" si="257"/>
        <v>12390.738003669027</v>
      </c>
      <c r="P825" s="6">
        <v>822</v>
      </c>
      <c r="Q825" s="52">
        <f t="shared" si="271"/>
        <v>-20727.690917862161</v>
      </c>
      <c r="R825" s="52">
        <f t="shared" si="272"/>
        <v>13423.516602568319</v>
      </c>
      <c r="T825" s="6">
        <v>822</v>
      </c>
      <c r="U825" s="52">
        <f t="shared" si="258"/>
        <v>-6039.5584540887994</v>
      </c>
      <c r="V825" s="52">
        <f t="shared" si="259"/>
        <v>-10109.261996330973</v>
      </c>
      <c r="X825" s="6">
        <v>821</v>
      </c>
      <c r="Y825" s="55">
        <v>410.5</v>
      </c>
      <c r="Z825" s="52">
        <f t="shared" si="273"/>
        <v>59177.538934426491</v>
      </c>
      <c r="AA825" s="52">
        <f t="shared" si="274"/>
        <v>-267415.59686793294</v>
      </c>
      <c r="AB825" s="52">
        <f t="shared" si="275"/>
        <v>819.47711121973111</v>
      </c>
      <c r="AC825" s="52">
        <f t="shared" si="276"/>
        <v>-1384.0358592909022</v>
      </c>
      <c r="AD825" s="52">
        <f t="shared" si="260"/>
        <v>-3.4456561153350593</v>
      </c>
      <c r="AE825" s="52">
        <f t="shared" si="261"/>
        <v>16.246645119320128</v>
      </c>
      <c r="AF825" s="52">
        <f t="shared" si="262"/>
        <v>-0.95608435225592425</v>
      </c>
      <c r="AG825" s="52">
        <f t="shared" si="263"/>
        <v>6.7090099966836041</v>
      </c>
      <c r="AH825" s="52">
        <f t="shared" si="264"/>
        <v>-0.59170229398496776</v>
      </c>
      <c r="AI825" s="52">
        <f t="shared" si="265"/>
        <v>2.0731566964958219</v>
      </c>
      <c r="AJ825" s="52">
        <f t="shared" si="266"/>
        <v>-1.8978694690941675</v>
      </c>
      <c r="AK825" s="52">
        <f t="shared" si="267"/>
        <v>7.4644784261406993</v>
      </c>
      <c r="AM825" s="52">
        <f t="shared" si="268"/>
        <v>277693.1129110161</v>
      </c>
      <c r="AN825" s="57">
        <f t="shared" si="269"/>
        <v>288493.49396009627</v>
      </c>
      <c r="AO825" s="57">
        <f t="shared" si="270"/>
        <v>260446.52051020891</v>
      </c>
    </row>
    <row r="826" spans="12:41" x14ac:dyDescent="0.25">
      <c r="L826" s="6">
        <v>823</v>
      </c>
      <c r="M826" s="52">
        <f t="shared" si="256"/>
        <v>18875.244728280679</v>
      </c>
      <c r="N826" s="52">
        <f t="shared" si="257"/>
        <v>12371.850323926177</v>
      </c>
      <c r="P826" s="6">
        <v>823</v>
      </c>
      <c r="Q826" s="52">
        <f t="shared" si="271"/>
        <v>-20787.328690203525</v>
      </c>
      <c r="R826" s="52">
        <f t="shared" si="272"/>
        <v>13410.295226748323</v>
      </c>
      <c r="T826" s="6">
        <v>823</v>
      </c>
      <c r="U826" s="52">
        <f t="shared" si="258"/>
        <v>-6124.755271719323</v>
      </c>
      <c r="V826" s="52">
        <f t="shared" si="259"/>
        <v>-10128.149676073823</v>
      </c>
      <c r="X826" s="6">
        <v>822</v>
      </c>
      <c r="Y826" s="55">
        <v>411</v>
      </c>
      <c r="Z826" s="52">
        <f t="shared" si="273"/>
        <v>59586.846783021938</v>
      </c>
      <c r="AA826" s="52">
        <f t="shared" si="274"/>
        <v>-268105.58396693843</v>
      </c>
      <c r="AB826" s="52">
        <f t="shared" si="275"/>
        <v>817.75428316206353</v>
      </c>
      <c r="AC826" s="52">
        <f t="shared" si="276"/>
        <v>-1375.9125367312422</v>
      </c>
      <c r="AD826" s="52">
        <f t="shared" si="260"/>
        <v>-3.4415459365048404</v>
      </c>
      <c r="AE826" s="52">
        <f t="shared" si="261"/>
        <v>16.153016766483056</v>
      </c>
      <c r="AF826" s="52">
        <f t="shared" si="262"/>
        <v>-0.95839037557548568</v>
      </c>
      <c r="AG826" s="52">
        <f t="shared" si="263"/>
        <v>6.6723611652256913</v>
      </c>
      <c r="AH826" s="52">
        <f t="shared" si="264"/>
        <v>-0.58999077588790305</v>
      </c>
      <c r="AI826" s="52">
        <f t="shared" si="265"/>
        <v>2.0616438003976194</v>
      </c>
      <c r="AJ826" s="52">
        <f t="shared" si="266"/>
        <v>-1.8931647850414517</v>
      </c>
      <c r="AK826" s="52">
        <f t="shared" si="267"/>
        <v>7.4190118008597468</v>
      </c>
      <c r="AM826" s="52">
        <f t="shared" si="268"/>
        <v>278434.11492124957</v>
      </c>
      <c r="AN826" s="57">
        <f t="shared" si="269"/>
        <v>289269.393497577</v>
      </c>
      <c r="AO826" s="57">
        <f t="shared" si="270"/>
        <v>261216.18903241519</v>
      </c>
    </row>
    <row r="827" spans="12:41" x14ac:dyDescent="0.25">
      <c r="L827" s="6">
        <v>824</v>
      </c>
      <c r="M827" s="52">
        <f t="shared" si="256"/>
        <v>18790.390522001668</v>
      </c>
      <c r="N827" s="52">
        <f t="shared" si="257"/>
        <v>12351.478631379985</v>
      </c>
      <c r="P827" s="6">
        <v>824</v>
      </c>
      <c r="Q827" s="52">
        <f t="shared" si="271"/>
        <v>-20846.726634598832</v>
      </c>
      <c r="R827" s="52">
        <f t="shared" si="272"/>
        <v>13396.035041965988</v>
      </c>
      <c r="T827" s="6">
        <v>824</v>
      </c>
      <c r="U827" s="52">
        <f t="shared" si="258"/>
        <v>-6209.6094779983314</v>
      </c>
      <c r="V827" s="52">
        <f t="shared" si="259"/>
        <v>-10148.521368620015</v>
      </c>
      <c r="X827" s="6">
        <v>823</v>
      </c>
      <c r="Y827" s="55">
        <v>411.5</v>
      </c>
      <c r="Z827" s="52">
        <f t="shared" si="273"/>
        <v>59995.293731360907</v>
      </c>
      <c r="AA827" s="52">
        <f t="shared" si="274"/>
        <v>-268791.52110820822</v>
      </c>
      <c r="AB827" s="52">
        <f t="shared" si="275"/>
        <v>816.03351019381114</v>
      </c>
      <c r="AC827" s="52">
        <f t="shared" si="276"/>
        <v>-1367.8360283480006</v>
      </c>
      <c r="AD827" s="52">
        <f t="shared" si="260"/>
        <v>-3.4374422371212248</v>
      </c>
      <c r="AE827" s="52">
        <f t="shared" si="261"/>
        <v>16.060638551216613</v>
      </c>
      <c r="AF827" s="52">
        <f t="shared" si="262"/>
        <v>-0.96063801554361217</v>
      </c>
      <c r="AG827" s="52">
        <f t="shared" si="263"/>
        <v>6.6361842553689865</v>
      </c>
      <c r="AH827" s="52">
        <f t="shared" si="264"/>
        <v>-0.58829923807489215</v>
      </c>
      <c r="AI827" s="52">
        <f t="shared" si="265"/>
        <v>2.0502811077922254</v>
      </c>
      <c r="AJ827" s="52">
        <f t="shared" si="266"/>
        <v>-1.8885049835027201</v>
      </c>
      <c r="AK827" s="52">
        <f t="shared" si="267"/>
        <v>7.3741731880554031</v>
      </c>
      <c r="AM827" s="52">
        <f t="shared" si="268"/>
        <v>279171.32402334112</v>
      </c>
      <c r="AN827" s="57">
        <f t="shared" si="269"/>
        <v>290041.30612896365</v>
      </c>
      <c r="AO827" s="57">
        <f t="shared" si="270"/>
        <v>261981.91615766913</v>
      </c>
    </row>
    <row r="828" spans="12:41" x14ac:dyDescent="0.25">
      <c r="L828" s="6">
        <v>825</v>
      </c>
      <c r="M828" s="52">
        <f t="shared" si="256"/>
        <v>18705.904774487393</v>
      </c>
      <c r="N828" s="52">
        <f t="shared" si="257"/>
        <v>12329.629131445341</v>
      </c>
      <c r="P828" s="6">
        <v>825</v>
      </c>
      <c r="Q828" s="52">
        <f t="shared" si="271"/>
        <v>-20905.866657858827</v>
      </c>
      <c r="R828" s="52">
        <f t="shared" si="272"/>
        <v>13380.740392011738</v>
      </c>
      <c r="T828" s="6">
        <v>825</v>
      </c>
      <c r="U828" s="52">
        <f t="shared" si="258"/>
        <v>-6294.0952255126085</v>
      </c>
      <c r="V828" s="52">
        <f t="shared" si="259"/>
        <v>-10170.370868554659</v>
      </c>
      <c r="X828" s="6">
        <v>824</v>
      </c>
      <c r="Y828" s="55">
        <v>412</v>
      </c>
      <c r="Z828" s="52">
        <f t="shared" si="273"/>
        <v>60402.880806178175</v>
      </c>
      <c r="AA828" s="52">
        <f t="shared" si="274"/>
        <v>-269473.43154256331</v>
      </c>
      <c r="AB828" s="52">
        <f t="shared" si="275"/>
        <v>814.31478907525047</v>
      </c>
      <c r="AC828" s="52">
        <f t="shared" si="276"/>
        <v>-1359.8057090723923</v>
      </c>
      <c r="AD828" s="52">
        <f t="shared" si="260"/>
        <v>-3.4333461222227202</v>
      </c>
      <c r="AE828" s="52">
        <f t="shared" si="261"/>
        <v>15.96948757406966</v>
      </c>
      <c r="AF828" s="52">
        <f t="shared" si="262"/>
        <v>-0.96282896651653627</v>
      </c>
      <c r="AG828" s="52">
        <f t="shared" si="263"/>
        <v>6.6004709942338078</v>
      </c>
      <c r="AH828" s="52">
        <f t="shared" si="264"/>
        <v>-0.58662740571071337</v>
      </c>
      <c r="AI828" s="52">
        <f t="shared" si="265"/>
        <v>2.0390659198654841</v>
      </c>
      <c r="AJ828" s="52">
        <f t="shared" si="266"/>
        <v>-1.8838897499954705</v>
      </c>
      <c r="AK828" s="52">
        <f t="shared" si="267"/>
        <v>7.3299506599703692</v>
      </c>
      <c r="AM828" s="52">
        <f t="shared" si="268"/>
        <v>279904.75979858084</v>
      </c>
      <c r="AN828" s="57">
        <f t="shared" si="269"/>
        <v>290809.2539451046</v>
      </c>
      <c r="AO828" s="57">
        <f t="shared" si="270"/>
        <v>262743.72338610643</v>
      </c>
    </row>
    <row r="829" spans="12:41" x14ac:dyDescent="0.25">
      <c r="L829" s="6">
        <v>826</v>
      </c>
      <c r="M829" s="52">
        <f t="shared" si="256"/>
        <v>18621.813220915006</v>
      </c>
      <c r="N829" s="52">
        <f t="shared" si="257"/>
        <v>12306.308479691594</v>
      </c>
      <c r="P829" s="6">
        <v>826</v>
      </c>
      <c r="Q829" s="52">
        <f t="shared" si="271"/>
        <v>-20964.730745359499</v>
      </c>
      <c r="R829" s="52">
        <f t="shared" si="272"/>
        <v>13364.415935784116</v>
      </c>
      <c r="T829" s="6">
        <v>826</v>
      </c>
      <c r="U829" s="52">
        <f t="shared" si="258"/>
        <v>-6378.1867790849956</v>
      </c>
      <c r="V829" s="52">
        <f t="shared" si="259"/>
        <v>-10193.691520308406</v>
      </c>
      <c r="X829" s="6">
        <v>825</v>
      </c>
      <c r="Y829" s="55">
        <v>412.5</v>
      </c>
      <c r="Z829" s="52">
        <f t="shared" si="273"/>
        <v>60809.60903245052</v>
      </c>
      <c r="AA829" s="52">
        <f t="shared" si="274"/>
        <v>-270151.33821115276</v>
      </c>
      <c r="AB829" s="52">
        <f t="shared" si="275"/>
        <v>812.59811601413912</v>
      </c>
      <c r="AC829" s="52">
        <f t="shared" si="276"/>
        <v>-1351.8209652853575</v>
      </c>
      <c r="AD829" s="52">
        <f t="shared" si="260"/>
        <v>-3.4292586496895945</v>
      </c>
      <c r="AE829" s="52">
        <f t="shared" si="261"/>
        <v>15.879541486739605</v>
      </c>
      <c r="AF829" s="52">
        <f t="shared" si="262"/>
        <v>-0.96496487177981427</v>
      </c>
      <c r="AG829" s="52">
        <f t="shared" si="263"/>
        <v>6.565213299724932</v>
      </c>
      <c r="AH829" s="52">
        <f t="shared" si="264"/>
        <v>-0.58497500937272306</v>
      </c>
      <c r="AI829" s="52">
        <f t="shared" si="265"/>
        <v>2.0279956017364285</v>
      </c>
      <c r="AJ829" s="52">
        <f t="shared" si="266"/>
        <v>-1.8793187685370569</v>
      </c>
      <c r="AK829" s="52">
        <f t="shared" si="267"/>
        <v>7.2863325852782452</v>
      </c>
      <c r="AM829" s="52">
        <f t="shared" si="268"/>
        <v>280634.44157805259</v>
      </c>
      <c r="AN829" s="57">
        <f t="shared" si="269"/>
        <v>291573.25874208217</v>
      </c>
      <c r="AO829" s="57">
        <f t="shared" si="270"/>
        <v>263501.63193412306</v>
      </c>
    </row>
    <row r="830" spans="12:41" x14ac:dyDescent="0.25">
      <c r="L830" s="6">
        <v>827</v>
      </c>
      <c r="M830" s="52">
        <f t="shared" si="256"/>
        <v>18538.141476386321</v>
      </c>
      <c r="N830" s="52">
        <f t="shared" si="257"/>
        <v>12281.523779815179</v>
      </c>
      <c r="P830" s="6">
        <v>827</v>
      </c>
      <c r="Q830" s="52">
        <f t="shared" si="271"/>
        <v>-21023.300966529576</v>
      </c>
      <c r="R830" s="52">
        <f t="shared" si="272"/>
        <v>13347.066645870626</v>
      </c>
      <c r="T830" s="6">
        <v>827</v>
      </c>
      <c r="U830" s="52">
        <f t="shared" si="258"/>
        <v>-6461.8585236136778</v>
      </c>
      <c r="V830" s="52">
        <f t="shared" si="259"/>
        <v>-10218.476220184821</v>
      </c>
      <c r="X830" s="6">
        <v>826</v>
      </c>
      <c r="Y830" s="55">
        <v>413</v>
      </c>
      <c r="Z830" s="52">
        <f t="shared" si="273"/>
        <v>61215.479433126377</v>
      </c>
      <c r="AA830" s="52">
        <f t="shared" si="274"/>
        <v>-270825.2637511096</v>
      </c>
      <c r="AB830" s="52">
        <f t="shared" si="275"/>
        <v>810.88348668929427</v>
      </c>
      <c r="AC830" s="52">
        <f t="shared" si="276"/>
        <v>-1343.8811945419877</v>
      </c>
      <c r="AD830" s="52">
        <f t="shared" si="260"/>
        <v>-3.4251808321773511</v>
      </c>
      <c r="AE830" s="52">
        <f t="shared" si="261"/>
        <v>15.790778475830241</v>
      </c>
      <c r="AF830" s="52">
        <f t="shared" si="262"/>
        <v>-0.96704732531143078</v>
      </c>
      <c r="AG830" s="52">
        <f t="shared" si="263"/>
        <v>6.5304032751534713</v>
      </c>
      <c r="AH830" s="52">
        <f t="shared" si="264"/>
        <v>-0.58334178492047861</v>
      </c>
      <c r="AI830" s="52">
        <f t="shared" si="265"/>
        <v>2.0170675805986602</v>
      </c>
      <c r="AJ830" s="52">
        <f t="shared" si="266"/>
        <v>-1.8747917219454417</v>
      </c>
      <c r="AK830" s="52">
        <f t="shared" si="267"/>
        <v>7.2433076200781086</v>
      </c>
      <c r="AM830" s="52">
        <f t="shared" si="268"/>
        <v>281360.38844696525</v>
      </c>
      <c r="AN830" s="57">
        <f t="shared" si="269"/>
        <v>292333.34202658589</v>
      </c>
      <c r="AO830" s="57">
        <f t="shared" si="270"/>
        <v>264255.66273948335</v>
      </c>
    </row>
    <row r="831" spans="12:41" x14ac:dyDescent="0.25">
      <c r="L831" s="6">
        <v>828</v>
      </c>
      <c r="M831" s="52">
        <f t="shared" si="256"/>
        <v>18454.915028125273</v>
      </c>
      <c r="N831" s="52">
        <f t="shared" si="257"/>
        <v>12255.282581475771</v>
      </c>
      <c r="P831" s="6">
        <v>828</v>
      </c>
      <c r="Q831" s="52">
        <f t="shared" si="271"/>
        <v>-21081.559480312309</v>
      </c>
      <c r="R831" s="52">
        <f t="shared" si="272"/>
        <v>13328.697807033041</v>
      </c>
      <c r="T831" s="6">
        <v>828</v>
      </c>
      <c r="U831" s="52">
        <f t="shared" si="258"/>
        <v>-6545.0849718747259</v>
      </c>
      <c r="V831" s="52">
        <f t="shared" si="259"/>
        <v>-10244.717418524229</v>
      </c>
      <c r="X831" s="6">
        <v>827</v>
      </c>
      <c r="Y831" s="55">
        <v>413.5</v>
      </c>
      <c r="Z831" s="52">
        <f t="shared" si="273"/>
        <v>61620.493028867008</v>
      </c>
      <c r="AA831" s="52">
        <f t="shared" si="274"/>
        <v>-271495.23050107114</v>
      </c>
      <c r="AB831" s="52">
        <f t="shared" si="275"/>
        <v>809.17089627320559</v>
      </c>
      <c r="AC831" s="52">
        <f t="shared" si="276"/>
        <v>-1335.9858053040725</v>
      </c>
      <c r="AD831" s="52">
        <f t="shared" si="260"/>
        <v>-3.4211136389665899</v>
      </c>
      <c r="AE831" s="52">
        <f t="shared" si="261"/>
        <v>15.70317724717637</v>
      </c>
      <c r="AF831" s="52">
        <f t="shared" si="262"/>
        <v>-0.96907787347599683</v>
      </c>
      <c r="AG831" s="52">
        <f t="shared" si="263"/>
        <v>6.496033204037313</v>
      </c>
      <c r="AH831" s="52">
        <f t="shared" si="264"/>
        <v>-0.58172747336923292</v>
      </c>
      <c r="AI831" s="52">
        <f t="shared" si="265"/>
        <v>2.0062793439260735</v>
      </c>
      <c r="AJ831" s="52">
        <f t="shared" si="266"/>
        <v>-1.8703082921213603</v>
      </c>
      <c r="AK831" s="52">
        <f t="shared" si="267"/>
        <v>7.2008646992129828</v>
      </c>
      <c r="AM831" s="52">
        <f t="shared" si="268"/>
        <v>282082.6192488856</v>
      </c>
      <c r="AN831" s="57">
        <f t="shared" si="269"/>
        <v>293089.52502115542</v>
      </c>
      <c r="AO831" s="57">
        <f t="shared" si="270"/>
        <v>265005.83646630682</v>
      </c>
    </row>
    <row r="832" spans="12:41" x14ac:dyDescent="0.25">
      <c r="L832" s="6">
        <v>829</v>
      </c>
      <c r="M832" s="52">
        <f t="shared" si="256"/>
        <v>18372.159227714215</v>
      </c>
      <c r="N832" s="52">
        <f t="shared" si="257"/>
        <v>12227.592877996583</v>
      </c>
      <c r="P832" s="6">
        <v>829</v>
      </c>
      <c r="Q832" s="52">
        <f t="shared" si="271"/>
        <v>-21139.48854060005</v>
      </c>
      <c r="R832" s="52">
        <f t="shared" si="272"/>
        <v>13309.315014597609</v>
      </c>
      <c r="T832" s="6">
        <v>829</v>
      </c>
      <c r="U832" s="52">
        <f t="shared" si="258"/>
        <v>-6627.8407722857837</v>
      </c>
      <c r="V832" s="52">
        <f t="shared" si="259"/>
        <v>-10272.407122003417</v>
      </c>
      <c r="X832" s="6">
        <v>828</v>
      </c>
      <c r="Y832" s="55">
        <v>414</v>
      </c>
      <c r="Z832" s="52">
        <f t="shared" si="273"/>
        <v>62024.650837798741</v>
      </c>
      <c r="AA832" s="52">
        <f t="shared" si="274"/>
        <v>-272161.26050656725</v>
      </c>
      <c r="AB832" s="52">
        <f t="shared" si="275"/>
        <v>807.46033945372233</v>
      </c>
      <c r="AC832" s="52">
        <f t="shared" si="276"/>
        <v>-1328.1342166804843</v>
      </c>
      <c r="AD832" s="52">
        <f t="shared" si="260"/>
        <v>-3.4170579977329867</v>
      </c>
      <c r="AE832" s="52">
        <f t="shared" si="261"/>
        <v>15.616717010712236</v>
      </c>
      <c r="AF832" s="52">
        <f t="shared" si="262"/>
        <v>-0.97105801665323155</v>
      </c>
      <c r="AG832" s="52">
        <f t="shared" si="263"/>
        <v>6.462095545074483</v>
      </c>
      <c r="AH832" s="52">
        <f t="shared" si="264"/>
        <v>-0.5801318207669991</v>
      </c>
      <c r="AI832" s="52">
        <f t="shared" si="265"/>
        <v>1.9956284377397699</v>
      </c>
      <c r="AJ832" s="52">
        <f t="shared" si="266"/>
        <v>-1.865868160312756</v>
      </c>
      <c r="AK832" s="52">
        <f t="shared" si="267"/>
        <v>7.1589930278979841</v>
      </c>
      <c r="AM832" s="52">
        <f t="shared" si="268"/>
        <v>282801.15258987359</v>
      </c>
      <c r="AN832" s="57">
        <f t="shared" si="269"/>
        <v>293841.82866929908</v>
      </c>
      <c r="AO832" s="57">
        <f t="shared" si="270"/>
        <v>265752.17350993649</v>
      </c>
    </row>
    <row r="833" spans="12:41" x14ac:dyDescent="0.25">
      <c r="L833" s="6">
        <v>830</v>
      </c>
      <c r="M833" s="52">
        <f t="shared" si="256"/>
        <v>18289.899283371662</v>
      </c>
      <c r="N833" s="52">
        <f t="shared" si="257"/>
        <v>12198.463103929544</v>
      </c>
      <c r="P833" s="6">
        <v>830</v>
      </c>
      <c r="Q833" s="52">
        <f t="shared" si="271"/>
        <v>-21197.070501639839</v>
      </c>
      <c r="R833" s="52">
        <f t="shared" si="272"/>
        <v>13288.924172750681</v>
      </c>
      <c r="T833" s="6">
        <v>830</v>
      </c>
      <c r="U833" s="52">
        <f t="shared" si="258"/>
        <v>-6710.1007166283389</v>
      </c>
      <c r="V833" s="52">
        <f t="shared" si="259"/>
        <v>-10301.536896070456</v>
      </c>
      <c r="X833" s="6">
        <v>829</v>
      </c>
      <c r="Y833" s="55">
        <v>414.5</v>
      </c>
      <c r="Z833" s="52">
        <f t="shared" si="273"/>
        <v>62427.953875275889</v>
      </c>
      <c r="AA833" s="52">
        <f t="shared" si="274"/>
        <v>-272823.37552528118</v>
      </c>
      <c r="AB833" s="52">
        <f t="shared" si="275"/>
        <v>805.75181045485579</v>
      </c>
      <c r="AC833" s="52">
        <f t="shared" si="276"/>
        <v>-1320.3258581751281</v>
      </c>
      <c r="AD833" s="52">
        <f t="shared" si="260"/>
        <v>-3.4130147962411028</v>
      </c>
      <c r="AE833" s="52">
        <f t="shared" si="261"/>
        <v>15.531377465861496</v>
      </c>
      <c r="AF833" s="52">
        <f t="shared" si="262"/>
        <v>-0.97298921080347922</v>
      </c>
      <c r="AG833" s="52">
        <f t="shared" si="263"/>
        <v>6.4285829272820934</v>
      </c>
      <c r="AH833" s="52">
        <f t="shared" si="264"/>
        <v>-0.57855457807520261</v>
      </c>
      <c r="AI833" s="52">
        <f t="shared" si="265"/>
        <v>1.9851124649342264</v>
      </c>
      <c r="AJ833" s="52">
        <f t="shared" si="266"/>
        <v>-1.8614710073624208</v>
      </c>
      <c r="AK833" s="52">
        <f t="shared" si="267"/>
        <v>7.1176820736451756</v>
      </c>
      <c r="AM833" s="52">
        <f t="shared" si="268"/>
        <v>283516.00684252445</v>
      </c>
      <c r="AN833" s="57">
        <f t="shared" si="269"/>
        <v>294590.27364049008</v>
      </c>
      <c r="AO833" s="57">
        <f t="shared" si="270"/>
        <v>266494.69400169392</v>
      </c>
    </row>
    <row r="834" spans="12:41" x14ac:dyDescent="0.25">
      <c r="L834" s="6">
        <v>831</v>
      </c>
      <c r="M834" s="52">
        <f t="shared" si="256"/>
        <v>18208.160252273501</v>
      </c>
      <c r="N834" s="52">
        <f t="shared" si="257"/>
        <v>12167.90213248601</v>
      </c>
      <c r="P834" s="6">
        <v>831</v>
      </c>
      <c r="Q834" s="52">
        <f t="shared" si="271"/>
        <v>-21254.287823408551</v>
      </c>
      <c r="R834" s="52">
        <f t="shared" si="272"/>
        <v>13267.531492740207</v>
      </c>
      <c r="T834" s="6">
        <v>831</v>
      </c>
      <c r="U834" s="52">
        <f t="shared" si="258"/>
        <v>-6791.8397477265007</v>
      </c>
      <c r="V834" s="52">
        <f t="shared" si="259"/>
        <v>-10332.09786751399</v>
      </c>
      <c r="X834" s="6">
        <v>830</v>
      </c>
      <c r="Y834" s="55">
        <v>415</v>
      </c>
      <c r="Z834" s="52">
        <f t="shared" si="273"/>
        <v>62830.403153653788</v>
      </c>
      <c r="AA834" s="52">
        <f t="shared" si="274"/>
        <v>-273481.59703218553</v>
      </c>
      <c r="AB834" s="52">
        <f t="shared" si="275"/>
        <v>804.04530305673518</v>
      </c>
      <c r="AC834" s="52">
        <f t="shared" si="276"/>
        <v>-1312.5601694421973</v>
      </c>
      <c r="AD834" s="52">
        <f t="shared" si="260"/>
        <v>-3.4089848839657515</v>
      </c>
      <c r="AE834" s="52">
        <f t="shared" si="261"/>
        <v>15.447138787428706</v>
      </c>
      <c r="AF834" s="52">
        <f t="shared" si="262"/>
        <v>-0.97487286897305647</v>
      </c>
      <c r="AG834" s="52">
        <f t="shared" si="263"/>
        <v>6.3954881452949897</v>
      </c>
      <c r="AH834" s="52">
        <f t="shared" si="264"/>
        <v>-0.57699550105273123</v>
      </c>
      <c r="AI834" s="52">
        <f t="shared" si="265"/>
        <v>1.9747290836601354</v>
      </c>
      <c r="AJ834" s="52">
        <f t="shared" si="266"/>
        <v>-1.8571165139399637</v>
      </c>
      <c r="AK834" s="52">
        <f t="shared" si="267"/>
        <v>7.0769215584735816</v>
      </c>
      <c r="AM834" s="52">
        <f t="shared" si="268"/>
        <v>284227.20014991879</v>
      </c>
      <c r="AN834" s="57">
        <f t="shared" si="269"/>
        <v>295334.88033504481</v>
      </c>
      <c r="AO834" s="57">
        <f t="shared" si="270"/>
        <v>267233.41781352187</v>
      </c>
    </row>
    <row r="835" spans="12:41" x14ac:dyDescent="0.25">
      <c r="L835" s="6">
        <v>832</v>
      </c>
      <c r="M835" s="52">
        <f t="shared" si="256"/>
        <v>18126.967032920438</v>
      </c>
      <c r="N835" s="52">
        <f t="shared" si="257"/>
        <v>12135.919272833937</v>
      </c>
      <c r="P835" s="6">
        <v>832</v>
      </c>
      <c r="Q835" s="52">
        <f t="shared" si="271"/>
        <v>-21311.123076955693</v>
      </c>
      <c r="R835" s="52">
        <f t="shared" si="272"/>
        <v>13245.143490983755</v>
      </c>
      <c r="T835" s="6">
        <v>832</v>
      </c>
      <c r="U835" s="52">
        <f t="shared" si="258"/>
        <v>-6873.0329670795618</v>
      </c>
      <c r="V835" s="52">
        <f t="shared" si="259"/>
        <v>-10364.080727166063</v>
      </c>
      <c r="X835" s="6">
        <v>831</v>
      </c>
      <c r="Y835" s="55">
        <v>415.5</v>
      </c>
      <c r="Z835" s="52">
        <f t="shared" si="273"/>
        <v>63231.999682071655</v>
      </c>
      <c r="AA835" s="52">
        <f t="shared" si="274"/>
        <v>-274135.94622455823</v>
      </c>
      <c r="AB835" s="52">
        <f t="shared" si="275"/>
        <v>802.34081061475229</v>
      </c>
      <c r="AC835" s="52">
        <f t="shared" si="276"/>
        <v>-1304.836600048483</v>
      </c>
      <c r="AD835" s="52">
        <f t="shared" si="260"/>
        <v>-3.4049690736441862</v>
      </c>
      <c r="AE835" s="52">
        <f t="shared" si="261"/>
        <v>15.363981611972127</v>
      </c>
      <c r="AF835" s="52">
        <f t="shared" si="262"/>
        <v>-0.9767103627419631</v>
      </c>
      <c r="AG835" s="52">
        <f t="shared" si="263"/>
        <v>6.3628041548177299</v>
      </c>
      <c r="AH835" s="52">
        <f t="shared" si="264"/>
        <v>-0.57545435014328605</v>
      </c>
      <c r="AI835" s="52">
        <f t="shared" si="265"/>
        <v>1.9644760057617674</v>
      </c>
      <c r="AJ835" s="52">
        <f t="shared" si="266"/>
        <v>-1.8528043607589373</v>
      </c>
      <c r="AK835" s="52">
        <f t="shared" si="267"/>
        <v>7.0367014513926289</v>
      </c>
      <c r="AM835" s="52">
        <f t="shared" si="268"/>
        <v>284934.75042948499</v>
      </c>
      <c r="AN835" s="57">
        <f t="shared" si="269"/>
        <v>296075.66888888628</v>
      </c>
      <c r="AO835" s="57">
        <f t="shared" si="270"/>
        <v>267968.36456251948</v>
      </c>
    </row>
    <row r="836" spans="12:41" x14ac:dyDescent="0.25">
      <c r="L836" s="6">
        <v>833</v>
      </c>
      <c r="M836" s="52">
        <f t="shared" si="256"/>
        <v>18046.344357553633</v>
      </c>
      <c r="N836" s="52">
        <f t="shared" si="257"/>
        <v>12102.524267262203</v>
      </c>
      <c r="P836" s="6">
        <v>833</v>
      </c>
      <c r="Q836" s="52">
        <f t="shared" si="271"/>
        <v>-21367.558949712457</v>
      </c>
      <c r="R836" s="52">
        <f t="shared" si="272"/>
        <v>13221.766987083542</v>
      </c>
      <c r="T836" s="6">
        <v>833</v>
      </c>
      <c r="U836" s="52">
        <f t="shared" si="258"/>
        <v>-6953.6556424463661</v>
      </c>
      <c r="V836" s="52">
        <f t="shared" si="259"/>
        <v>-10397.475732737797</v>
      </c>
      <c r="X836" s="6">
        <v>832</v>
      </c>
      <c r="Y836" s="55">
        <v>416</v>
      </c>
      <c r="Z836" s="52">
        <f t="shared" si="273"/>
        <v>63632.744466244825</v>
      </c>
      <c r="AA836" s="52">
        <f t="shared" si="274"/>
        <v>-274786.44402688096</v>
      </c>
      <c r="AB836" s="52">
        <f t="shared" si="275"/>
        <v>800.63832607793017</v>
      </c>
      <c r="AC836" s="52">
        <f t="shared" si="276"/>
        <v>-1297.1546092424969</v>
      </c>
      <c r="AD836" s="52">
        <f t="shared" si="260"/>
        <v>-3.4009681427623839</v>
      </c>
      <c r="AE836" s="52">
        <f t="shared" si="261"/>
        <v>15.281887024639119</v>
      </c>
      <c r="AF836" s="52">
        <f t="shared" si="262"/>
        <v>-0.97850302361651553</v>
      </c>
      <c r="AG836" s="52">
        <f t="shared" si="263"/>
        <v>6.3305240682246167</v>
      </c>
      <c r="AH836" s="52">
        <f t="shared" si="264"/>
        <v>-0.57393089036594314</v>
      </c>
      <c r="AI836" s="52">
        <f t="shared" si="265"/>
        <v>1.9543509952667892</v>
      </c>
      <c r="AJ836" s="52">
        <f t="shared" si="266"/>
        <v>-1.8485342287799251</v>
      </c>
      <c r="AK836" s="52">
        <f t="shared" si="267"/>
        <v>6.9970119611477131</v>
      </c>
      <c r="AM836" s="52">
        <f t="shared" si="268"/>
        <v>285638.67537677387</v>
      </c>
      <c r="AN836" s="57">
        <f t="shared" si="269"/>
        <v>296812.6591781961</v>
      </c>
      <c r="AO836" s="57">
        <f t="shared" si="270"/>
        <v>268699.5536153728</v>
      </c>
    </row>
    <row r="837" spans="12:41" x14ac:dyDescent="0.25">
      <c r="L837" s="6">
        <v>834</v>
      </c>
      <c r="M837" s="52">
        <f t="shared" ref="M837:M900" si="277">$G$20*COS(L837*PI()/180)+$G$19</f>
        <v>17966.316784620998</v>
      </c>
      <c r="N837" s="52">
        <f t="shared" ref="N837:N900" si="278">$G$20*SIN(L837*PI()/180)+$H$19</f>
        <v>12067.727288213006</v>
      </c>
      <c r="P837" s="6">
        <v>834</v>
      </c>
      <c r="Q837" s="52">
        <f t="shared" si="271"/>
        <v>-21423.578250765302</v>
      </c>
      <c r="R837" s="52">
        <f t="shared" si="272"/>
        <v>13197.409101749103</v>
      </c>
      <c r="T837" s="6">
        <v>834</v>
      </c>
      <c r="U837" s="52">
        <f t="shared" ref="U837:U900" si="279">$G$40*COS(T837*PI()/180)+$G$39</f>
        <v>-7033.683215379001</v>
      </c>
      <c r="V837" s="52">
        <f t="shared" ref="V837:V900" si="280">$G$40*SIN(T837*PI()/180)+$H$39</f>
        <v>-10432.272711786994</v>
      </c>
      <c r="X837" s="6">
        <v>833</v>
      </c>
      <c r="Y837" s="55">
        <v>416.5</v>
      </c>
      <c r="Z837" s="52">
        <f t="shared" si="273"/>
        <v>64032.63850826594</v>
      </c>
      <c r="AA837" s="52">
        <f t="shared" si="274"/>
        <v>-275433.1110956241</v>
      </c>
      <c r="AB837" s="52">
        <f t="shared" si="275"/>
        <v>798.93784200654898</v>
      </c>
      <c r="AC837" s="52">
        <f t="shared" si="276"/>
        <v>-1289.5136657301773</v>
      </c>
      <c r="AD837" s="52">
        <f t="shared" ref="AD837:AD900" si="281">AF837+AH837+AJ837</f>
        <v>-3.3969828349783353</v>
      </c>
      <c r="AE837" s="52">
        <f t="shared" ref="AE837:AE900" si="282">AG837+AI837+AK837</f>
        <v>15.200836546445544</v>
      </c>
      <c r="AF837" s="52">
        <f t="shared" ref="AF837:AF900" si="283">(($G$19-Z837)/(AM837^2+$G$24^2)^(3/2))*$G$23</f>
        <v>-0.98025214436915331</v>
      </c>
      <c r="AG837" s="52">
        <f t="shared" ref="AG837:AG900" si="284">(($H$19-AA837)/(AM837^2+$G$24^2)^(3/2))*$G$23</f>
        <v>6.2986411503016617</v>
      </c>
      <c r="AH837" s="52">
        <f t="shared" ref="AH837:AH900" si="285">(($G$29-Z837)/(AN837^2+$G$34^2)^(3/2))*$G$33</f>
        <v>-0.57242489120875595</v>
      </c>
      <c r="AI837" s="52">
        <f t="shared" ref="AI837:AI900" si="286">(($H$29-AA837)/(AN837^2+$G$34^2)^(3/2))*$G$33</f>
        <v>1.9443518669262954</v>
      </c>
      <c r="AJ837" s="52">
        <f t="shared" ref="AJ837:AJ900" si="287">(($G$39-Z837)/(AO837^2+$G$44^2)^(3/2))*$G$43</f>
        <v>-1.8443057994004262</v>
      </c>
      <c r="AK837" s="52">
        <f t="shared" ref="AK837:AK900" si="288">(($H$39-AA837)/(AO837^2+$G$44^2)^(3/2))*$G$43</f>
        <v>6.9578435292175866</v>
      </c>
      <c r="AM837" s="52">
        <f t="shared" ref="AM837:AM900" si="289">SQRT(($G$19-Z837)^2+($H$19-AA837)^2)</f>
        <v>286338.99246915075</v>
      </c>
      <c r="AN837" s="57">
        <f t="shared" ref="AN837:AN900" si="290">SQRT(($G$29-Z837)^2+($H$29-AA837)^2)</f>
        <v>297545.87082395848</v>
      </c>
      <c r="AO837" s="57">
        <f t="shared" ref="AO837:AO900" si="291">SQRT(($G$39-Z837)^2+($H$39-AA837)^2)</f>
        <v>269427.00409268297</v>
      </c>
    </row>
    <row r="838" spans="12:41" x14ac:dyDescent="0.25">
      <c r="L838" s="6">
        <v>835</v>
      </c>
      <c r="M838" s="52">
        <f t="shared" si="277"/>
        <v>17886.908691296507</v>
      </c>
      <c r="N838" s="52">
        <f t="shared" si="278"/>
        <v>12031.538935183253</v>
      </c>
      <c r="P838" s="6">
        <v>835</v>
      </c>
      <c r="Q838" s="52">
        <f t="shared" ref="Q838:Q901" si="292">$G$30*COS(P838*PI()/180)+$G$29</f>
        <v>-21479.163916092446</v>
      </c>
      <c r="R838" s="52">
        <f t="shared" ref="R838:R901" si="293">$G$30*SIN(P838*PI()/180)+$H$29</f>
        <v>13172.077254628277</v>
      </c>
      <c r="T838" s="6">
        <v>835</v>
      </c>
      <c r="U838" s="52">
        <f t="shared" si="279"/>
        <v>-7113.0913087034924</v>
      </c>
      <c r="V838" s="52">
        <f t="shared" si="280"/>
        <v>-10468.461064816747</v>
      </c>
      <c r="X838" s="6">
        <v>834</v>
      </c>
      <c r="Y838" s="55">
        <v>417</v>
      </c>
      <c r="Z838" s="52">
        <f t="shared" ref="Z838:Z901" si="294">Z837+AB837*$G$4+((1/2)*AD837)*$G$4^2</f>
        <v>64431.682806414843</v>
      </c>
      <c r="AA838" s="52">
        <f t="shared" ref="AA838:AA901" si="295">AA837+AC837*$G$4+((1/2)*AE837)*$G$4^2</f>
        <v>-276075.96782392089</v>
      </c>
      <c r="AB838" s="52">
        <f t="shared" ref="AB838:AB901" si="296">AB837+AD837*$G$4</f>
        <v>797.23935058905977</v>
      </c>
      <c r="AC838" s="52">
        <f t="shared" ref="AC838:AC901" si="297">AC837+AE837*$G$4</f>
        <v>-1281.9132474569547</v>
      </c>
      <c r="AD838" s="52">
        <f t="shared" si="281"/>
        <v>-3.3930138614854495</v>
      </c>
      <c r="AE838" s="52">
        <f t="shared" si="282"/>
        <v>15.120812121982635</v>
      </c>
      <c r="AF838" s="52">
        <f t="shared" si="283"/>
        <v>-0.98195898032774154</v>
      </c>
      <c r="AG838" s="52">
        <f t="shared" si="284"/>
        <v>6.2671488141256493</v>
      </c>
      <c r="AH838" s="52">
        <f t="shared" si="285"/>
        <v>-0.5709361265254157</v>
      </c>
      <c r="AI838" s="52">
        <f t="shared" si="286"/>
        <v>1.9344764848035161</v>
      </c>
      <c r="AJ838" s="52">
        <f t="shared" si="287"/>
        <v>-1.8401187546322921</v>
      </c>
      <c r="AK838" s="52">
        <f t="shared" si="288"/>
        <v>6.9191868230534688</v>
      </c>
      <c r="AM838" s="52">
        <f t="shared" si="289"/>
        <v>287035.71896940505</v>
      </c>
      <c r="AN838" s="57">
        <f t="shared" si="290"/>
        <v>298275.32319639862</v>
      </c>
      <c r="AO838" s="57">
        <f t="shared" si="291"/>
        <v>270150.73487319553</v>
      </c>
    </row>
    <row r="839" spans="12:41" x14ac:dyDescent="0.25">
      <c r="L839" s="6">
        <v>836</v>
      </c>
      <c r="M839" s="52">
        <f t="shared" si="277"/>
        <v>17808.144266054616</v>
      </c>
      <c r="N839" s="52">
        <f t="shared" si="278"/>
        <v>11993.970231495836</v>
      </c>
      <c r="P839" s="6">
        <v>836</v>
      </c>
      <c r="Q839" s="52">
        <f t="shared" si="292"/>
        <v>-21534.299013761771</v>
      </c>
      <c r="R839" s="52">
        <f t="shared" si="293"/>
        <v>13145.779162047085</v>
      </c>
      <c r="T839" s="6">
        <v>836</v>
      </c>
      <c r="U839" s="52">
        <f t="shared" si="279"/>
        <v>-7191.8557339453855</v>
      </c>
      <c r="V839" s="52">
        <f t="shared" si="280"/>
        <v>-10506.029768504164</v>
      </c>
      <c r="X839" s="6">
        <v>835</v>
      </c>
      <c r="Y839" s="55">
        <v>417.5</v>
      </c>
      <c r="Z839" s="52">
        <f t="shared" si="294"/>
        <v>64829.878354976689</v>
      </c>
      <c r="AA839" s="52">
        <f t="shared" si="295"/>
        <v>-276715.03434613417</v>
      </c>
      <c r="AB839" s="52">
        <f t="shared" si="296"/>
        <v>795.542843658317</v>
      </c>
      <c r="AC839" s="52">
        <f t="shared" si="297"/>
        <v>-1274.3528413959634</v>
      </c>
      <c r="AD839" s="52">
        <f t="shared" si="281"/>
        <v>-3.3890619023185939</v>
      </c>
      <c r="AE839" s="52">
        <f t="shared" si="282"/>
        <v>15.041796107533987</v>
      </c>
      <c r="AF839" s="52">
        <f t="shared" si="283"/>
        <v>-0.98362475061642707</v>
      </c>
      <c r="AG839" s="52">
        <f t="shared" si="284"/>
        <v>6.2360406170747664</v>
      </c>
      <c r="AH839" s="52">
        <f t="shared" si="285"/>
        <v>-0.56946437443472075</v>
      </c>
      <c r="AI839" s="52">
        <f t="shared" si="286"/>
        <v>1.924722760908828</v>
      </c>
      <c r="AJ839" s="52">
        <f t="shared" si="287"/>
        <v>-1.8359727772674463</v>
      </c>
      <c r="AK839" s="52">
        <f t="shared" si="288"/>
        <v>6.8810327295503919</v>
      </c>
      <c r="AM839" s="52">
        <f t="shared" si="289"/>
        <v>287728.8719292804</v>
      </c>
      <c r="AN839" s="57">
        <f t="shared" si="290"/>
        <v>299001.03541931929</v>
      </c>
      <c r="AO839" s="57">
        <f t="shared" si="291"/>
        <v>270870.76459793339</v>
      </c>
    </row>
    <row r="840" spans="12:41" x14ac:dyDescent="0.25">
      <c r="L840" s="6">
        <v>837</v>
      </c>
      <c r="M840" s="52">
        <f t="shared" si="277"/>
        <v>17730.047501302266</v>
      </c>
      <c r="N840" s="52">
        <f t="shared" si="278"/>
        <v>11955.032620941838</v>
      </c>
      <c r="P840" s="6">
        <v>837</v>
      </c>
      <c r="Q840" s="52">
        <f t="shared" si="292"/>
        <v>-21588.966749088417</v>
      </c>
      <c r="R840" s="52">
        <f t="shared" si="293"/>
        <v>13118.522834659287</v>
      </c>
      <c r="T840" s="6">
        <v>837</v>
      </c>
      <c r="U840" s="52">
        <f t="shared" si="279"/>
        <v>-7269.9524986977358</v>
      </c>
      <c r="V840" s="52">
        <f t="shared" si="280"/>
        <v>-10544.967379058162</v>
      </c>
      <c r="X840" s="6">
        <v>836</v>
      </c>
      <c r="Y840" s="55">
        <v>418</v>
      </c>
      <c r="Z840" s="52">
        <f t="shared" si="294"/>
        <v>65227.22614406806</v>
      </c>
      <c r="AA840" s="52">
        <f t="shared" si="295"/>
        <v>-277350.33054231876</v>
      </c>
      <c r="AB840" s="52">
        <f t="shared" si="296"/>
        <v>793.84831270715767</v>
      </c>
      <c r="AC840" s="52">
        <f t="shared" si="297"/>
        <v>-1266.8319433421964</v>
      </c>
      <c r="AD840" s="52">
        <f t="shared" si="281"/>
        <v>-3.3851276076056278</v>
      </c>
      <c r="AE840" s="52">
        <f t="shared" si="282"/>
        <v>14.963771259587975</v>
      </c>
      <c r="AF840" s="52">
        <f t="shared" si="283"/>
        <v>-0.9852506393502275</v>
      </c>
      <c r="AG840" s="52">
        <f t="shared" si="284"/>
        <v>6.2053102569668148</v>
      </c>
      <c r="AH840" s="52">
        <f t="shared" si="285"/>
        <v>-0.56800941722292198</v>
      </c>
      <c r="AI840" s="52">
        <f t="shared" si="286"/>
        <v>1.9150886538798457</v>
      </c>
      <c r="AJ840" s="52">
        <f t="shared" si="287"/>
        <v>-1.831867551032478</v>
      </c>
      <c r="AK840" s="52">
        <f t="shared" si="288"/>
        <v>6.8433723487413154</v>
      </c>
      <c r="AM840" s="52">
        <f t="shared" si="289"/>
        <v>288418.46819292783</v>
      </c>
      <c r="AN840" s="57">
        <f t="shared" si="290"/>
        <v>299723.02637433773</v>
      </c>
      <c r="AO840" s="57">
        <f t="shared" si="291"/>
        <v>271587.11167423608</v>
      </c>
    </row>
    <row r="841" spans="12:41" x14ac:dyDescent="0.25">
      <c r="L841" s="6">
        <v>838</v>
      </c>
      <c r="M841" s="52">
        <f t="shared" si="277"/>
        <v>17652.642186070549</v>
      </c>
      <c r="N841" s="52">
        <f t="shared" si="278"/>
        <v>11914.737964294636</v>
      </c>
      <c r="P841" s="6">
        <v>838</v>
      </c>
      <c r="Q841" s="52">
        <f t="shared" si="292"/>
        <v>-21643.150469750617</v>
      </c>
      <c r="R841" s="52">
        <f t="shared" si="293"/>
        <v>13090.316575006245</v>
      </c>
      <c r="T841" s="6">
        <v>838</v>
      </c>
      <c r="U841" s="52">
        <f t="shared" si="279"/>
        <v>-7347.3578139294505</v>
      </c>
      <c r="V841" s="52">
        <f t="shared" si="280"/>
        <v>-10585.262035705364</v>
      </c>
      <c r="X841" s="6">
        <v>837</v>
      </c>
      <c r="Y841" s="55">
        <v>418.5</v>
      </c>
      <c r="Z841" s="52">
        <f t="shared" si="294"/>
        <v>65623.727159470684</v>
      </c>
      <c r="AA841" s="52">
        <f t="shared" si="295"/>
        <v>-277981.87604258244</v>
      </c>
      <c r="AB841" s="52">
        <f t="shared" si="296"/>
        <v>792.15574890335483</v>
      </c>
      <c r="AC841" s="52">
        <f t="shared" si="297"/>
        <v>-1259.3500577124023</v>
      </c>
      <c r="AD841" s="52">
        <f t="shared" si="281"/>
        <v>-3.3812115987665479</v>
      </c>
      <c r="AE841" s="52">
        <f t="shared" si="282"/>
        <v>14.886720723728764</v>
      </c>
      <c r="AF841" s="52">
        <f t="shared" si="283"/>
        <v>-0.98683779678507821</v>
      </c>
      <c r="AG841" s="52">
        <f t="shared" si="284"/>
        <v>6.1749515683190266</v>
      </c>
      <c r="AH841" s="52">
        <f t="shared" si="285"/>
        <v>-0.56657104124869606</v>
      </c>
      <c r="AI841" s="52">
        <f t="shared" si="286"/>
        <v>1.9055721677043556</v>
      </c>
      <c r="AJ841" s="52">
        <f t="shared" si="287"/>
        <v>-1.8278027607327734</v>
      </c>
      <c r="AK841" s="52">
        <f t="shared" si="288"/>
        <v>6.8061969877053814</v>
      </c>
      <c r="AM841" s="52">
        <f t="shared" si="289"/>
        <v>289104.5244002837</v>
      </c>
      <c r="AN841" s="57">
        <f t="shared" si="290"/>
        <v>300441.31470502657</v>
      </c>
      <c r="AO841" s="57">
        <f t="shared" si="291"/>
        <v>272299.79427970847</v>
      </c>
    </row>
    <row r="842" spans="12:41" x14ac:dyDescent="0.25">
      <c r="L842" s="6">
        <v>839</v>
      </c>
      <c r="M842" s="52">
        <f t="shared" si="277"/>
        <v>17575.951898768322</v>
      </c>
      <c r="N842" s="52">
        <f t="shared" si="278"/>
        <v>11873.098535696983</v>
      </c>
      <c r="P842" s="6">
        <v>839</v>
      </c>
      <c r="Q842" s="52">
        <f t="shared" si="292"/>
        <v>-21696.833670862175</v>
      </c>
      <c r="R842" s="52">
        <f t="shared" si="293"/>
        <v>13061.16897498789</v>
      </c>
      <c r="T842" s="6">
        <v>839</v>
      </c>
      <c r="U842" s="52">
        <f t="shared" si="279"/>
        <v>-7424.0481012316768</v>
      </c>
      <c r="V842" s="52">
        <f t="shared" si="280"/>
        <v>-10626.901464303017</v>
      </c>
      <c r="X842" s="6">
        <v>838</v>
      </c>
      <c r="Y842" s="55">
        <v>419</v>
      </c>
      <c r="Z842" s="52">
        <f t="shared" si="294"/>
        <v>66019.382382472511</v>
      </c>
      <c r="AA842" s="52">
        <f t="shared" si="295"/>
        <v>-278609.69023134816</v>
      </c>
      <c r="AB842" s="52">
        <f t="shared" si="296"/>
        <v>790.46514310397151</v>
      </c>
      <c r="AC842" s="52">
        <f t="shared" si="297"/>
        <v>-1251.906697350538</v>
      </c>
      <c r="AD842" s="52">
        <f t="shared" si="281"/>
        <v>-3.3773144696630455</v>
      </c>
      <c r="AE842" s="52">
        <f t="shared" si="282"/>
        <v>14.81062802389344</v>
      </c>
      <c r="AF842" s="52">
        <f t="shared" si="283"/>
        <v>-0.9883873404254061</v>
      </c>
      <c r="AG842" s="52">
        <f t="shared" si="284"/>
        <v>6.1449585187263329</v>
      </c>
      <c r="AH842" s="52">
        <f t="shared" si="285"/>
        <v>-0.56514903685078532</v>
      </c>
      <c r="AI842" s="52">
        <f t="shared" si="286"/>
        <v>1.8961713504849</v>
      </c>
      <c r="AJ842" s="52">
        <f t="shared" si="287"/>
        <v>-1.8237780923868543</v>
      </c>
      <c r="AK842" s="52">
        <f t="shared" si="288"/>
        <v>6.7694981546822079</v>
      </c>
      <c r="AM842" s="52">
        <f t="shared" si="289"/>
        <v>289787.05699037394</v>
      </c>
      <c r="AN842" s="57">
        <f t="shared" si="290"/>
        <v>301155.91882096016</v>
      </c>
      <c r="AO842" s="57">
        <f t="shared" si="291"/>
        <v>273008.83036608022</v>
      </c>
    </row>
    <row r="843" spans="12:41" x14ac:dyDescent="0.25">
      <c r="L843" s="6">
        <v>840</v>
      </c>
      <c r="M843" s="52">
        <f t="shared" si="277"/>
        <v>17499.999999999996</v>
      </c>
      <c r="N843" s="52">
        <f t="shared" si="278"/>
        <v>11830.127018922192</v>
      </c>
      <c r="P843" s="6">
        <v>840</v>
      </c>
      <c r="Q843" s="52">
        <f t="shared" si="292"/>
        <v>-21750.000000000004</v>
      </c>
      <c r="R843" s="52">
        <f t="shared" si="293"/>
        <v>13031.088913245534</v>
      </c>
      <c r="T843" s="6">
        <v>840</v>
      </c>
      <c r="U843" s="52">
        <f t="shared" si="279"/>
        <v>-7500.0000000000027</v>
      </c>
      <c r="V843" s="52">
        <f t="shared" si="280"/>
        <v>-10669.872981077808</v>
      </c>
      <c r="X843" s="6">
        <v>839</v>
      </c>
      <c r="Y843" s="55">
        <v>419.5</v>
      </c>
      <c r="Z843" s="52">
        <f t="shared" si="294"/>
        <v>66414.192789715788</v>
      </c>
      <c r="AA843" s="52">
        <f t="shared" si="295"/>
        <v>-279233.79225152044</v>
      </c>
      <c r="AB843" s="52">
        <f t="shared" si="296"/>
        <v>788.77648586913995</v>
      </c>
      <c r="AC843" s="52">
        <f t="shared" si="297"/>
        <v>-1244.5013833385913</v>
      </c>
      <c r="AD843" s="52">
        <f t="shared" si="281"/>
        <v>-3.3734367877003604</v>
      </c>
      <c r="AE843" s="52">
        <f t="shared" si="282"/>
        <v>14.735477051979895</v>
      </c>
      <c r="AF843" s="52">
        <f t="shared" si="283"/>
        <v>-0.9899003560908427</v>
      </c>
      <c r="AG843" s="52">
        <f t="shared" si="284"/>
        <v>6.1153252053529004</v>
      </c>
      <c r="AH843" s="52">
        <f t="shared" si="285"/>
        <v>-0.56374319825816543</v>
      </c>
      <c r="AI843" s="52">
        <f t="shared" si="286"/>
        <v>1.8868842932432628</v>
      </c>
      <c r="AJ843" s="52">
        <f t="shared" si="287"/>
        <v>-1.8197932333513522</v>
      </c>
      <c r="AK843" s="52">
        <f t="shared" si="288"/>
        <v>6.7332675533837332</v>
      </c>
      <c r="AM843" s="52">
        <f t="shared" si="289"/>
        <v>290466.08220454759</v>
      </c>
      <c r="AN843" s="57">
        <f t="shared" si="290"/>
        <v>301866.85690167086</v>
      </c>
      <c r="AO843" s="57">
        <f t="shared" si="291"/>
        <v>273714.2376629801</v>
      </c>
    </row>
    <row r="844" spans="12:41" x14ac:dyDescent="0.25">
      <c r="L844" s="6">
        <v>841</v>
      </c>
      <c r="M844" s="52">
        <f t="shared" si="277"/>
        <v>17424.809625449732</v>
      </c>
      <c r="N844" s="52">
        <f t="shared" si="278"/>
        <v>11785.836503510563</v>
      </c>
      <c r="P844" s="6">
        <v>841</v>
      </c>
      <c r="Q844" s="52">
        <f t="shared" si="292"/>
        <v>-21802.633262185187</v>
      </c>
      <c r="R844" s="52">
        <f t="shared" si="293"/>
        <v>13000.085552457394</v>
      </c>
      <c r="T844" s="6">
        <v>841</v>
      </c>
      <c r="U844" s="52">
        <f t="shared" si="279"/>
        <v>-7575.1903745502696</v>
      </c>
      <c r="V844" s="52">
        <f t="shared" si="280"/>
        <v>-10714.163496489437</v>
      </c>
      <c r="X844" s="6">
        <v>840</v>
      </c>
      <c r="Y844" s="55">
        <v>420</v>
      </c>
      <c r="Z844" s="52">
        <f t="shared" si="294"/>
        <v>66808.159353051888</v>
      </c>
      <c r="AA844" s="52">
        <f t="shared" si="295"/>
        <v>-279854.20100855822</v>
      </c>
      <c r="AB844" s="52">
        <f t="shared" si="296"/>
        <v>787.08976747528982</v>
      </c>
      <c r="AC844" s="52">
        <f t="shared" si="297"/>
        <v>-1237.1336448126012</v>
      </c>
      <c r="AD844" s="52">
        <f t="shared" si="281"/>
        <v>-3.3695790948837749</v>
      </c>
      <c r="AE844" s="52">
        <f t="shared" si="282"/>
        <v>14.661252057793137</v>
      </c>
      <c r="AF844" s="52">
        <f t="shared" si="283"/>
        <v>-0.99137789894385142</v>
      </c>
      <c r="AG844" s="52">
        <f t="shared" si="284"/>
        <v>6.0860458515333535</v>
      </c>
      <c r="AH844" s="52">
        <f t="shared" si="285"/>
        <v>-0.5623533235026561</v>
      </c>
      <c r="AI844" s="52">
        <f t="shared" si="286"/>
        <v>1.8777091287633561</v>
      </c>
      <c r="AJ844" s="52">
        <f t="shared" si="287"/>
        <v>-1.8158478724372675</v>
      </c>
      <c r="AK844" s="52">
        <f t="shared" si="288"/>
        <v>6.6974970774964273</v>
      </c>
      <c r="AM844" s="52">
        <f t="shared" si="289"/>
        <v>291141.61608964042</v>
      </c>
      <c r="AN844" s="57">
        <f t="shared" si="290"/>
        <v>302574.14690051513</v>
      </c>
      <c r="AO844" s="57">
        <f t="shared" si="291"/>
        <v>274416.03368162556</v>
      </c>
    </row>
    <row r="845" spans="12:41" x14ac:dyDescent="0.25">
      <c r="L845" s="6">
        <v>842</v>
      </c>
      <c r="M845" s="52">
        <f t="shared" si="277"/>
        <v>17350.40367883398</v>
      </c>
      <c r="N845" s="52">
        <f t="shared" si="278"/>
        <v>11740.240480782133</v>
      </c>
      <c r="P845" s="6">
        <v>842</v>
      </c>
      <c r="Q845" s="52">
        <f t="shared" si="292"/>
        <v>-21854.717424816212</v>
      </c>
      <c r="R845" s="52">
        <f t="shared" si="293"/>
        <v>12968.168336547495</v>
      </c>
      <c r="T845" s="6">
        <v>842</v>
      </c>
      <c r="U845" s="52">
        <f t="shared" si="279"/>
        <v>-7649.5963211660182</v>
      </c>
      <c r="V845" s="52">
        <f t="shared" si="280"/>
        <v>-10759.759519217867</v>
      </c>
      <c r="X845" s="6">
        <v>841</v>
      </c>
      <c r="Y845" s="55">
        <v>420.5</v>
      </c>
      <c r="Z845" s="52">
        <f t="shared" si="294"/>
        <v>67201.283039402668</v>
      </c>
      <c r="AA845" s="52">
        <f t="shared" si="295"/>
        <v>-280470.93517445732</v>
      </c>
      <c r="AB845" s="52">
        <f t="shared" si="296"/>
        <v>785.40497792784788</v>
      </c>
      <c r="AC845" s="52">
        <f t="shared" si="297"/>
        <v>-1229.8030187837046</v>
      </c>
      <c r="AD845" s="52">
        <f t="shared" si="281"/>
        <v>-3.3657419088316054</v>
      </c>
      <c r="AE845" s="52">
        <f t="shared" si="282"/>
        <v>14.587937639316591</v>
      </c>
      <c r="AF845" s="52">
        <f t="shared" si="283"/>
        <v>-0.99282099447982397</v>
      </c>
      <c r="AG845" s="52">
        <f t="shared" si="284"/>
        <v>6.0571148034794557</v>
      </c>
      <c r="AH845" s="52">
        <f t="shared" si="285"/>
        <v>-0.56097921433389775</v>
      </c>
      <c r="AI845" s="52">
        <f t="shared" si="286"/>
        <v>1.868644030471089</v>
      </c>
      <c r="AJ845" s="52">
        <f t="shared" si="287"/>
        <v>-1.8119417000178835</v>
      </c>
      <c r="AK845" s="52">
        <f t="shared" si="288"/>
        <v>6.6621788053660467</v>
      </c>
      <c r="AM845" s="52">
        <f t="shared" si="289"/>
        <v>291813.67450107145</v>
      </c>
      <c r="AN845" s="57">
        <f t="shared" si="290"/>
        <v>303277.80654845451</v>
      </c>
      <c r="AO845" s="57">
        <f t="shared" si="291"/>
        <v>275114.23571843182</v>
      </c>
    </row>
    <row r="846" spans="12:41" x14ac:dyDescent="0.25">
      <c r="L846" s="6">
        <v>843</v>
      </c>
      <c r="M846" s="52">
        <f t="shared" si="277"/>
        <v>17276.80482492486</v>
      </c>
      <c r="N846" s="52">
        <f t="shared" si="278"/>
        <v>11693.352839727118</v>
      </c>
      <c r="P846" s="6">
        <v>843</v>
      </c>
      <c r="Q846" s="52">
        <f t="shared" si="292"/>
        <v>-21906.236622552598</v>
      </c>
      <c r="R846" s="52">
        <f t="shared" si="293"/>
        <v>12935.346987808982</v>
      </c>
      <c r="T846" s="6">
        <v>843</v>
      </c>
      <c r="U846" s="52">
        <f t="shared" si="279"/>
        <v>-7723.1951750751396</v>
      </c>
      <c r="V846" s="52">
        <f t="shared" si="280"/>
        <v>-10806.647160272882</v>
      </c>
      <c r="X846" s="6">
        <v>842</v>
      </c>
      <c r="Y846" s="55">
        <v>421</v>
      </c>
      <c r="Z846" s="52">
        <f t="shared" si="294"/>
        <v>67593.564810627999</v>
      </c>
      <c r="AA846" s="52">
        <f t="shared" si="295"/>
        <v>-281084.01319164428</v>
      </c>
      <c r="AB846" s="52">
        <f t="shared" si="296"/>
        <v>783.72210697343212</v>
      </c>
      <c r="AC846" s="52">
        <f t="shared" si="297"/>
        <v>-1222.5090499640462</v>
      </c>
      <c r="AD846" s="52">
        <f t="shared" si="281"/>
        <v>-3.361925723746769</v>
      </c>
      <c r="AE846" s="52">
        <f t="shared" si="282"/>
        <v>14.51551873329678</v>
      </c>
      <c r="AF846" s="52">
        <f t="shared" si="283"/>
        <v>-0.99423063948116019</v>
      </c>
      <c r="AG846" s="52">
        <f t="shared" si="284"/>
        <v>6.0285265270883199</v>
      </c>
      <c r="AH846" s="52">
        <f t="shared" si="285"/>
        <v>-0.55962067613665112</v>
      </c>
      <c r="AI846" s="52">
        <f t="shared" si="286"/>
        <v>1.8596872113499494</v>
      </c>
      <c r="AJ846" s="52">
        <f t="shared" si="287"/>
        <v>-1.8080744081289577</v>
      </c>
      <c r="AK846" s="52">
        <f t="shared" si="288"/>
        <v>6.6273049948585108</v>
      </c>
      <c r="AM846" s="52">
        <f t="shared" si="289"/>
        <v>292482.27310587314</v>
      </c>
      <c r="AN846" s="57">
        <f t="shared" si="290"/>
        <v>303977.85335775209</v>
      </c>
      <c r="AO846" s="57">
        <f t="shared" si="291"/>
        <v>275808.86085854087</v>
      </c>
    </row>
    <row r="847" spans="12:41" x14ac:dyDescent="0.25">
      <c r="L847" s="6">
        <v>844</v>
      </c>
      <c r="M847" s="52">
        <f t="shared" si="277"/>
        <v>17204.035482646268</v>
      </c>
      <c r="N847" s="52">
        <f t="shared" si="278"/>
        <v>11645.187862775208</v>
      </c>
      <c r="P847" s="6">
        <v>844</v>
      </c>
      <c r="Q847" s="52">
        <f t="shared" si="292"/>
        <v>-21957.175162147614</v>
      </c>
      <c r="R847" s="52">
        <f t="shared" si="293"/>
        <v>12901.631503942646</v>
      </c>
      <c r="T847" s="6">
        <v>844</v>
      </c>
      <c r="U847" s="52">
        <f t="shared" si="279"/>
        <v>-7795.9645173537338</v>
      </c>
      <c r="V847" s="52">
        <f t="shared" si="280"/>
        <v>-10854.812137224792</v>
      </c>
      <c r="X847" s="6">
        <v>843</v>
      </c>
      <c r="Y847" s="55">
        <v>421.5</v>
      </c>
      <c r="Z847" s="52">
        <f t="shared" si="294"/>
        <v>67985.005623399251</v>
      </c>
      <c r="AA847" s="52">
        <f t="shared" si="295"/>
        <v>-281693.45327678462</v>
      </c>
      <c r="AB847" s="52">
        <f t="shared" si="296"/>
        <v>782.04114411155876</v>
      </c>
      <c r="AC847" s="52">
        <f t="shared" si="297"/>
        <v>-1215.2512905973979</v>
      </c>
      <c r="AD847" s="52">
        <f t="shared" si="281"/>
        <v>-3.3581310113487772</v>
      </c>
      <c r="AE847" s="52">
        <f t="shared" si="282"/>
        <v>14.443980606130205</v>
      </c>
      <c r="AF847" s="52">
        <f t="shared" si="283"/>
        <v>-0.99560780293696416</v>
      </c>
      <c r="AG847" s="52">
        <f t="shared" si="284"/>
        <v>6.0002756048495955</v>
      </c>
      <c r="AH847" s="52">
        <f t="shared" si="285"/>
        <v>-0.55827751785031476</v>
      </c>
      <c r="AI847" s="52">
        <f t="shared" si="286"/>
        <v>1.8508369228908919</v>
      </c>
      <c r="AJ847" s="52">
        <f t="shared" si="287"/>
        <v>-1.8042456905614983</v>
      </c>
      <c r="AK847" s="52">
        <f t="shared" si="288"/>
        <v>6.592868078389718</v>
      </c>
      <c r="AM847" s="52">
        <f t="shared" si="289"/>
        <v>293147.42738565773</v>
      </c>
      <c r="AN847" s="57">
        <f t="shared" si="290"/>
        <v>304674.30462558754</v>
      </c>
      <c r="AO847" s="57">
        <f t="shared" si="291"/>
        <v>276499.92597927421</v>
      </c>
    </row>
    <row r="848" spans="12:41" x14ac:dyDescent="0.25">
      <c r="L848" s="6">
        <v>845</v>
      </c>
      <c r="M848" s="52">
        <f t="shared" si="277"/>
        <v>17132.117818244777</v>
      </c>
      <c r="N848" s="52">
        <f t="shared" si="278"/>
        <v>11595.760221444962</v>
      </c>
      <c r="P848" s="6">
        <v>845</v>
      </c>
      <c r="Q848" s="52">
        <f t="shared" si="292"/>
        <v>-22007.517527228658</v>
      </c>
      <c r="R848" s="52">
        <f t="shared" si="293"/>
        <v>12867.032155011473</v>
      </c>
      <c r="T848" s="6">
        <v>845</v>
      </c>
      <c r="U848" s="52">
        <f t="shared" si="279"/>
        <v>-7867.8821817552252</v>
      </c>
      <c r="V848" s="52">
        <f t="shared" si="280"/>
        <v>-10904.239778555038</v>
      </c>
      <c r="X848" s="6">
        <v>844</v>
      </c>
      <c r="Y848" s="55">
        <v>422</v>
      </c>
      <c r="Z848" s="52">
        <f t="shared" si="294"/>
        <v>68375.606429078616</v>
      </c>
      <c r="AA848" s="52">
        <f t="shared" si="295"/>
        <v>-282299.27342450753</v>
      </c>
      <c r="AB848" s="52">
        <f t="shared" si="296"/>
        <v>780.36207860588434</v>
      </c>
      <c r="AC848" s="52">
        <f t="shared" si="297"/>
        <v>-1208.0293002943329</v>
      </c>
      <c r="AD848" s="52">
        <f t="shared" si="281"/>
        <v>-3.3543582217676282</v>
      </c>
      <c r="AE848" s="52">
        <f t="shared" si="282"/>
        <v>14.373308845039462</v>
      </c>
      <c r="AF848" s="52">
        <f t="shared" si="283"/>
        <v>-0.99695342692942523</v>
      </c>
      <c r="AG848" s="52">
        <f t="shared" si="284"/>
        <v>5.97235673284609</v>
      </c>
      <c r="AH848" s="52">
        <f t="shared" si="285"/>
        <v>-0.55694955189059925</v>
      </c>
      <c r="AI848" s="52">
        <f t="shared" si="286"/>
        <v>1.8420914540752926</v>
      </c>
      <c r="AJ848" s="52">
        <f t="shared" si="287"/>
        <v>-1.8004552429476037</v>
      </c>
      <c r="AK848" s="52">
        <f t="shared" si="288"/>
        <v>6.5588606581180793</v>
      </c>
      <c r="AM848" s="52">
        <f t="shared" si="289"/>
        <v>293809.1526395214</v>
      </c>
      <c r="AN848" s="57">
        <f t="shared" si="290"/>
        <v>305367.177437593</v>
      </c>
      <c r="AO848" s="57">
        <f t="shared" si="291"/>
        <v>277187.44775350968</v>
      </c>
    </row>
    <row r="849" spans="12:41" x14ac:dyDescent="0.25">
      <c r="L849" s="6">
        <v>846</v>
      </c>
      <c r="M849" s="52">
        <f t="shared" si="277"/>
        <v>17061.073738537638</v>
      </c>
      <c r="N849" s="52">
        <f t="shared" si="278"/>
        <v>11545.084971874739</v>
      </c>
      <c r="P849" s="6">
        <v>846</v>
      </c>
      <c r="Q849" s="52">
        <f t="shared" si="292"/>
        <v>-22057.248383023652</v>
      </c>
      <c r="R849" s="52">
        <f t="shared" si="293"/>
        <v>12831.559480312317</v>
      </c>
      <c r="T849" s="6">
        <v>846</v>
      </c>
      <c r="U849" s="52">
        <f t="shared" si="279"/>
        <v>-7938.926261462364</v>
      </c>
      <c r="V849" s="52">
        <f t="shared" si="280"/>
        <v>-10954.915028125261</v>
      </c>
      <c r="X849" s="6">
        <v>845</v>
      </c>
      <c r="Y849" s="55">
        <v>422.5</v>
      </c>
      <c r="Z849" s="52">
        <f t="shared" si="294"/>
        <v>68765.368173603842</v>
      </c>
      <c r="AA849" s="52">
        <f t="shared" si="295"/>
        <v>-282901.49141104909</v>
      </c>
      <c r="AB849" s="52">
        <f t="shared" si="296"/>
        <v>778.68489949500054</v>
      </c>
      <c r="AC849" s="52">
        <f t="shared" si="297"/>
        <v>-1200.8426458718131</v>
      </c>
      <c r="AD849" s="52">
        <f t="shared" si="281"/>
        <v>-3.3506077844017108</v>
      </c>
      <c r="AE849" s="52">
        <f t="shared" si="282"/>
        <v>14.3034893495305</v>
      </c>
      <c r="AF849" s="52">
        <f t="shared" si="283"/>
        <v>-0.99826842748859301</v>
      </c>
      <c r="AG849" s="52">
        <f t="shared" si="284"/>
        <v>5.9447647178468159</v>
      </c>
      <c r="AH849" s="52">
        <f t="shared" si="285"/>
        <v>-0.55563659407328991</v>
      </c>
      <c r="AI849" s="52">
        <f t="shared" si="286"/>
        <v>1.8334491303897764</v>
      </c>
      <c r="AJ849" s="52">
        <f t="shared" si="287"/>
        <v>-1.7967027628398282</v>
      </c>
      <c r="AK849" s="52">
        <f t="shared" si="288"/>
        <v>6.5252755012939074</v>
      </c>
      <c r="AM849" s="52">
        <f t="shared" si="289"/>
        <v>294467.46398688731</v>
      </c>
      <c r="AN849" s="57">
        <f t="shared" si="290"/>
        <v>306056.48867131094</v>
      </c>
      <c r="AO849" s="57">
        <f t="shared" si="291"/>
        <v>277871.44265298609</v>
      </c>
    </row>
    <row r="850" spans="12:41" x14ac:dyDescent="0.25">
      <c r="L850" s="6">
        <v>847</v>
      </c>
      <c r="M850" s="52">
        <f t="shared" si="277"/>
        <v>16990.924884239757</v>
      </c>
      <c r="N850" s="52">
        <f t="shared" si="278"/>
        <v>11493.177550236464</v>
      </c>
      <c r="P850" s="6">
        <v>847</v>
      </c>
      <c r="Q850" s="52">
        <f t="shared" si="292"/>
        <v>-22106.35258103217</v>
      </c>
      <c r="R850" s="52">
        <f t="shared" si="293"/>
        <v>12795.224285165525</v>
      </c>
      <c r="T850" s="6">
        <v>847</v>
      </c>
      <c r="U850" s="52">
        <f t="shared" si="279"/>
        <v>-8009.0751157602417</v>
      </c>
      <c r="V850" s="52">
        <f t="shared" si="280"/>
        <v>-11006.822449763536</v>
      </c>
      <c r="X850" s="6">
        <v>846</v>
      </c>
      <c r="Y850" s="55">
        <v>423</v>
      </c>
      <c r="Z850" s="52">
        <f t="shared" si="294"/>
        <v>69154.291797378304</v>
      </c>
      <c r="AA850" s="52">
        <f t="shared" si="295"/>
        <v>-283500.12479781633</v>
      </c>
      <c r="AB850" s="52">
        <f t="shared" si="296"/>
        <v>777.00959560279966</v>
      </c>
      <c r="AC850" s="52">
        <f t="shared" si="297"/>
        <v>-1193.6909011970479</v>
      </c>
      <c r="AD850" s="52">
        <f t="shared" si="281"/>
        <v>-3.3468801087408782</v>
      </c>
      <c r="AE850" s="52">
        <f t="shared" si="282"/>
        <v>14.234508323118607</v>
      </c>
      <c r="AF850" s="52">
        <f t="shared" si="283"/>
        <v>-0.99955369541659511</v>
      </c>
      <c r="AG850" s="52">
        <f t="shared" si="284"/>
        <v>5.9174944744878113</v>
      </c>
      <c r="AH850" s="52">
        <f t="shared" si="285"/>
        <v>-0.55433846354005867</v>
      </c>
      <c r="AI850" s="52">
        <f t="shared" si="286"/>
        <v>1.8249083128718355</v>
      </c>
      <c r="AJ850" s="52">
        <f t="shared" si="287"/>
        <v>-1.792987949784224</v>
      </c>
      <c r="AK850" s="52">
        <f t="shared" si="288"/>
        <v>6.4921055357589612</v>
      </c>
      <c r="AM850" s="52">
        <f t="shared" si="289"/>
        <v>295122.37637028896</v>
      </c>
      <c r="AN850" s="57">
        <f t="shared" si="290"/>
        <v>306742.25499957748</v>
      </c>
      <c r="AO850" s="57">
        <f t="shared" si="291"/>
        <v>278551.92695153569</v>
      </c>
    </row>
    <row r="851" spans="12:41" x14ac:dyDescent="0.25">
      <c r="L851" s="6">
        <v>848</v>
      </c>
      <c r="M851" s="52">
        <f t="shared" si="277"/>
        <v>16921.692623371713</v>
      </c>
      <c r="N851" s="52">
        <f t="shared" si="278"/>
        <v>11440.053768033613</v>
      </c>
      <c r="P851" s="6">
        <v>848</v>
      </c>
      <c r="Q851" s="52">
        <f t="shared" si="292"/>
        <v>-22154.8151636398</v>
      </c>
      <c r="R851" s="52">
        <f t="shared" si="293"/>
        <v>12758.037637623529</v>
      </c>
      <c r="T851" s="6">
        <v>848</v>
      </c>
      <c r="U851" s="52">
        <f t="shared" si="279"/>
        <v>-8078.3073766282878</v>
      </c>
      <c r="V851" s="52">
        <f t="shared" si="280"/>
        <v>-11059.946231966387</v>
      </c>
      <c r="X851" s="6">
        <v>847</v>
      </c>
      <c r="Y851" s="55">
        <v>423.5</v>
      </c>
      <c r="Z851" s="52">
        <f t="shared" si="294"/>
        <v>69542.378235166121</v>
      </c>
      <c r="AA851" s="52">
        <f t="shared" si="295"/>
        <v>-284095.19093487447</v>
      </c>
      <c r="AB851" s="52">
        <f t="shared" si="296"/>
        <v>775.33615554842925</v>
      </c>
      <c r="AC851" s="52">
        <f t="shared" si="297"/>
        <v>-1186.5736470354886</v>
      </c>
      <c r="AD851" s="52">
        <f t="shared" si="281"/>
        <v>-3.34317558515645</v>
      </c>
      <c r="AE851" s="52">
        <f t="shared" si="282"/>
        <v>14.16635226531435</v>
      </c>
      <c r="AF851" s="52">
        <f t="shared" si="283"/>
        <v>-1.000810097082504</v>
      </c>
      <c r="AG851" s="52">
        <f t="shared" si="284"/>
        <v>5.8905410225376604</v>
      </c>
      <c r="AH851" s="52">
        <f t="shared" si="285"/>
        <v>-0.55305498268618536</v>
      </c>
      <c r="AI851" s="52">
        <f t="shared" si="286"/>
        <v>1.8164673971848924</v>
      </c>
      <c r="AJ851" s="52">
        <f t="shared" si="287"/>
        <v>-1.7893105053877607</v>
      </c>
      <c r="AK851" s="52">
        <f t="shared" si="288"/>
        <v>6.4593438455917971</v>
      </c>
      <c r="AM851" s="52">
        <f t="shared" si="289"/>
        <v>295773.90455809678</v>
      </c>
      <c r="AN851" s="57">
        <f t="shared" si="290"/>
        <v>307424.4928938321</v>
      </c>
      <c r="AO851" s="57">
        <f t="shared" si="291"/>
        <v>279228.91672824847</v>
      </c>
    </row>
    <row r="852" spans="12:41" x14ac:dyDescent="0.25">
      <c r="L852" s="6">
        <v>849</v>
      </c>
      <c r="M852" s="52">
        <f t="shared" si="277"/>
        <v>16853.398044750815</v>
      </c>
      <c r="N852" s="52">
        <f t="shared" si="278"/>
        <v>11385.729807284855</v>
      </c>
      <c r="P852" s="6">
        <v>849</v>
      </c>
      <c r="Q852" s="52">
        <f t="shared" si="292"/>
        <v>-22202.62136867443</v>
      </c>
      <c r="R852" s="52">
        <f t="shared" si="293"/>
        <v>12720.010865099399</v>
      </c>
      <c r="T852" s="6">
        <v>849</v>
      </c>
      <c r="U852" s="52">
        <f t="shared" si="279"/>
        <v>-8146.6019552491862</v>
      </c>
      <c r="V852" s="52">
        <f t="shared" si="280"/>
        <v>-11114.270192715145</v>
      </c>
      <c r="X852" s="6">
        <v>848</v>
      </c>
      <c r="Y852" s="55">
        <v>424</v>
      </c>
      <c r="Z852" s="52">
        <f t="shared" si="294"/>
        <v>69929.628415992192</v>
      </c>
      <c r="AA852" s="52">
        <f t="shared" si="295"/>
        <v>-284686.70696435904</v>
      </c>
      <c r="AB852" s="52">
        <f t="shared" si="296"/>
        <v>773.66456775585107</v>
      </c>
      <c r="AC852" s="52">
        <f t="shared" si="297"/>
        <v>-1179.4904709028315</v>
      </c>
      <c r="AD852" s="52">
        <f t="shared" si="281"/>
        <v>-3.3394945856595424</v>
      </c>
      <c r="AE852" s="52">
        <f t="shared" si="282"/>
        <v>14.099007963860082</v>
      </c>
      <c r="AF852" s="52">
        <f t="shared" si="283"/>
        <v>-1.002038475189178</v>
      </c>
      <c r="AG852" s="52">
        <f t="shared" si="284"/>
        <v>5.8638994842456498</v>
      </c>
      <c r="AH852" s="52">
        <f t="shared" si="285"/>
        <v>-0.55178597709025834</v>
      </c>
      <c r="AI852" s="52">
        <f t="shared" si="286"/>
        <v>1.8081248127221619</v>
      </c>
      <c r="AJ852" s="52">
        <f t="shared" si="287"/>
        <v>-1.7856701333801064</v>
      </c>
      <c r="AK852" s="52">
        <f t="shared" si="288"/>
        <v>6.4269836668922693</v>
      </c>
      <c r="AM852" s="52">
        <f t="shared" si="289"/>
        <v>296422.06314718758</v>
      </c>
      <c r="AN852" s="57">
        <f t="shared" si="290"/>
        <v>308103.21862735623</v>
      </c>
      <c r="AO852" s="57">
        <f t="shared" si="291"/>
        <v>279902.42787056835</v>
      </c>
    </row>
    <row r="853" spans="12:41" x14ac:dyDescent="0.25">
      <c r="L853" s="6">
        <v>850</v>
      </c>
      <c r="M853" s="52">
        <f t="shared" si="277"/>
        <v>16786.06195156731</v>
      </c>
      <c r="N853" s="52">
        <f t="shared" si="278"/>
        <v>11330.222215594895</v>
      </c>
      <c r="P853" s="6">
        <v>850</v>
      </c>
      <c r="Q853" s="52">
        <f t="shared" si="292"/>
        <v>-22249.756633902885</v>
      </c>
      <c r="R853" s="52">
        <f t="shared" si="293"/>
        <v>12681.155550916426</v>
      </c>
      <c r="T853" s="6">
        <v>850</v>
      </c>
      <c r="U853" s="52">
        <f t="shared" si="279"/>
        <v>-8213.9380484326903</v>
      </c>
      <c r="V853" s="52">
        <f t="shared" si="280"/>
        <v>-11169.777784405105</v>
      </c>
      <c r="X853" s="6">
        <v>849</v>
      </c>
      <c r="Y853" s="55">
        <v>424.5</v>
      </c>
      <c r="Z853" s="52">
        <f t="shared" si="294"/>
        <v>70316.043263046915</v>
      </c>
      <c r="AA853" s="52">
        <f t="shared" si="295"/>
        <v>-285274.68982381502</v>
      </c>
      <c r="AB853" s="52">
        <f t="shared" si="296"/>
        <v>771.99482046302126</v>
      </c>
      <c r="AC853" s="52">
        <f t="shared" si="297"/>
        <v>-1172.4409669209015</v>
      </c>
      <c r="AD853" s="52">
        <f t="shared" si="281"/>
        <v>-3.3358374646289581</v>
      </c>
      <c r="AE853" s="52">
        <f t="shared" si="282"/>
        <v>14.032462487207351</v>
      </c>
      <c r="AF853" s="52">
        <f t="shared" si="283"/>
        <v>-1.0032396495130407</v>
      </c>
      <c r="AG853" s="52">
        <f t="shared" si="284"/>
        <v>5.8375650817688491</v>
      </c>
      <c r="AH853" s="52">
        <f t="shared" si="285"/>
        <v>-0.55053127544565339</v>
      </c>
      <c r="AI853" s="52">
        <f t="shared" si="286"/>
        <v>1.7998790217378315</v>
      </c>
      <c r="AJ853" s="52">
        <f t="shared" si="287"/>
        <v>-1.7820665396702637</v>
      </c>
      <c r="AK853" s="52">
        <f t="shared" si="288"/>
        <v>6.3950183837006689</v>
      </c>
      <c r="AM853" s="52">
        <f t="shared" si="289"/>
        <v>297066.86656555941</v>
      </c>
      <c r="AN853" s="57">
        <f t="shared" si="290"/>
        <v>308778.44827844243</v>
      </c>
      <c r="AO853" s="57">
        <f t="shared" si="291"/>
        <v>280572.47607732401</v>
      </c>
    </row>
    <row r="854" spans="12:41" x14ac:dyDescent="0.25">
      <c r="L854" s="6">
        <v>851</v>
      </c>
      <c r="M854" s="52">
        <f t="shared" si="277"/>
        <v>16719.704855047465</v>
      </c>
      <c r="N854" s="52">
        <f t="shared" si="278"/>
        <v>11273.547901113863</v>
      </c>
      <c r="P854" s="6">
        <v>851</v>
      </c>
      <c r="Q854" s="52">
        <f t="shared" si="292"/>
        <v>-22296.206601466773</v>
      </c>
      <c r="R854" s="52">
        <f t="shared" si="293"/>
        <v>12641.483530779704</v>
      </c>
      <c r="T854" s="6">
        <v>851</v>
      </c>
      <c r="U854" s="52">
        <f t="shared" si="279"/>
        <v>-8280.2951449525335</v>
      </c>
      <c r="V854" s="52">
        <f t="shared" si="280"/>
        <v>-11226.452098886137</v>
      </c>
      <c r="X854" s="6">
        <v>850</v>
      </c>
      <c r="Y854" s="55">
        <v>425</v>
      </c>
      <c r="Z854" s="52">
        <f t="shared" si="294"/>
        <v>70701.623693595349</v>
      </c>
      <c r="AA854" s="52">
        <f t="shared" si="295"/>
        <v>-285859.15624946461</v>
      </c>
      <c r="AB854" s="52">
        <f t="shared" si="296"/>
        <v>770.32690173070682</v>
      </c>
      <c r="AC854" s="52">
        <f t="shared" si="297"/>
        <v>-1165.4247356772978</v>
      </c>
      <c r="AD854" s="52">
        <f t="shared" si="281"/>
        <v>-3.3322045595101919</v>
      </c>
      <c r="AE854" s="52">
        <f t="shared" si="282"/>
        <v>13.966703177227563</v>
      </c>
      <c r="AF854" s="52">
        <f t="shared" si="283"/>
        <v>-1.0044144176179517</v>
      </c>
      <c r="AG854" s="52">
        <f t="shared" si="284"/>
        <v>5.8115331346759316</v>
      </c>
      <c r="AH854" s="52">
        <f t="shared" si="285"/>
        <v>-0.5492907094938434</v>
      </c>
      <c r="AI854" s="52">
        <f t="shared" si="286"/>
        <v>1.7917285185049416</v>
      </c>
      <c r="AJ854" s="52">
        <f t="shared" si="287"/>
        <v>-1.7784994323983967</v>
      </c>
      <c r="AK854" s="52">
        <f t="shared" si="288"/>
        <v>6.3634415240466904</v>
      </c>
      <c r="AM854" s="52">
        <f t="shared" si="289"/>
        <v>297708.32907489291</v>
      </c>
      <c r="AN854" s="57">
        <f t="shared" si="290"/>
        <v>309450.19773349585</v>
      </c>
      <c r="AO854" s="57">
        <f t="shared" si="291"/>
        <v>281239.07686169533</v>
      </c>
    </row>
    <row r="855" spans="12:41" x14ac:dyDescent="0.25">
      <c r="L855" s="6">
        <v>852</v>
      </c>
      <c r="M855" s="52">
        <f t="shared" si="277"/>
        <v>16654.346968205708</v>
      </c>
      <c r="N855" s="52">
        <f t="shared" si="278"/>
        <v>11215.724127386971</v>
      </c>
      <c r="P855" s="6">
        <v>852</v>
      </c>
      <c r="Q855" s="52">
        <f t="shared" si="292"/>
        <v>-22341.957122256004</v>
      </c>
      <c r="R855" s="52">
        <f t="shared" si="293"/>
        <v>12601.00688917088</v>
      </c>
      <c r="T855" s="6">
        <v>852</v>
      </c>
      <c r="U855" s="52">
        <f t="shared" si="279"/>
        <v>-8345.6530317942907</v>
      </c>
      <c r="V855" s="52">
        <f t="shared" si="280"/>
        <v>-11284.275872613029</v>
      </c>
      <c r="X855" s="6">
        <v>851</v>
      </c>
      <c r="Y855" s="55">
        <v>425.5</v>
      </c>
      <c r="Z855" s="52">
        <f t="shared" si="294"/>
        <v>71086.370618890767</v>
      </c>
      <c r="AA855" s="52">
        <f t="shared" si="295"/>
        <v>-286440.12277940608</v>
      </c>
      <c r="AB855" s="52">
        <f t="shared" si="296"/>
        <v>768.66079945095169</v>
      </c>
      <c r="AC855" s="52">
        <f t="shared" si="297"/>
        <v>-1158.4413840886841</v>
      </c>
      <c r="AD855" s="52">
        <f t="shared" si="281"/>
        <v>-3.3285961914865743</v>
      </c>
      <c r="AE855" s="52">
        <f t="shared" si="282"/>
        <v>13.901717642146597</v>
      </c>
      <c r="AF855" s="52">
        <f t="shared" si="283"/>
        <v>-1.0055635555440967</v>
      </c>
      <c r="AG855" s="52">
        <f t="shared" si="284"/>
        <v>5.7857990575245459</v>
      </c>
      <c r="AH855" s="52">
        <f t="shared" si="285"/>
        <v>-0.54806411395942434</v>
      </c>
      <c r="AI855" s="52">
        <f t="shared" si="286"/>
        <v>1.7836718284988209</v>
      </c>
      <c r="AJ855" s="52">
        <f t="shared" si="287"/>
        <v>-1.7749685219830529</v>
      </c>
      <c r="AK855" s="52">
        <f t="shared" si="288"/>
        <v>6.3322467561232294</v>
      </c>
      <c r="AM855" s="52">
        <f t="shared" si="289"/>
        <v>298346.46477306046</v>
      </c>
      <c r="AN855" s="57">
        <f t="shared" si="290"/>
        <v>310118.48269007006</v>
      </c>
      <c r="AO855" s="57">
        <f t="shared" si="291"/>
        <v>281902.24555411801</v>
      </c>
    </row>
    <row r="856" spans="12:41" x14ac:dyDescent="0.25">
      <c r="L856" s="6">
        <v>853</v>
      </c>
      <c r="M856" s="52">
        <f t="shared" si="277"/>
        <v>16590.008199687512</v>
      </c>
      <c r="N856" s="52">
        <f t="shared" si="278"/>
        <v>11156.768508095856</v>
      </c>
      <c r="P856" s="6">
        <v>853</v>
      </c>
      <c r="Q856" s="52">
        <f t="shared" si="292"/>
        <v>-22386.994260218744</v>
      </c>
      <c r="R856" s="52">
        <f t="shared" si="293"/>
        <v>12559.7379556671</v>
      </c>
      <c r="T856" s="6">
        <v>853</v>
      </c>
      <c r="U856" s="52">
        <f t="shared" si="279"/>
        <v>-8409.9918003124876</v>
      </c>
      <c r="V856" s="52">
        <f t="shared" si="280"/>
        <v>-11343.231491904144</v>
      </c>
      <c r="X856" s="6">
        <v>852</v>
      </c>
      <c r="Y856" s="55">
        <v>426</v>
      </c>
      <c r="Z856" s="52">
        <f t="shared" si="294"/>
        <v>71470.284944092302</v>
      </c>
      <c r="AA856" s="52">
        <f t="shared" si="295"/>
        <v>-287017.60575674515</v>
      </c>
      <c r="AB856" s="52">
        <f t="shared" si="296"/>
        <v>766.99650135520835</v>
      </c>
      <c r="AC856" s="52">
        <f t="shared" si="297"/>
        <v>-1151.4905252676108</v>
      </c>
      <c r="AD856" s="52">
        <f t="shared" si="281"/>
        <v>-3.3250126661238433</v>
      </c>
      <c r="AE856" s="52">
        <f t="shared" si="282"/>
        <v>13.8374937496962</v>
      </c>
      <c r="AF856" s="52">
        <f t="shared" si="283"/>
        <v>-1.0066878184730512</v>
      </c>
      <c r="AG856" s="52">
        <f t="shared" si="284"/>
        <v>5.7603583575107908</v>
      </c>
      <c r="AH856" s="52">
        <f t="shared" si="285"/>
        <v>-0.54685132648682877</v>
      </c>
      <c r="AI856" s="52">
        <f t="shared" si="286"/>
        <v>1.7757075076052706</v>
      </c>
      <c r="AJ856" s="52">
        <f t="shared" si="287"/>
        <v>-1.7714735211639632</v>
      </c>
      <c r="AK856" s="52">
        <f t="shared" si="288"/>
        <v>6.3014278845801401</v>
      </c>
      <c r="AM856" s="52">
        <f t="shared" si="289"/>
        <v>298981.28759658459</v>
      </c>
      <c r="AN856" s="57">
        <f t="shared" si="290"/>
        <v>310783.31865983852</v>
      </c>
      <c r="AO856" s="57">
        <f t="shared" si="291"/>
        <v>282561.99730512715</v>
      </c>
    </row>
    <row r="857" spans="12:41" x14ac:dyDescent="0.25">
      <c r="L857" s="6">
        <v>854</v>
      </c>
      <c r="M857" s="52">
        <f t="shared" si="277"/>
        <v>16526.708147705009</v>
      </c>
      <c r="N857" s="52">
        <f t="shared" si="278"/>
        <v>11096.69900169325</v>
      </c>
      <c r="P857" s="6">
        <v>854</v>
      </c>
      <c r="Q857" s="52">
        <f t="shared" si="292"/>
        <v>-22431.304296606493</v>
      </c>
      <c r="R857" s="52">
        <f t="shared" si="293"/>
        <v>12517.689301185275</v>
      </c>
      <c r="T857" s="6">
        <v>854</v>
      </c>
      <c r="U857" s="52">
        <f t="shared" si="279"/>
        <v>-8473.2918522949913</v>
      </c>
      <c r="V857" s="52">
        <f t="shared" si="280"/>
        <v>-11403.30099830675</v>
      </c>
      <c r="X857" s="6">
        <v>853</v>
      </c>
      <c r="Y857" s="55">
        <v>426.5</v>
      </c>
      <c r="Z857" s="52">
        <f t="shared" si="294"/>
        <v>71853.36756818663</v>
      </c>
      <c r="AA857" s="52">
        <f t="shared" si="295"/>
        <v>-287591.62133266026</v>
      </c>
      <c r="AB857" s="52">
        <f t="shared" si="296"/>
        <v>765.33399502214638</v>
      </c>
      <c r="AC857" s="52">
        <f t="shared" si="297"/>
        <v>-1144.5717783927628</v>
      </c>
      <c r="AD857" s="52">
        <f t="shared" si="281"/>
        <v>-3.3214542739891226</v>
      </c>
      <c r="AE857" s="52">
        <f t="shared" si="282"/>
        <v>13.774019620473283</v>
      </c>
      <c r="AF857" s="52">
        <f t="shared" si="283"/>
        <v>-1.0077879413696416</v>
      </c>
      <c r="AG857" s="52">
        <f t="shared" si="284"/>
        <v>5.7352066321865616</v>
      </c>
      <c r="AH857" s="52">
        <f t="shared" si="285"/>
        <v>-0.54565218757867129</v>
      </c>
      <c r="AI857" s="52">
        <f t="shared" si="286"/>
        <v>1.7678341413525964</v>
      </c>
      <c r="AJ857" s="52">
        <f t="shared" si="287"/>
        <v>-1.7680141450408098</v>
      </c>
      <c r="AK857" s="52">
        <f t="shared" si="288"/>
        <v>6.270978846934125</v>
      </c>
      <c r="AM857" s="52">
        <f t="shared" si="289"/>
        <v>299612.81132304674</v>
      </c>
      <c r="AN857" s="57">
        <f t="shared" si="290"/>
        <v>311444.72097150382</v>
      </c>
      <c r="AO857" s="57">
        <f t="shared" si="291"/>
        <v>283218.34708814195</v>
      </c>
    </row>
    <row r="858" spans="12:41" x14ac:dyDescent="0.25">
      <c r="L858" s="6">
        <v>855</v>
      </c>
      <c r="M858" s="52">
        <f t="shared" si="277"/>
        <v>16464.466094067262</v>
      </c>
      <c r="N858" s="52">
        <f t="shared" si="278"/>
        <v>11035.533905932736</v>
      </c>
      <c r="P858" s="6">
        <v>855</v>
      </c>
      <c r="Q858" s="52">
        <f t="shared" si="292"/>
        <v>-22474.873734152916</v>
      </c>
      <c r="R858" s="52">
        <f t="shared" si="293"/>
        <v>12474.873734152916</v>
      </c>
      <c r="T858" s="6">
        <v>855</v>
      </c>
      <c r="U858" s="52">
        <f t="shared" si="279"/>
        <v>-8535.533905932738</v>
      </c>
      <c r="V858" s="52">
        <f t="shared" si="280"/>
        <v>-11464.466094067264</v>
      </c>
      <c r="X858" s="6">
        <v>854</v>
      </c>
      <c r="Y858" s="55">
        <v>427</v>
      </c>
      <c r="Z858" s="52">
        <f t="shared" si="294"/>
        <v>72235.61938391345</v>
      </c>
      <c r="AA858" s="52">
        <f t="shared" si="295"/>
        <v>-288162.1854694041</v>
      </c>
      <c r="AB858" s="52">
        <f t="shared" si="296"/>
        <v>763.67326788515186</v>
      </c>
      <c r="AC858" s="52">
        <f t="shared" si="297"/>
        <v>-1137.6847685825262</v>
      </c>
      <c r="AD858" s="52">
        <f t="shared" si="281"/>
        <v>-3.3179212912458418</v>
      </c>
      <c r="AE858" s="52">
        <f t="shared" si="282"/>
        <v>13.71128362150222</v>
      </c>
      <c r="AF858" s="52">
        <f t="shared" si="283"/>
        <v>-1.0088646396018757</v>
      </c>
      <c r="AG858" s="52">
        <f t="shared" si="284"/>
        <v>5.7103395672446631</v>
      </c>
      <c r="AH858" s="52">
        <f t="shared" si="285"/>
        <v>-0.54446654053567856</v>
      </c>
      <c r="AI858" s="52">
        <f t="shared" si="286"/>
        <v>1.7600503441666802</v>
      </c>
      <c r="AJ858" s="52">
        <f t="shared" si="287"/>
        <v>-1.7645901111082876</v>
      </c>
      <c r="AK858" s="52">
        <f t="shared" si="288"/>
        <v>6.2408937100908766</v>
      </c>
      <c r="AM858" s="52">
        <f t="shared" si="289"/>
        <v>300241.04957344756</v>
      </c>
      <c r="AN858" s="57">
        <f t="shared" si="290"/>
        <v>312102.70477364573</v>
      </c>
      <c r="AO858" s="57">
        <f t="shared" si="291"/>
        <v>283871.30970219214</v>
      </c>
    </row>
    <row r="859" spans="12:41" x14ac:dyDescent="0.25">
      <c r="L859" s="6">
        <v>856</v>
      </c>
      <c r="M859" s="52">
        <f t="shared" si="277"/>
        <v>16403.300998306746</v>
      </c>
      <c r="N859" s="52">
        <f t="shared" si="278"/>
        <v>10973.291852294989</v>
      </c>
      <c r="P859" s="6">
        <v>856</v>
      </c>
      <c r="Q859" s="52">
        <f t="shared" si="292"/>
        <v>-22517.689301185277</v>
      </c>
      <c r="R859" s="52">
        <f t="shared" si="293"/>
        <v>12431.304296606493</v>
      </c>
      <c r="T859" s="6">
        <v>856</v>
      </c>
      <c r="U859" s="52">
        <f t="shared" si="279"/>
        <v>-8596.6990016932541</v>
      </c>
      <c r="V859" s="52">
        <f t="shared" si="280"/>
        <v>-11526.708147705011</v>
      </c>
      <c r="X859" s="6">
        <v>855</v>
      </c>
      <c r="Y859" s="55">
        <v>427.5</v>
      </c>
      <c r="Z859" s="52">
        <f t="shared" si="294"/>
        <v>72617.041277694618</v>
      </c>
      <c r="AA859" s="52">
        <f t="shared" si="295"/>
        <v>-288729.31394324271</v>
      </c>
      <c r="AB859" s="52">
        <f t="shared" si="296"/>
        <v>762.01430723952899</v>
      </c>
      <c r="AC859" s="52">
        <f t="shared" si="297"/>
        <v>-1130.829126771775</v>
      </c>
      <c r="AD859" s="52">
        <f t="shared" si="281"/>
        <v>-3.3144139802249453</v>
      </c>
      <c r="AE859" s="52">
        <f t="shared" si="282"/>
        <v>13.649274359989999</v>
      </c>
      <c r="AF859" s="52">
        <f t="shared" si="283"/>
        <v>-1.0099186095394637</v>
      </c>
      <c r="AG859" s="52">
        <f t="shared" si="284"/>
        <v>5.6857529343675184</v>
      </c>
      <c r="AH859" s="52">
        <f t="shared" si="285"/>
        <v>-0.54329423139815158</v>
      </c>
      <c r="AI859" s="52">
        <f t="shared" si="286"/>
        <v>1.7523547586482675</v>
      </c>
      <c r="AJ859" s="52">
        <f t="shared" si="287"/>
        <v>-1.7612011392873299</v>
      </c>
      <c r="AK859" s="52">
        <f t="shared" si="288"/>
        <v>6.2111666669742123</v>
      </c>
      <c r="AM859" s="52">
        <f t="shared" si="289"/>
        <v>300866.01581451978</v>
      </c>
      <c r="AN859" s="57">
        <f t="shared" si="290"/>
        <v>312757.28503751062</v>
      </c>
      <c r="AO859" s="57">
        <f t="shared" si="291"/>
        <v>284520.89977458894</v>
      </c>
    </row>
    <row r="860" spans="12:41" x14ac:dyDescent="0.25">
      <c r="L860" s="6">
        <v>857</v>
      </c>
      <c r="M860" s="52">
        <f t="shared" si="277"/>
        <v>16343.231491904153</v>
      </c>
      <c r="N860" s="52">
        <f t="shared" si="278"/>
        <v>10909.991800312499</v>
      </c>
      <c r="P860" s="6">
        <v>857</v>
      </c>
      <c r="Q860" s="52">
        <f t="shared" si="292"/>
        <v>-22559.737955667093</v>
      </c>
      <c r="R860" s="52">
        <f t="shared" si="293"/>
        <v>12386.994260218749</v>
      </c>
      <c r="T860" s="6">
        <v>857</v>
      </c>
      <c r="U860" s="52">
        <f t="shared" si="279"/>
        <v>-8656.7685080958472</v>
      </c>
      <c r="V860" s="52">
        <f t="shared" si="280"/>
        <v>-11590.008199687501</v>
      </c>
      <c r="X860" s="6">
        <v>856</v>
      </c>
      <c r="Y860" s="55">
        <v>428</v>
      </c>
      <c r="Z860" s="52">
        <f t="shared" si="294"/>
        <v>72997.634129566854</v>
      </c>
      <c r="AA860" s="52">
        <f t="shared" si="295"/>
        <v>-289293.02234733361</v>
      </c>
      <c r="AB860" s="52">
        <f t="shared" si="296"/>
        <v>760.35710024941648</v>
      </c>
      <c r="AC860" s="52">
        <f t="shared" si="297"/>
        <v>-1124.0044895917799</v>
      </c>
      <c r="AD860" s="52">
        <f t="shared" si="281"/>
        <v>-3.3109325899739739</v>
      </c>
      <c r="AE860" s="52">
        <f t="shared" si="282"/>
        <v>13.587980677269996</v>
      </c>
      <c r="AF860" s="52">
        <f t="shared" si="283"/>
        <v>-1.0109505291319851</v>
      </c>
      <c r="AG860" s="52">
        <f t="shared" si="284"/>
        <v>5.6614425891386526</v>
      </c>
      <c r="AH860" s="52">
        <f t="shared" si="285"/>
        <v>-0.54213510888893635</v>
      </c>
      <c r="AI860" s="52">
        <f t="shared" si="286"/>
        <v>1.7447460548717757</v>
      </c>
      <c r="AJ860" s="52">
        <f t="shared" si="287"/>
        <v>-1.7578469519530524</v>
      </c>
      <c r="AK860" s="52">
        <f t="shared" si="288"/>
        <v>6.1817920332595673</v>
      </c>
      <c r="AM860" s="52">
        <f t="shared" si="289"/>
        <v>301487.72336099576</v>
      </c>
      <c r="AN860" s="57">
        <f t="shared" si="290"/>
        <v>313408.47655974195</v>
      </c>
      <c r="AO860" s="57">
        <f t="shared" si="291"/>
        <v>285167.13176354079</v>
      </c>
    </row>
    <row r="861" spans="12:41" x14ac:dyDescent="0.25">
      <c r="L861" s="6">
        <v>858</v>
      </c>
      <c r="M861" s="52">
        <f t="shared" si="277"/>
        <v>16284.275872613027</v>
      </c>
      <c r="N861" s="52">
        <f t="shared" si="278"/>
        <v>10845.653031794289</v>
      </c>
      <c r="P861" s="6">
        <v>858</v>
      </c>
      <c r="Q861" s="52">
        <f t="shared" si="292"/>
        <v>-22601.00688917088</v>
      </c>
      <c r="R861" s="52">
        <f t="shared" si="293"/>
        <v>12341.957122256003</v>
      </c>
      <c r="T861" s="6">
        <v>858</v>
      </c>
      <c r="U861" s="52">
        <f t="shared" si="279"/>
        <v>-8715.7241273869731</v>
      </c>
      <c r="V861" s="52">
        <f t="shared" si="280"/>
        <v>-11654.346968205711</v>
      </c>
      <c r="X861" s="6">
        <v>857</v>
      </c>
      <c r="Y861" s="55">
        <v>428.5</v>
      </c>
      <c r="Z861" s="52">
        <f t="shared" si="294"/>
        <v>73377.398813117819</v>
      </c>
      <c r="AA861" s="52">
        <f t="shared" si="295"/>
        <v>-289853.32609454484</v>
      </c>
      <c r="AB861" s="52">
        <f t="shared" si="296"/>
        <v>758.70163395442944</v>
      </c>
      <c r="AC861" s="52">
        <f t="shared" si="297"/>
        <v>-1117.2104992531449</v>
      </c>
      <c r="AD861" s="52">
        <f t="shared" si="281"/>
        <v>-3.3074773567845757</v>
      </c>
      <c r="AE861" s="52">
        <f t="shared" si="282"/>
        <v>13.527391642926204</v>
      </c>
      <c r="AF861" s="52">
        <f t="shared" si="283"/>
        <v>-1.0119610584672614</v>
      </c>
      <c r="AG861" s="52">
        <f t="shared" si="284"/>
        <v>5.6374044690136875</v>
      </c>
      <c r="AH861" s="52">
        <f t="shared" si="285"/>
        <v>-0.54098902435779583</v>
      </c>
      <c r="AI861" s="52">
        <f t="shared" si="286"/>
        <v>1.7372229297046906</v>
      </c>
      <c r="AJ861" s="52">
        <f t="shared" si="287"/>
        <v>-1.7545272739595184</v>
      </c>
      <c r="AK861" s="52">
        <f t="shared" si="288"/>
        <v>6.1527642442078276</v>
      </c>
      <c r="AM861" s="52">
        <f t="shared" si="289"/>
        <v>302106.1853778293</v>
      </c>
      <c r="AN861" s="57">
        <f t="shared" si="290"/>
        <v>314056.29396505572</v>
      </c>
      <c r="AO861" s="57">
        <f t="shared" si="291"/>
        <v>285810.01996071573</v>
      </c>
    </row>
    <row r="862" spans="12:41" x14ac:dyDescent="0.25">
      <c r="L862" s="6">
        <v>859</v>
      </c>
      <c r="M862" s="52">
        <f t="shared" si="277"/>
        <v>16226.452098886142</v>
      </c>
      <c r="N862" s="52">
        <f t="shared" si="278"/>
        <v>10780.295144952539</v>
      </c>
      <c r="P862" s="6">
        <v>859</v>
      </c>
      <c r="Q862" s="52">
        <f t="shared" si="292"/>
        <v>-22641.4835307797</v>
      </c>
      <c r="R862" s="52">
        <f t="shared" si="293"/>
        <v>12296.206601466776</v>
      </c>
      <c r="T862" s="6">
        <v>859</v>
      </c>
      <c r="U862" s="52">
        <f t="shared" si="279"/>
        <v>-8773.5479011138577</v>
      </c>
      <c r="V862" s="52">
        <f t="shared" si="280"/>
        <v>-11719.704855047461</v>
      </c>
      <c r="X862" s="6">
        <v>858</v>
      </c>
      <c r="Y862" s="55">
        <v>429</v>
      </c>
      <c r="Z862" s="52">
        <f t="shared" si="294"/>
        <v>73756.336195425436</v>
      </c>
      <c r="AA862" s="52">
        <f t="shared" si="295"/>
        <v>-290410.24042021605</v>
      </c>
      <c r="AB862" s="52">
        <f t="shared" si="296"/>
        <v>757.04789527603714</v>
      </c>
      <c r="AC862" s="52">
        <f t="shared" si="297"/>
        <v>-1110.4468034316819</v>
      </c>
      <c r="AD862" s="52">
        <f t="shared" si="281"/>
        <v>-3.3040485046995718</v>
      </c>
      <c r="AE862" s="52">
        <f t="shared" si="282"/>
        <v>13.467496549092875</v>
      </c>
      <c r="AF862" s="52">
        <f t="shared" si="283"/>
        <v>-1.0129508403109475</v>
      </c>
      <c r="AG862" s="52">
        <f t="shared" si="284"/>
        <v>5.6136345913502597</v>
      </c>
      <c r="AH862" s="52">
        <f t="shared" si="285"/>
        <v>-0.53985583172726104</v>
      </c>
      <c r="AI862" s="52">
        <f t="shared" si="286"/>
        <v>1.7297841061472197</v>
      </c>
      <c r="AJ862" s="52">
        <f t="shared" si="287"/>
        <v>-1.751241832661363</v>
      </c>
      <c r="AK862" s="52">
        <f t="shared" si="288"/>
        <v>6.1240778515953957</v>
      </c>
      <c r="AM862" s="52">
        <f t="shared" si="289"/>
        <v>302721.41488237423</v>
      </c>
      <c r="AN862" s="57">
        <f t="shared" si="290"/>
        <v>314700.75170886016</v>
      </c>
      <c r="AO862" s="57">
        <f t="shared" si="291"/>
        <v>286449.57849375182</v>
      </c>
    </row>
    <row r="863" spans="12:41" x14ac:dyDescent="0.25">
      <c r="L863" s="6">
        <v>860</v>
      </c>
      <c r="M863" s="52">
        <f t="shared" si="277"/>
        <v>16169.777784405114</v>
      </c>
      <c r="N863" s="52">
        <f t="shared" si="278"/>
        <v>10713.938048432703</v>
      </c>
      <c r="P863" s="6">
        <v>860</v>
      </c>
      <c r="Q863" s="52">
        <f t="shared" si="292"/>
        <v>-22681.155550916421</v>
      </c>
      <c r="R863" s="52">
        <f t="shared" si="293"/>
        <v>12249.756633902893</v>
      </c>
      <c r="T863" s="6">
        <v>860</v>
      </c>
      <c r="U863" s="52">
        <f t="shared" si="279"/>
        <v>-8830.2222155948857</v>
      </c>
      <c r="V863" s="52">
        <f t="shared" si="280"/>
        <v>-11786.061951567297</v>
      </c>
      <c r="X863" s="6">
        <v>859</v>
      </c>
      <c r="Y863" s="55">
        <v>429.5</v>
      </c>
      <c r="Z863" s="52">
        <f t="shared" si="294"/>
        <v>74134.447137000374</v>
      </c>
      <c r="AA863" s="52">
        <f t="shared" si="295"/>
        <v>-290963.78038486326</v>
      </c>
      <c r="AB863" s="52">
        <f t="shared" si="296"/>
        <v>755.39587102368739</v>
      </c>
      <c r="AC863" s="52">
        <f t="shared" si="297"/>
        <v>-1103.7130551571354</v>
      </c>
      <c r="AD863" s="52">
        <f t="shared" si="281"/>
        <v>-3.3006462460003094</v>
      </c>
      <c r="AE863" s="52">
        <f t="shared" si="282"/>
        <v>13.408284904922718</v>
      </c>
      <c r="AF863" s="52">
        <f t="shared" si="283"/>
        <v>-1.0139205006278107</v>
      </c>
      <c r="AG863" s="52">
        <f t="shared" si="284"/>
        <v>5.5901290514935837</v>
      </c>
      <c r="AH863" s="52">
        <f t="shared" si="285"/>
        <v>-0.53873538743975624</v>
      </c>
      <c r="AI863" s="52">
        <f t="shared" si="286"/>
        <v>1.7224283326910041</v>
      </c>
      <c r="AJ863" s="52">
        <f t="shared" si="287"/>
        <v>-1.7479903579327425</v>
      </c>
      <c r="AK863" s="52">
        <f t="shared" si="288"/>
        <v>6.0957275207381301</v>
      </c>
      <c r="AM863" s="52">
        <f t="shared" si="289"/>
        <v>303333.42474651977</v>
      </c>
      <c r="AN863" s="57">
        <f t="shared" si="290"/>
        <v>315341.86407982197</v>
      </c>
      <c r="AO863" s="57">
        <f t="shared" si="291"/>
        <v>287085.82132871653</v>
      </c>
    </row>
    <row r="864" spans="12:41" x14ac:dyDescent="0.25">
      <c r="L864" s="6">
        <v>861</v>
      </c>
      <c r="M864" s="52">
        <f t="shared" si="277"/>
        <v>16114.270192715148</v>
      </c>
      <c r="N864" s="52">
        <f t="shared" si="278"/>
        <v>10646.601955249191</v>
      </c>
      <c r="P864" s="6">
        <v>861</v>
      </c>
      <c r="Q864" s="52">
        <f t="shared" si="292"/>
        <v>-22720.010865099397</v>
      </c>
      <c r="R864" s="52">
        <f t="shared" si="293"/>
        <v>12202.621368674434</v>
      </c>
      <c r="T864" s="6">
        <v>861</v>
      </c>
      <c r="U864" s="52">
        <f t="shared" si="279"/>
        <v>-8885.7298072848516</v>
      </c>
      <c r="V864" s="52">
        <f t="shared" si="280"/>
        <v>-11853.398044750809</v>
      </c>
      <c r="X864" s="6">
        <v>860</v>
      </c>
      <c r="Y864" s="55">
        <v>430</v>
      </c>
      <c r="Z864" s="52">
        <f t="shared" si="294"/>
        <v>74511.732491731469</v>
      </c>
      <c r="AA864" s="52">
        <f t="shared" si="295"/>
        <v>-291513.9608768287</v>
      </c>
      <c r="AB864" s="52">
        <f t="shared" si="296"/>
        <v>753.74554790068726</v>
      </c>
      <c r="AC864" s="52">
        <f t="shared" si="297"/>
        <v>-1097.008912704674</v>
      </c>
      <c r="AD864" s="52">
        <f t="shared" si="281"/>
        <v>-3.2972707816751488</v>
      </c>
      <c r="AE864" s="52">
        <f t="shared" si="282"/>
        <v>13.349746431218307</v>
      </c>
      <c r="AF864" s="52">
        <f t="shared" si="283"/>
        <v>-1.0148706490855453</v>
      </c>
      <c r="AG864" s="52">
        <f t="shared" si="284"/>
        <v>5.5668840209167252</v>
      </c>
      <c r="AH864" s="52">
        <f t="shared" si="285"/>
        <v>-0.53762755040612753</v>
      </c>
      <c r="AI864" s="52">
        <f t="shared" si="286"/>
        <v>1.7151543826967748</v>
      </c>
      <c r="AJ864" s="52">
        <f t="shared" si="287"/>
        <v>-1.7447725821834761</v>
      </c>
      <c r="AK864" s="52">
        <f t="shared" si="288"/>
        <v>6.0677080276048079</v>
      </c>
      <c r="AM864" s="52">
        <f t="shared" si="289"/>
        <v>303942.22769878444</v>
      </c>
      <c r="AN864" s="57">
        <f t="shared" si="290"/>
        <v>315979.64520238072</v>
      </c>
      <c r="AO864" s="57">
        <f t="shared" si="291"/>
        <v>287718.76227251679</v>
      </c>
    </row>
    <row r="865" spans="12:41" x14ac:dyDescent="0.25">
      <c r="L865" s="6">
        <v>862</v>
      </c>
      <c r="M865" s="52">
        <f t="shared" si="277"/>
        <v>16059.946231966391</v>
      </c>
      <c r="N865" s="52">
        <f t="shared" si="278"/>
        <v>10578.307376628292</v>
      </c>
      <c r="P865" s="6">
        <v>862</v>
      </c>
      <c r="Q865" s="52">
        <f t="shared" si="292"/>
        <v>-22758.037637623525</v>
      </c>
      <c r="R865" s="52">
        <f t="shared" si="293"/>
        <v>12154.815163639803</v>
      </c>
      <c r="T865" s="6">
        <v>862</v>
      </c>
      <c r="U865" s="52">
        <f t="shared" si="279"/>
        <v>-8940.0537680336092</v>
      </c>
      <c r="V865" s="52">
        <f t="shared" si="280"/>
        <v>-11921.692623371708</v>
      </c>
      <c r="X865" s="6">
        <v>861</v>
      </c>
      <c r="Y865" s="55">
        <v>430.5</v>
      </c>
      <c r="Z865" s="52">
        <f t="shared" si="294"/>
        <v>74888.193106834093</v>
      </c>
      <c r="AA865" s="52">
        <f t="shared" si="295"/>
        <v>-292060.79661487712</v>
      </c>
      <c r="AB865" s="52">
        <f t="shared" si="296"/>
        <v>752.09691250984963</v>
      </c>
      <c r="AC865" s="52">
        <f t="shared" si="297"/>
        <v>-1090.3340394890649</v>
      </c>
      <c r="AD865" s="52">
        <f t="shared" si="281"/>
        <v>-3.2939223018698875</v>
      </c>
      <c r="AE865" s="52">
        <f t="shared" si="282"/>
        <v>13.291871055221073</v>
      </c>
      <c r="AF865" s="52">
        <f t="shared" si="283"/>
        <v>-1.015801879541711</v>
      </c>
      <c r="AG865" s="52">
        <f t="shared" si="284"/>
        <v>5.5438957454133586</v>
      </c>
      <c r="AH865" s="52">
        <f t="shared" si="285"/>
        <v>-0.5365321819554083</v>
      </c>
      <c r="AI865" s="52">
        <f t="shared" si="286"/>
        <v>1.7079610537899101</v>
      </c>
      <c r="AJ865" s="52">
        <f t="shared" si="287"/>
        <v>-1.741588240372768</v>
      </c>
      <c r="AK865" s="52">
        <f t="shared" si="288"/>
        <v>6.0400142560178045</v>
      </c>
      <c r="AM865" s="52">
        <f t="shared" si="289"/>
        <v>304547.83632636908</v>
      </c>
      <c r="AN865" s="57">
        <f t="shared" si="290"/>
        <v>316614.10903921194</v>
      </c>
      <c r="AO865" s="57">
        <f t="shared" si="291"/>
        <v>288348.41497526062</v>
      </c>
    </row>
    <row r="866" spans="12:41" x14ac:dyDescent="0.25">
      <c r="L866" s="6">
        <v>863</v>
      </c>
      <c r="M866" s="52">
        <f t="shared" si="277"/>
        <v>16006.82244976354</v>
      </c>
      <c r="N866" s="52">
        <f t="shared" si="278"/>
        <v>10509.075115760246</v>
      </c>
      <c r="P866" s="6">
        <v>863</v>
      </c>
      <c r="Q866" s="52">
        <f t="shared" si="292"/>
        <v>-22795.224285165521</v>
      </c>
      <c r="R866" s="52">
        <f t="shared" si="293"/>
        <v>12106.352581032173</v>
      </c>
      <c r="T866" s="6">
        <v>863</v>
      </c>
      <c r="U866" s="52">
        <f t="shared" si="279"/>
        <v>-8993.1775502364599</v>
      </c>
      <c r="V866" s="52">
        <f t="shared" si="280"/>
        <v>-11990.924884239754</v>
      </c>
      <c r="X866" s="6">
        <v>862</v>
      </c>
      <c r="Y866" s="55">
        <v>431</v>
      </c>
      <c r="Z866" s="52">
        <f t="shared" si="294"/>
        <v>75263.829822801286</v>
      </c>
      <c r="AA866" s="52">
        <f t="shared" si="295"/>
        <v>-292604.30215073976</v>
      </c>
      <c r="AB866" s="52">
        <f t="shared" si="296"/>
        <v>750.44995135891463</v>
      </c>
      <c r="AC866" s="52">
        <f t="shared" si="297"/>
        <v>-1083.6881039614543</v>
      </c>
      <c r="AD866" s="52">
        <f t="shared" si="281"/>
        <v>-3.2906009863207943</v>
      </c>
      <c r="AE866" s="52">
        <f t="shared" si="282"/>
        <v>13.234648905552357</v>
      </c>
      <c r="AF866" s="52">
        <f t="shared" si="283"/>
        <v>-1.0167147705144601</v>
      </c>
      <c r="AG866" s="52">
        <f t="shared" si="284"/>
        <v>5.5211605433415327</v>
      </c>
      <c r="AH866" s="52">
        <f t="shared" si="285"/>
        <v>-0.53544914578583369</v>
      </c>
      <c r="AI866" s="52">
        <f t="shared" si="286"/>
        <v>1.7008471672734535</v>
      </c>
      <c r="AJ866" s="52">
        <f t="shared" si="287"/>
        <v>-1.7384370700205003</v>
      </c>
      <c r="AK866" s="52">
        <f t="shared" si="288"/>
        <v>6.0126411949373706</v>
      </c>
      <c r="AM866" s="52">
        <f t="shared" si="289"/>
        <v>305150.26307717001</v>
      </c>
      <c r="AN866" s="57">
        <f t="shared" si="290"/>
        <v>317245.26939364098</v>
      </c>
      <c r="AO866" s="57">
        <f t="shared" si="291"/>
        <v>288974.7929325719</v>
      </c>
    </row>
    <row r="867" spans="12:41" x14ac:dyDescent="0.25">
      <c r="L867" s="6">
        <v>864</v>
      </c>
      <c r="M867" s="52">
        <f t="shared" si="277"/>
        <v>15954.915028125264</v>
      </c>
      <c r="N867" s="52">
        <f t="shared" si="278"/>
        <v>10438.926261462368</v>
      </c>
      <c r="P867" s="6">
        <v>864</v>
      </c>
      <c r="Q867" s="52">
        <f t="shared" si="292"/>
        <v>-22831.559480312317</v>
      </c>
      <c r="R867" s="52">
        <f t="shared" si="293"/>
        <v>12057.248383023658</v>
      </c>
      <c r="T867" s="6">
        <v>864</v>
      </c>
      <c r="U867" s="52">
        <f t="shared" si="279"/>
        <v>-9045.0849718747359</v>
      </c>
      <c r="V867" s="52">
        <f t="shared" si="280"/>
        <v>-12061.073738537632</v>
      </c>
      <c r="X867" s="6">
        <v>863</v>
      </c>
      <c r="Y867" s="55">
        <v>431.5</v>
      </c>
      <c r="Z867" s="52">
        <f t="shared" si="294"/>
        <v>75638.643473357457</v>
      </c>
      <c r="AA867" s="52">
        <f t="shared" si="295"/>
        <v>-293144.49187160726</v>
      </c>
      <c r="AB867" s="52">
        <f t="shared" si="296"/>
        <v>748.80465086575418</v>
      </c>
      <c r="AC867" s="52">
        <f t="shared" si="297"/>
        <v>-1077.0707795086782</v>
      </c>
      <c r="AD867" s="52">
        <f t="shared" si="281"/>
        <v>-3.287307004771101</v>
      </c>
      <c r="AE867" s="52">
        <f t="shared" si="282"/>
        <v>13.178070307301752</v>
      </c>
      <c r="AF867" s="52">
        <f t="shared" si="283"/>
        <v>-1.0176098856375893</v>
      </c>
      <c r="AG867" s="52">
        <f t="shared" si="284"/>
        <v>5.4986748039163835</v>
      </c>
      <c r="AH867" s="52">
        <f t="shared" si="285"/>
        <v>-0.53437830791711194</v>
      </c>
      <c r="AI867" s="52">
        <f t="shared" si="286"/>
        <v>1.6938115675581455</v>
      </c>
      <c r="AJ867" s="52">
        <f t="shared" si="287"/>
        <v>-1.7353188112163997</v>
      </c>
      <c r="AK867" s="52">
        <f t="shared" si="288"/>
        <v>5.9855839358272229</v>
      </c>
      <c r="AM867" s="52">
        <f t="shared" si="289"/>
        <v>305749.52026175335</v>
      </c>
      <c r="AN867" s="57">
        <f t="shared" si="290"/>
        <v>317873.1399120079</v>
      </c>
      <c r="AO867" s="57">
        <f t="shared" si="291"/>
        <v>289597.90948785847</v>
      </c>
    </row>
    <row r="868" spans="12:41" x14ac:dyDescent="0.25">
      <c r="L868" s="6">
        <v>865</v>
      </c>
      <c r="M868" s="52">
        <f t="shared" si="277"/>
        <v>15904.239778555042</v>
      </c>
      <c r="N868" s="52">
        <f t="shared" si="278"/>
        <v>10367.882181755231</v>
      </c>
      <c r="P868" s="6">
        <v>865</v>
      </c>
      <c r="Q868" s="52">
        <f t="shared" si="292"/>
        <v>-22867.032155011471</v>
      </c>
      <c r="R868" s="52">
        <f t="shared" si="293"/>
        <v>12007.517527228661</v>
      </c>
      <c r="T868" s="6">
        <v>865</v>
      </c>
      <c r="U868" s="52">
        <f t="shared" si="279"/>
        <v>-9095.760221444958</v>
      </c>
      <c r="V868" s="52">
        <f t="shared" si="280"/>
        <v>-12132.117818244769</v>
      </c>
      <c r="X868" s="6">
        <v>864</v>
      </c>
      <c r="Y868" s="55">
        <v>432</v>
      </c>
      <c r="Z868" s="52">
        <f t="shared" si="294"/>
        <v>76012.634885414736</v>
      </c>
      <c r="AA868" s="52">
        <f t="shared" si="295"/>
        <v>-293681.38000257319</v>
      </c>
      <c r="AB868" s="52">
        <f t="shared" si="296"/>
        <v>747.16099736336866</v>
      </c>
      <c r="AC868" s="52">
        <f t="shared" si="297"/>
        <v>-1070.4817443550273</v>
      </c>
      <c r="AD868" s="52">
        <f t="shared" si="281"/>
        <v>-3.2840405173714835</v>
      </c>
      <c r="AE868" s="52">
        <f t="shared" si="282"/>
        <v>13.122125777257544</v>
      </c>
      <c r="AF868" s="52">
        <f t="shared" si="283"/>
        <v>-1.0184877741006317</v>
      </c>
      <c r="AG868" s="52">
        <f t="shared" si="284"/>
        <v>5.4764349855509575</v>
      </c>
      <c r="AH868" s="52">
        <f t="shared" si="285"/>
        <v>-0.53331953664381215</v>
      </c>
      <c r="AI868" s="52">
        <f t="shared" si="286"/>
        <v>1.6868531216085703</v>
      </c>
      <c r="AJ868" s="52">
        <f t="shared" si="287"/>
        <v>-1.7322332066270398</v>
      </c>
      <c r="AK868" s="52">
        <f t="shared" si="288"/>
        <v>5.9588376700980161</v>
      </c>
      <c r="AM868" s="52">
        <f t="shared" si="289"/>
        <v>306345.62005529174</v>
      </c>
      <c r="AN868" s="57">
        <f t="shared" si="290"/>
        <v>318497.73408598563</v>
      </c>
      <c r="AO868" s="57">
        <f t="shared" si="291"/>
        <v>290217.77783453604</v>
      </c>
    </row>
    <row r="869" spans="12:41" x14ac:dyDescent="0.25">
      <c r="L869" s="6">
        <v>866</v>
      </c>
      <c r="M869" s="52">
        <f t="shared" si="277"/>
        <v>15854.812137224788</v>
      </c>
      <c r="N869" s="52">
        <f t="shared" si="278"/>
        <v>10295.96451735373</v>
      </c>
      <c r="P869" s="6">
        <v>866</v>
      </c>
      <c r="Q869" s="52">
        <f t="shared" si="292"/>
        <v>-22901.631503942648</v>
      </c>
      <c r="R869" s="52">
        <f t="shared" si="293"/>
        <v>11957.175162147611</v>
      </c>
      <c r="T869" s="6">
        <v>866</v>
      </c>
      <c r="U869" s="52">
        <f t="shared" si="279"/>
        <v>-9145.1878627752121</v>
      </c>
      <c r="V869" s="52">
        <f t="shared" si="280"/>
        <v>-12204.03548264627</v>
      </c>
      <c r="X869" s="6">
        <v>865</v>
      </c>
      <c r="Y869" s="55">
        <v>432.5</v>
      </c>
      <c r="Z869" s="52">
        <f t="shared" si="294"/>
        <v>76385.804879031741</v>
      </c>
      <c r="AA869" s="52">
        <f t="shared" si="295"/>
        <v>-294214.98060902854</v>
      </c>
      <c r="AB869" s="52">
        <f t="shared" si="296"/>
        <v>745.5189771046829</v>
      </c>
      <c r="AC869" s="52">
        <f t="shared" si="297"/>
        <v>-1063.9206814663985</v>
      </c>
      <c r="AD869" s="52">
        <f t="shared" si="281"/>
        <v>-3.2808016750653017</v>
      </c>
      <c r="AE869" s="52">
        <f t="shared" si="282"/>
        <v>13.066806019274626</v>
      </c>
      <c r="AF869" s="52">
        <f t="shared" si="283"/>
        <v>-1.0193489710744088</v>
      </c>
      <c r="AG869" s="52">
        <f t="shared" si="284"/>
        <v>5.4544376142428446</v>
      </c>
      <c r="AH869" s="52">
        <f t="shared" si="285"/>
        <v>-0.5322727024899393</v>
      </c>
      <c r="AI869" s="52">
        <f t="shared" si="286"/>
        <v>1.6799707184052179</v>
      </c>
      <c r="AJ869" s="52">
        <f t="shared" si="287"/>
        <v>-1.7291800015009535</v>
      </c>
      <c r="AK869" s="52">
        <f t="shared" si="288"/>
        <v>5.9323976866265626</v>
      </c>
      <c r="AM869" s="52">
        <f t="shared" si="289"/>
        <v>306938.57449946349</v>
      </c>
      <c r="AN869" s="57">
        <f t="shared" si="290"/>
        <v>319119.06525485188</v>
      </c>
      <c r="AO869" s="57">
        <f t="shared" si="291"/>
        <v>290834.41101820813</v>
      </c>
    </row>
    <row r="870" spans="12:41" x14ac:dyDescent="0.25">
      <c r="L870" s="6">
        <v>867</v>
      </c>
      <c r="M870" s="52">
        <f t="shared" si="277"/>
        <v>15806.647160272882</v>
      </c>
      <c r="N870" s="52">
        <f t="shared" si="278"/>
        <v>10223.195175075136</v>
      </c>
      <c r="P870" s="6">
        <v>867</v>
      </c>
      <c r="Q870" s="52">
        <f t="shared" si="292"/>
        <v>-22935.346987808982</v>
      </c>
      <c r="R870" s="52">
        <f t="shared" si="293"/>
        <v>11906.236622552595</v>
      </c>
      <c r="T870" s="6">
        <v>867</v>
      </c>
      <c r="U870" s="52">
        <f t="shared" si="279"/>
        <v>-9193.3528397271184</v>
      </c>
      <c r="V870" s="52">
        <f t="shared" si="280"/>
        <v>-12276.804824924864</v>
      </c>
      <c r="X870" s="6">
        <v>866</v>
      </c>
      <c r="Y870" s="55">
        <v>433</v>
      </c>
      <c r="Z870" s="52">
        <f t="shared" si="294"/>
        <v>76758.154267374703</v>
      </c>
      <c r="AA870" s="52">
        <f t="shared" si="295"/>
        <v>-294745.30759900931</v>
      </c>
      <c r="AB870" s="52">
        <f t="shared" si="296"/>
        <v>743.87857626715027</v>
      </c>
      <c r="AC870" s="52">
        <f t="shared" si="297"/>
        <v>-1057.3872784567611</v>
      </c>
      <c r="AD870" s="52">
        <f t="shared" si="281"/>
        <v>-3.2775906199591143</v>
      </c>
      <c r="AE870" s="52">
        <f t="shared" si="282"/>
        <v>13.012101919775075</v>
      </c>
      <c r="AF870" s="52">
        <f t="shared" si="283"/>
        <v>-1.0201939981226185</v>
      </c>
      <c r="AG870" s="52">
        <f t="shared" si="284"/>
        <v>5.4326792820054175</v>
      </c>
      <c r="AH870" s="52">
        <f t="shared" si="285"/>
        <v>-0.53123767816460798</v>
      </c>
      <c r="AI870" s="52">
        <f t="shared" si="286"/>
        <v>1.6731632684217543</v>
      </c>
      <c r="AJ870" s="52">
        <f t="shared" si="287"/>
        <v>-1.7261589436718876</v>
      </c>
      <c r="AK870" s="52">
        <f t="shared" si="288"/>
        <v>5.9062593693479037</v>
      </c>
      <c r="AM870" s="52">
        <f t="shared" si="289"/>
        <v>307528.39550431579</v>
      </c>
      <c r="AN870" s="57">
        <f t="shared" si="290"/>
        <v>319737.14660771569</v>
      </c>
      <c r="AO870" s="57">
        <f t="shared" si="291"/>
        <v>291447.82193880295</v>
      </c>
    </row>
    <row r="871" spans="12:41" x14ac:dyDescent="0.25">
      <c r="L871" s="6">
        <v>868</v>
      </c>
      <c r="M871" s="52">
        <f t="shared" si="277"/>
        <v>15759.759519217874</v>
      </c>
      <c r="N871" s="52">
        <f t="shared" si="278"/>
        <v>10149.596321166031</v>
      </c>
      <c r="P871" s="6">
        <v>868</v>
      </c>
      <c r="Q871" s="52">
        <f t="shared" si="292"/>
        <v>-22968.168336547489</v>
      </c>
      <c r="R871" s="52">
        <f t="shared" si="293"/>
        <v>11854.717424816221</v>
      </c>
      <c r="T871" s="6">
        <v>868</v>
      </c>
      <c r="U871" s="52">
        <f t="shared" si="279"/>
        <v>-9240.2404807821258</v>
      </c>
      <c r="V871" s="52">
        <f t="shared" si="280"/>
        <v>-12350.403678833969</v>
      </c>
      <c r="X871" s="6">
        <v>867</v>
      </c>
      <c r="Y871" s="55">
        <v>433.5</v>
      </c>
      <c r="Z871" s="52">
        <f t="shared" si="294"/>
        <v>77129.683856680786</v>
      </c>
      <c r="AA871" s="52">
        <f t="shared" si="295"/>
        <v>-295272.37472549768</v>
      </c>
      <c r="AB871" s="52">
        <f t="shared" si="296"/>
        <v>742.23978095717075</v>
      </c>
      <c r="AC871" s="52">
        <f t="shared" si="297"/>
        <v>-1050.8812274968736</v>
      </c>
      <c r="AD871" s="52">
        <f t="shared" si="281"/>
        <v>-3.2744074856791463</v>
      </c>
      <c r="AE871" s="52">
        <f t="shared" si="282"/>
        <v>12.958004543377399</v>
      </c>
      <c r="AF871" s="52">
        <f t="shared" si="283"/>
        <v>-1.0210233636000308</v>
      </c>
      <c r="AG871" s="52">
        <f t="shared" si="284"/>
        <v>5.4111566453425386</v>
      </c>
      <c r="AH871" s="52">
        <f t="shared" si="285"/>
        <v>-0.53021433851878019</v>
      </c>
      <c r="AI871" s="52">
        <f t="shared" si="286"/>
        <v>1.6664297031170034</v>
      </c>
      <c r="AJ871" s="52">
        <f t="shared" si="287"/>
        <v>-1.7231697835603352</v>
      </c>
      <c r="AK871" s="52">
        <f t="shared" si="288"/>
        <v>5.8804181949178567</v>
      </c>
      <c r="AM871" s="52">
        <f t="shared" si="289"/>
        <v>308115.09485009249</v>
      </c>
      <c r="AN871" s="57">
        <f t="shared" si="290"/>
        <v>320351.99118570099</v>
      </c>
      <c r="AO871" s="57">
        <f t="shared" si="291"/>
        <v>292058.02335266897</v>
      </c>
    </row>
    <row r="872" spans="12:41" x14ac:dyDescent="0.25">
      <c r="L872" s="6">
        <v>869</v>
      </c>
      <c r="M872" s="52">
        <f t="shared" si="277"/>
        <v>15714.163496489437</v>
      </c>
      <c r="N872" s="52">
        <f t="shared" si="278"/>
        <v>10075.190374550266</v>
      </c>
      <c r="P872" s="6">
        <v>869</v>
      </c>
      <c r="Q872" s="52">
        <f t="shared" si="292"/>
        <v>-23000.085552457396</v>
      </c>
      <c r="R872" s="52">
        <f t="shared" si="293"/>
        <v>11802.633262185187</v>
      </c>
      <c r="T872" s="6">
        <v>869</v>
      </c>
      <c r="U872" s="52">
        <f t="shared" si="279"/>
        <v>-9285.8365035105635</v>
      </c>
      <c r="V872" s="52">
        <f t="shared" si="280"/>
        <v>-12424.809625449734</v>
      </c>
      <c r="X872" s="6">
        <v>868</v>
      </c>
      <c r="Y872" s="55">
        <v>434</v>
      </c>
      <c r="Z872" s="52">
        <f t="shared" si="294"/>
        <v>77500.394446223654</v>
      </c>
      <c r="AA872" s="52">
        <f t="shared" si="295"/>
        <v>-295796.19558867818</v>
      </c>
      <c r="AB872" s="52">
        <f t="shared" si="296"/>
        <v>740.60257721433118</v>
      </c>
      <c r="AC872" s="52">
        <f t="shared" si="297"/>
        <v>-1044.402225225185</v>
      </c>
      <c r="AD872" s="52">
        <f t="shared" si="281"/>
        <v>-3.2712523977142451</v>
      </c>
      <c r="AE872" s="52">
        <f t="shared" si="282"/>
        <v>12.904505128649872</v>
      </c>
      <c r="AF872" s="52">
        <f t="shared" si="283"/>
        <v>-1.0218375630376988</v>
      </c>
      <c r="AG872" s="52">
        <f t="shared" si="284"/>
        <v>5.3898664237649276</v>
      </c>
      <c r="AH872" s="52">
        <f t="shared" si="285"/>
        <v>-0.52920256050309122</v>
      </c>
      <c r="AI872" s="52">
        <f t="shared" si="286"/>
        <v>1.6597689744413178</v>
      </c>
      <c r="AJ872" s="52">
        <f t="shared" si="287"/>
        <v>-1.7202122741734551</v>
      </c>
      <c r="AK872" s="52">
        <f t="shared" si="288"/>
        <v>5.8548697304436264</v>
      </c>
      <c r="AM872" s="52">
        <f t="shared" si="289"/>
        <v>308698.6841890277</v>
      </c>
      <c r="AN872" s="57">
        <f t="shared" si="290"/>
        <v>320963.61188408622</v>
      </c>
      <c r="AO872" s="57">
        <f t="shared" si="291"/>
        <v>292665.02787462954</v>
      </c>
    </row>
    <row r="873" spans="12:41" x14ac:dyDescent="0.25">
      <c r="L873" s="6">
        <v>870</v>
      </c>
      <c r="M873" s="52">
        <f t="shared" si="277"/>
        <v>15669.872981077806</v>
      </c>
      <c r="N873" s="52">
        <f t="shared" si="278"/>
        <v>10000</v>
      </c>
      <c r="P873" s="6">
        <v>870</v>
      </c>
      <c r="Q873" s="52">
        <f t="shared" si="292"/>
        <v>-23031.088913245534</v>
      </c>
      <c r="R873" s="52">
        <f t="shared" si="293"/>
        <v>11750</v>
      </c>
      <c r="T873" s="6">
        <v>870</v>
      </c>
      <c r="U873" s="52">
        <f t="shared" si="279"/>
        <v>-9330.1270189221941</v>
      </c>
      <c r="V873" s="52">
        <f t="shared" si="280"/>
        <v>-12500</v>
      </c>
      <c r="X873" s="6">
        <v>869</v>
      </c>
      <c r="Y873" s="55">
        <v>434.5</v>
      </c>
      <c r="Z873" s="52">
        <f t="shared" si="294"/>
        <v>77870.286828281111</v>
      </c>
      <c r="AA873" s="52">
        <f t="shared" si="295"/>
        <v>-296316.78363814973</v>
      </c>
      <c r="AB873" s="52">
        <f t="shared" si="296"/>
        <v>738.96695101547402</v>
      </c>
      <c r="AC873" s="52">
        <f t="shared" si="297"/>
        <v>-1037.9499726608601</v>
      </c>
      <c r="AD873" s="52">
        <f t="shared" si="281"/>
        <v>-3.2681254737459202</v>
      </c>
      <c r="AE873" s="52">
        <f t="shared" si="282"/>
        <v>12.851595083984282</v>
      </c>
      <c r="AF873" s="52">
        <f t="shared" si="283"/>
        <v>-1.0226370795157016</v>
      </c>
      <c r="AG873" s="52">
        <f t="shared" si="284"/>
        <v>5.36880539834711</v>
      </c>
      <c r="AH873" s="52">
        <f t="shared" si="285"/>
        <v>-0.52820222312664267</v>
      </c>
      <c r="AI873" s="52">
        <f t="shared" si="286"/>
        <v>1.6531800543565971</v>
      </c>
      <c r="AJ873" s="52">
        <f t="shared" si="287"/>
        <v>-1.7172861711035761</v>
      </c>
      <c r="AK873" s="52">
        <f t="shared" si="288"/>
        <v>5.8296096312805741</v>
      </c>
      <c r="AM873" s="52">
        <f t="shared" si="289"/>
        <v>309279.175047105</v>
      </c>
      <c r="AN873" s="57">
        <f t="shared" si="290"/>
        <v>321572.02145440306</v>
      </c>
      <c r="AO873" s="57">
        <f t="shared" si="291"/>
        <v>293268.84797999792</v>
      </c>
    </row>
    <row r="874" spans="12:41" x14ac:dyDescent="0.25">
      <c r="L874" s="6">
        <v>871</v>
      </c>
      <c r="M874" s="52">
        <f t="shared" si="277"/>
        <v>15626.901464303024</v>
      </c>
      <c r="N874" s="52">
        <f t="shared" si="278"/>
        <v>9924.0481012316905</v>
      </c>
      <c r="P874" s="6">
        <v>871</v>
      </c>
      <c r="Q874" s="52">
        <f t="shared" si="292"/>
        <v>-23061.168974987882</v>
      </c>
      <c r="R874" s="52">
        <f t="shared" si="293"/>
        <v>11696.833670862183</v>
      </c>
      <c r="T874" s="6">
        <v>871</v>
      </c>
      <c r="U874" s="52">
        <f t="shared" si="279"/>
        <v>-9373.0985356969759</v>
      </c>
      <c r="V874" s="52">
        <f t="shared" si="280"/>
        <v>-12575.95189876831</v>
      </c>
      <c r="X874" s="6">
        <v>870</v>
      </c>
      <c r="Y874" s="55">
        <v>435</v>
      </c>
      <c r="Z874" s="52">
        <f t="shared" si="294"/>
        <v>78239.361788104623</v>
      </c>
      <c r="AA874" s="52">
        <f t="shared" si="295"/>
        <v>-296834.15217509464</v>
      </c>
      <c r="AB874" s="52">
        <f t="shared" si="296"/>
        <v>737.3328882786011</v>
      </c>
      <c r="AC874" s="52">
        <f t="shared" si="297"/>
        <v>-1031.524175118868</v>
      </c>
      <c r="AD874" s="52">
        <f t="shared" si="281"/>
        <v>-3.2650268239658242</v>
      </c>
      <c r="AE874" s="52">
        <f t="shared" si="282"/>
        <v>12.799265983585425</v>
      </c>
      <c r="AF874" s="52">
        <f t="shared" si="283"/>
        <v>-1.0234223840238423</v>
      </c>
      <c r="AG874" s="52">
        <f t="shared" si="284"/>
        <v>5.3479704103235264</v>
      </c>
      <c r="AH874" s="52">
        <f t="shared" si="285"/>
        <v>-0.52721320741685351</v>
      </c>
      <c r="AI874" s="52">
        <f t="shared" si="286"/>
        <v>1.6466619343698774</v>
      </c>
      <c r="AJ874" s="52">
        <f t="shared" si="287"/>
        <v>-1.7143912325251285</v>
      </c>
      <c r="AK874" s="52">
        <f t="shared" si="288"/>
        <v>5.804633638892021</v>
      </c>
      <c r="AM874" s="52">
        <f t="shared" si="289"/>
        <v>309856.57882578421</v>
      </c>
      <c r="AN874" s="57">
        <f t="shared" si="290"/>
        <v>322177.23250649363</v>
      </c>
      <c r="AO874" s="57">
        <f t="shared" si="291"/>
        <v>293869.49600655283</v>
      </c>
    </row>
    <row r="875" spans="12:41" x14ac:dyDescent="0.25">
      <c r="L875" s="6">
        <v>872</v>
      </c>
      <c r="M875" s="52">
        <f t="shared" si="277"/>
        <v>15585.262035705371</v>
      </c>
      <c r="N875" s="52">
        <f t="shared" si="278"/>
        <v>9847.3578139294641</v>
      </c>
      <c r="P875" s="6">
        <v>872</v>
      </c>
      <c r="Q875" s="52">
        <f t="shared" si="292"/>
        <v>-23090.31657500624</v>
      </c>
      <c r="R875" s="52">
        <f t="shared" si="293"/>
        <v>11643.150469750624</v>
      </c>
      <c r="T875" s="6">
        <v>872</v>
      </c>
      <c r="U875" s="52">
        <f t="shared" si="279"/>
        <v>-9414.7379642946289</v>
      </c>
      <c r="V875" s="52">
        <f t="shared" si="280"/>
        <v>-12652.642186070536</v>
      </c>
      <c r="X875" s="6">
        <v>871</v>
      </c>
      <c r="Y875" s="55">
        <v>435.5</v>
      </c>
      <c r="Z875" s="52">
        <f t="shared" si="294"/>
        <v>78607.620103890935</v>
      </c>
      <c r="AA875" s="52">
        <f t="shared" si="295"/>
        <v>-297348.31435440615</v>
      </c>
      <c r="AB875" s="52">
        <f t="shared" si="296"/>
        <v>735.70037486661818</v>
      </c>
      <c r="AC875" s="52">
        <f t="shared" si="297"/>
        <v>-1025.1245421270753</v>
      </c>
      <c r="AD875" s="52">
        <f t="shared" si="281"/>
        <v>-3.2619565513814015</v>
      </c>
      <c r="AE875" s="52">
        <f t="shared" si="282"/>
        <v>12.747509563573598</v>
      </c>
      <c r="AF875" s="52">
        <f t="shared" si="283"/>
        <v>-1.0241939358108068</v>
      </c>
      <c r="AG875" s="52">
        <f t="shared" si="284"/>
        <v>5.3273583597229344</v>
      </c>
      <c r="AH875" s="52">
        <f t="shared" si="285"/>
        <v>-0.52623539638019379</v>
      </c>
      <c r="AI875" s="52">
        <f t="shared" si="286"/>
        <v>1.6402136250796033</v>
      </c>
      <c r="AJ875" s="52">
        <f t="shared" si="287"/>
        <v>-1.7115272191904012</v>
      </c>
      <c r="AK875" s="52">
        <f t="shared" si="288"/>
        <v>5.7799375787710598</v>
      </c>
      <c r="AM875" s="52">
        <f t="shared" si="289"/>
        <v>310430.90680369572</v>
      </c>
      <c r="AN875" s="57">
        <f t="shared" si="290"/>
        <v>322779.25751052861</v>
      </c>
      <c r="AO875" s="57">
        <f t="shared" si="291"/>
        <v>294466.98415647738</v>
      </c>
    </row>
    <row r="876" spans="12:41" x14ac:dyDescent="0.25">
      <c r="L876" s="6">
        <v>873</v>
      </c>
      <c r="M876" s="52">
        <f t="shared" si="277"/>
        <v>15544.96737905816</v>
      </c>
      <c r="N876" s="52">
        <f t="shared" si="278"/>
        <v>9769.9524986977322</v>
      </c>
      <c r="P876" s="6">
        <v>873</v>
      </c>
      <c r="Q876" s="52">
        <f t="shared" si="292"/>
        <v>-23118.522834659288</v>
      </c>
      <c r="R876" s="52">
        <f t="shared" si="293"/>
        <v>11588.966749088413</v>
      </c>
      <c r="T876" s="6">
        <v>873</v>
      </c>
      <c r="U876" s="52">
        <f t="shared" si="279"/>
        <v>-9455.0326209418399</v>
      </c>
      <c r="V876" s="52">
        <f t="shared" si="280"/>
        <v>-12730.047501302268</v>
      </c>
      <c r="X876" s="6">
        <v>872</v>
      </c>
      <c r="Y876" s="55">
        <v>436</v>
      </c>
      <c r="Z876" s="52">
        <f t="shared" si="294"/>
        <v>78975.062546755333</v>
      </c>
      <c r="AA876" s="52">
        <f t="shared" si="295"/>
        <v>-297859.28318677429</v>
      </c>
      <c r="AB876" s="52">
        <f t="shared" si="296"/>
        <v>734.06939659092745</v>
      </c>
      <c r="AC876" s="52">
        <f t="shared" si="297"/>
        <v>-1018.7507873452885</v>
      </c>
      <c r="AD876" s="52">
        <f t="shared" si="281"/>
        <v>-3.2589147521100124</v>
      </c>
      <c r="AE876" s="52">
        <f t="shared" si="282"/>
        <v>12.69631771819553</v>
      </c>
      <c r="AF876" s="52">
        <f t="shared" si="283"/>
        <v>-1.0249521827220653</v>
      </c>
      <c r="AG876" s="52">
        <f t="shared" si="284"/>
        <v>5.3069662040392185</v>
      </c>
      <c r="AH876" s="52">
        <f t="shared" si="285"/>
        <v>-0.52526867496393859</v>
      </c>
      <c r="AI876" s="52">
        <f t="shared" si="286"/>
        <v>1.6338341557346774</v>
      </c>
      <c r="AJ876" s="52">
        <f t="shared" si="287"/>
        <v>-1.7086938944240087</v>
      </c>
      <c r="AK876" s="52">
        <f t="shared" si="288"/>
        <v>5.7555173584216357</v>
      </c>
      <c r="AM876" s="52">
        <f t="shared" si="289"/>
        <v>311002.1701383036</v>
      </c>
      <c r="AN876" s="57">
        <f t="shared" si="290"/>
        <v>323378.10879898566</v>
      </c>
      <c r="AO876" s="57">
        <f t="shared" si="291"/>
        <v>295061.32449825958</v>
      </c>
    </row>
    <row r="877" spans="12:41" x14ac:dyDescent="0.25">
      <c r="L877" s="6">
        <v>874</v>
      </c>
      <c r="M877" s="52">
        <f t="shared" si="277"/>
        <v>15506.029768504166</v>
      </c>
      <c r="N877" s="52">
        <f t="shared" si="278"/>
        <v>9691.855733945391</v>
      </c>
      <c r="P877" s="6">
        <v>874</v>
      </c>
      <c r="Q877" s="52">
        <f t="shared" si="292"/>
        <v>-23145.779162047082</v>
      </c>
      <c r="R877" s="52">
        <f t="shared" si="293"/>
        <v>11534.299013761774</v>
      </c>
      <c r="T877" s="6">
        <v>874</v>
      </c>
      <c r="U877" s="52">
        <f t="shared" si="279"/>
        <v>-9493.970231495834</v>
      </c>
      <c r="V877" s="52">
        <f t="shared" si="280"/>
        <v>-12808.144266054609</v>
      </c>
      <c r="X877" s="6">
        <v>873</v>
      </c>
      <c r="Y877" s="55">
        <v>436.5</v>
      </c>
      <c r="Z877" s="52">
        <f t="shared" si="294"/>
        <v>79341.689880706777</v>
      </c>
      <c r="AA877" s="52">
        <f t="shared" si="295"/>
        <v>-298367.07154073217</v>
      </c>
      <c r="AB877" s="52">
        <f t="shared" si="296"/>
        <v>732.43993921487242</v>
      </c>
      <c r="AC877" s="52">
        <f t="shared" si="297"/>
        <v>-1012.4026284861907</v>
      </c>
      <c r="AD877" s="52">
        <f t="shared" si="281"/>
        <v>-3.2559015156620887</v>
      </c>
      <c r="AE877" s="52">
        <f t="shared" si="282"/>
        <v>12.64568249614096</v>
      </c>
      <c r="AF877" s="52">
        <f t="shared" si="283"/>
        <v>-1.0256975615270854</v>
      </c>
      <c r="AG877" s="52">
        <f t="shared" si="284"/>
        <v>5.2867909569383329</v>
      </c>
      <c r="AH877" s="52">
        <f t="shared" si="285"/>
        <v>-0.52431293001877599</v>
      </c>
      <c r="AI877" s="52">
        <f t="shared" si="286"/>
        <v>1.6275225738054508</v>
      </c>
      <c r="AJ877" s="52">
        <f t="shared" si="287"/>
        <v>-1.7058910241162277</v>
      </c>
      <c r="AK877" s="52">
        <f t="shared" si="288"/>
        <v>5.7313689653971762</v>
      </c>
      <c r="AM877" s="52">
        <f t="shared" si="289"/>
        <v>311570.37986753706</v>
      </c>
      <c r="AN877" s="57">
        <f t="shared" si="290"/>
        <v>323973.79856859031</v>
      </c>
      <c r="AO877" s="57">
        <f t="shared" si="291"/>
        <v>295652.52896855748</v>
      </c>
    </row>
    <row r="878" spans="12:41" x14ac:dyDescent="0.25">
      <c r="L878" s="6">
        <v>875</v>
      </c>
      <c r="M878" s="52">
        <f t="shared" si="277"/>
        <v>15468.461064816755</v>
      </c>
      <c r="N878" s="52">
        <f t="shared" si="278"/>
        <v>9613.091308703506</v>
      </c>
      <c r="P878" s="6">
        <v>875</v>
      </c>
      <c r="Q878" s="52">
        <f t="shared" si="292"/>
        <v>-23172.077254628271</v>
      </c>
      <c r="R878" s="52">
        <f t="shared" si="293"/>
        <v>11479.163916092453</v>
      </c>
      <c r="T878" s="6">
        <v>875</v>
      </c>
      <c r="U878" s="52">
        <f t="shared" si="279"/>
        <v>-9531.5389351832455</v>
      </c>
      <c r="V878" s="52">
        <f t="shared" si="280"/>
        <v>-12886.908691296494</v>
      </c>
      <c r="X878" s="6">
        <v>874</v>
      </c>
      <c r="Y878" s="55">
        <v>437</v>
      </c>
      <c r="Z878" s="52">
        <f t="shared" si="294"/>
        <v>79707.502862624751</v>
      </c>
      <c r="AA878" s="52">
        <f t="shared" si="295"/>
        <v>-298871.69214466325</v>
      </c>
      <c r="AB878" s="52">
        <f t="shared" si="296"/>
        <v>730.81198845704137</v>
      </c>
      <c r="AC878" s="52">
        <f t="shared" si="297"/>
        <v>-1006.0797872381202</v>
      </c>
      <c r="AD878" s="52">
        <f t="shared" si="281"/>
        <v>-3.2529169252136239</v>
      </c>
      <c r="AE878" s="52">
        <f t="shared" si="282"/>
        <v>12.595596096960753</v>
      </c>
      <c r="AF878" s="52">
        <f t="shared" si="283"/>
        <v>-1.0264304982361008</v>
      </c>
      <c r="AG878" s="52">
        <f t="shared" si="284"/>
        <v>5.2668296869995714</v>
      </c>
      <c r="AH878" s="52">
        <f t="shared" si="285"/>
        <v>-0.52336805026232824</v>
      </c>
      <c r="AI878" s="52">
        <f t="shared" si="286"/>
        <v>1.6212779445665382</v>
      </c>
      <c r="AJ878" s="52">
        <f t="shared" si="287"/>
        <v>-1.7031183767151952</v>
      </c>
      <c r="AK878" s="52">
        <f t="shared" si="288"/>
        <v>5.7074884653946434</v>
      </c>
      <c r="AM878" s="52">
        <f t="shared" si="289"/>
        <v>312135.54691139335</v>
      </c>
      <c r="AN878" s="57">
        <f t="shared" si="290"/>
        <v>324566.3388822198</v>
      </c>
      <c r="AO878" s="57">
        <f t="shared" si="291"/>
        <v>296240.60937402904</v>
      </c>
    </row>
    <row r="879" spans="12:41" x14ac:dyDescent="0.25">
      <c r="L879" s="6">
        <v>876</v>
      </c>
      <c r="M879" s="52">
        <f t="shared" si="277"/>
        <v>15432.272711786994</v>
      </c>
      <c r="N879" s="52">
        <f t="shared" si="278"/>
        <v>9533.6832153789983</v>
      </c>
      <c r="P879" s="6">
        <v>876</v>
      </c>
      <c r="Q879" s="52">
        <f t="shared" si="292"/>
        <v>-23197.409101749105</v>
      </c>
      <c r="R879" s="52">
        <f t="shared" si="293"/>
        <v>11423.578250765298</v>
      </c>
      <c r="T879" s="6">
        <v>876</v>
      </c>
      <c r="U879" s="52">
        <f t="shared" si="279"/>
        <v>-9567.7272882130055</v>
      </c>
      <c r="V879" s="52">
        <f t="shared" si="280"/>
        <v>-12966.316784621002</v>
      </c>
      <c r="X879" s="6">
        <v>875</v>
      </c>
      <c r="Y879" s="55">
        <v>437.5</v>
      </c>
      <c r="Z879" s="52">
        <f t="shared" si="294"/>
        <v>80072.502242237621</v>
      </c>
      <c r="AA879" s="52">
        <f t="shared" si="295"/>
        <v>-299373.15758877021</v>
      </c>
      <c r="AB879" s="52">
        <f t="shared" si="296"/>
        <v>729.18552999443455</v>
      </c>
      <c r="AC879" s="52">
        <f t="shared" si="297"/>
        <v>-999.78198918963983</v>
      </c>
      <c r="AD879" s="52">
        <f t="shared" si="281"/>
        <v>-3.2499610578686404</v>
      </c>
      <c r="AE879" s="52">
        <f t="shared" si="282"/>
        <v>12.546050867584153</v>
      </c>
      <c r="AF879" s="52">
        <f t="shared" si="283"/>
        <v>-1.0271514084068463</v>
      </c>
      <c r="AG879" s="52">
        <f t="shared" si="284"/>
        <v>5.2470795164902793</v>
      </c>
      <c r="AH879" s="52">
        <f t="shared" si="285"/>
        <v>-0.52243392624352525</v>
      </c>
      <c r="AI879" s="52">
        <f t="shared" si="286"/>
        <v>1.6150993506909646</v>
      </c>
      <c r="AJ879" s="52">
        <f t="shared" si="287"/>
        <v>-1.7003757232182692</v>
      </c>
      <c r="AK879" s="52">
        <f t="shared" si="288"/>
        <v>5.683872000402908</v>
      </c>
      <c r="AM879" s="52">
        <f t="shared" si="289"/>
        <v>312697.68207350984</v>
      </c>
      <c r="AN879" s="57">
        <f t="shared" si="290"/>
        <v>325155.74167077028</v>
      </c>
      <c r="AO879" s="57">
        <f t="shared" si="291"/>
        <v>296825.57739312673</v>
      </c>
    </row>
    <row r="880" spans="12:41" x14ac:dyDescent="0.25">
      <c r="L880" s="6">
        <v>877</v>
      </c>
      <c r="M880" s="52">
        <f t="shared" si="277"/>
        <v>15397.475732737799</v>
      </c>
      <c r="N880" s="52">
        <f t="shared" si="278"/>
        <v>9453.6556424463706</v>
      </c>
      <c r="P880" s="6">
        <v>877</v>
      </c>
      <c r="Q880" s="52">
        <f t="shared" si="292"/>
        <v>-23221.766987083542</v>
      </c>
      <c r="R880" s="52">
        <f t="shared" si="293"/>
        <v>11367.55894971246</v>
      </c>
      <c r="T880" s="6">
        <v>877</v>
      </c>
      <c r="U880" s="52">
        <f t="shared" si="279"/>
        <v>-9602.5242672622007</v>
      </c>
      <c r="V880" s="52">
        <f t="shared" si="280"/>
        <v>-13046.344357553629</v>
      </c>
      <c r="X880" s="6">
        <v>876</v>
      </c>
      <c r="Y880" s="55">
        <v>438</v>
      </c>
      <c r="Z880" s="52">
        <f t="shared" si="294"/>
        <v>80436.688762102596</v>
      </c>
      <c r="AA880" s="52">
        <f t="shared" si="295"/>
        <v>-299871.4803270066</v>
      </c>
      <c r="AB880" s="52">
        <f t="shared" si="296"/>
        <v>727.56054946550023</v>
      </c>
      <c r="AC880" s="52">
        <f t="shared" si="297"/>
        <v>-993.50896375584773</v>
      </c>
      <c r="AD880" s="52">
        <f t="shared" si="281"/>
        <v>-3.2470339849117691</v>
      </c>
      <c r="AE880" s="52">
        <f t="shared" si="282"/>
        <v>12.49703929893121</v>
      </c>
      <c r="AF880" s="52">
        <f t="shared" si="283"/>
        <v>-1.0278606974416729</v>
      </c>
      <c r="AG880" s="52">
        <f t="shared" si="284"/>
        <v>5.2275376201733028</v>
      </c>
      <c r="AH880" s="52">
        <f t="shared" si="285"/>
        <v>-0.52151045030781951</v>
      </c>
      <c r="AI880" s="52">
        <f t="shared" si="286"/>
        <v>1.6089858918553299</v>
      </c>
      <c r="AJ880" s="52">
        <f t="shared" si="287"/>
        <v>-1.6976628371622768</v>
      </c>
      <c r="AK880" s="52">
        <f t="shared" si="288"/>
        <v>5.660515786902578</v>
      </c>
      <c r="AM880" s="52">
        <f t="shared" si="289"/>
        <v>313256.79604270787</v>
      </c>
      <c r="AN880" s="57">
        <f t="shared" si="290"/>
        <v>325742.01873498899</v>
      </c>
      <c r="AO880" s="57">
        <f t="shared" si="291"/>
        <v>297407.44457785937</v>
      </c>
    </row>
    <row r="881" spans="12:41" x14ac:dyDescent="0.25">
      <c r="L881" s="6">
        <v>878</v>
      </c>
      <c r="M881" s="52">
        <f t="shared" si="277"/>
        <v>15364.080727166067</v>
      </c>
      <c r="N881" s="52">
        <f t="shared" si="278"/>
        <v>9373.0329670795672</v>
      </c>
      <c r="P881" s="6">
        <v>878</v>
      </c>
      <c r="Q881" s="52">
        <f t="shared" si="292"/>
        <v>-23245.143490983755</v>
      </c>
      <c r="R881" s="52">
        <f t="shared" si="293"/>
        <v>11311.123076955697</v>
      </c>
      <c r="T881" s="6">
        <v>878</v>
      </c>
      <c r="U881" s="52">
        <f t="shared" si="279"/>
        <v>-9635.9192728339331</v>
      </c>
      <c r="V881" s="52">
        <f t="shared" si="280"/>
        <v>-13126.967032920433</v>
      </c>
      <c r="X881" s="6">
        <v>877</v>
      </c>
      <c r="Y881" s="55">
        <v>438.5</v>
      </c>
      <c r="Z881" s="52">
        <f t="shared" si="294"/>
        <v>80800.063157587239</v>
      </c>
      <c r="AA881" s="52">
        <f t="shared" si="295"/>
        <v>-300366.67267897213</v>
      </c>
      <c r="AB881" s="52">
        <f t="shared" si="296"/>
        <v>725.93703247304438</v>
      </c>
      <c r="AC881" s="52">
        <f t="shared" si="297"/>
        <v>-987.26044410638212</v>
      </c>
      <c r="AD881" s="52">
        <f t="shared" si="281"/>
        <v>-3.2441357720515098</v>
      </c>
      <c r="AE881" s="52">
        <f t="shared" si="282"/>
        <v>12.448554022617927</v>
      </c>
      <c r="AF881" s="52">
        <f t="shared" si="283"/>
        <v>-1.0285587608753217</v>
      </c>
      <c r="AG881" s="52">
        <f t="shared" si="284"/>
        <v>5.2082012241458662</v>
      </c>
      <c r="AH881" s="52">
        <f t="shared" si="285"/>
        <v>-0.52059751656321784</v>
      </c>
      <c r="AI881" s="52">
        <f t="shared" si="286"/>
        <v>1.6029366843556399</v>
      </c>
      <c r="AJ881" s="52">
        <f t="shared" si="287"/>
        <v>-1.6949794946129699</v>
      </c>
      <c r="AK881" s="52">
        <f t="shared" si="288"/>
        <v>5.6374161141164212</v>
      </c>
      <c r="AM881" s="52">
        <f t="shared" si="289"/>
        <v>313812.89939450857</v>
      </c>
      <c r="AN881" s="57">
        <f t="shared" si="290"/>
        <v>326325.18174727156</v>
      </c>
      <c r="AO881" s="57">
        <f t="shared" si="291"/>
        <v>297986.22235552029</v>
      </c>
    </row>
    <row r="882" spans="12:41" x14ac:dyDescent="0.25">
      <c r="L882" s="6">
        <v>879</v>
      </c>
      <c r="M882" s="52">
        <f t="shared" si="277"/>
        <v>15332.097867513992</v>
      </c>
      <c r="N882" s="52">
        <f t="shared" si="278"/>
        <v>9291.8397477265062</v>
      </c>
      <c r="P882" s="6">
        <v>879</v>
      </c>
      <c r="Q882" s="52">
        <f t="shared" si="292"/>
        <v>-23267.531492740207</v>
      </c>
      <c r="R882" s="52">
        <f t="shared" si="293"/>
        <v>11254.287823408555</v>
      </c>
      <c r="T882" s="6">
        <v>879</v>
      </c>
      <c r="U882" s="52">
        <f t="shared" si="279"/>
        <v>-9667.9021324860078</v>
      </c>
      <c r="V882" s="52">
        <f t="shared" si="280"/>
        <v>-13208.160252273494</v>
      </c>
      <c r="X882" s="6">
        <v>878</v>
      </c>
      <c r="Y882" s="55">
        <v>439</v>
      </c>
      <c r="Z882" s="52">
        <f t="shared" si="294"/>
        <v>81162.62615685226</v>
      </c>
      <c r="AA882" s="52">
        <f t="shared" si="295"/>
        <v>-300858.7468317725</v>
      </c>
      <c r="AB882" s="52">
        <f t="shared" si="296"/>
        <v>724.31496458701861</v>
      </c>
      <c r="AC882" s="52">
        <f t="shared" si="297"/>
        <v>-981.03616709507321</v>
      </c>
      <c r="AD882" s="52">
        <f t="shared" si="281"/>
        <v>-3.2412664796545192</v>
      </c>
      <c r="AE882" s="52">
        <f t="shared" si="282"/>
        <v>12.400587807751076</v>
      </c>
      <c r="AF882" s="52">
        <f t="shared" si="283"/>
        <v>-1.0292459846536719</v>
      </c>
      <c r="AG882" s="52">
        <f t="shared" si="284"/>
        <v>5.1890676047088471</v>
      </c>
      <c r="AH882" s="52">
        <f t="shared" si="285"/>
        <v>-0.51969502084710262</v>
      </c>
      <c r="AI882" s="52">
        <f t="shared" si="286"/>
        <v>1.5969508607334573</v>
      </c>
      <c r="AJ882" s="52">
        <f t="shared" si="287"/>
        <v>-1.6923254741537443</v>
      </c>
      <c r="AK882" s="52">
        <f t="shared" si="288"/>
        <v>5.6145693423087719</v>
      </c>
      <c r="AM882" s="52">
        <f t="shared" si="289"/>
        <v>314366.00259262137</v>
      </c>
      <c r="AN882" s="57">
        <f t="shared" si="290"/>
        <v>326905.24225342588</v>
      </c>
      <c r="AO882" s="57">
        <f t="shared" si="291"/>
        <v>298561.92203038366</v>
      </c>
    </row>
    <row r="883" spans="12:41" x14ac:dyDescent="0.25">
      <c r="L883" s="6">
        <v>880</v>
      </c>
      <c r="M883" s="52">
        <f t="shared" si="277"/>
        <v>15301.536896070458</v>
      </c>
      <c r="N883" s="52">
        <f t="shared" si="278"/>
        <v>9210.1007166283453</v>
      </c>
      <c r="P883" s="6">
        <v>880</v>
      </c>
      <c r="Q883" s="52">
        <f t="shared" si="292"/>
        <v>-23288.924172750678</v>
      </c>
      <c r="R883" s="52">
        <f t="shared" si="293"/>
        <v>11197.070501639841</v>
      </c>
      <c r="T883" s="6">
        <v>880</v>
      </c>
      <c r="U883" s="52">
        <f t="shared" si="279"/>
        <v>-9698.4631039295418</v>
      </c>
      <c r="V883" s="52">
        <f t="shared" si="280"/>
        <v>-13289.899283371655</v>
      </c>
      <c r="X883" s="6">
        <v>879</v>
      </c>
      <c r="Y883" s="55">
        <v>439.5</v>
      </c>
      <c r="Z883" s="52">
        <f t="shared" si="294"/>
        <v>81524.378480835818</v>
      </c>
      <c r="AA883" s="52">
        <f t="shared" si="295"/>
        <v>-301347.71484184405</v>
      </c>
      <c r="AB883" s="52">
        <f t="shared" si="296"/>
        <v>722.69433134719134</v>
      </c>
      <c r="AC883" s="52">
        <f t="shared" si="297"/>
        <v>-974.83587319119772</v>
      </c>
      <c r="AD883" s="52">
        <f t="shared" si="281"/>
        <v>-3.2384261629712214</v>
      </c>
      <c r="AE883" s="52">
        <f t="shared" si="282"/>
        <v>12.353133557809745</v>
      </c>
      <c r="AF883" s="52">
        <f t="shared" si="283"/>
        <v>-1.0299227454038198</v>
      </c>
      <c r="AG883" s="52">
        <f t="shared" si="284"/>
        <v>5.1701340872657413</v>
      </c>
      <c r="AH883" s="52">
        <f t="shared" si="285"/>
        <v>-0.51880286069384818</v>
      </c>
      <c r="AI883" s="52">
        <f t="shared" si="286"/>
        <v>1.5910275694121283</v>
      </c>
      <c r="AJ883" s="52">
        <f t="shared" si="287"/>
        <v>-1.6897005568735535</v>
      </c>
      <c r="AK883" s="52">
        <f t="shared" si="288"/>
        <v>5.5919719011318749</v>
      </c>
      <c r="AM883" s="52">
        <f t="shared" si="289"/>
        <v>314916.11599040491</v>
      </c>
      <c r="AN883" s="57">
        <f t="shared" si="290"/>
        <v>327482.21167440258</v>
      </c>
      <c r="AO883" s="57">
        <f t="shared" si="291"/>
        <v>299134.55478536908</v>
      </c>
    </row>
    <row r="884" spans="12:41" x14ac:dyDescent="0.25">
      <c r="L884" s="6">
        <v>881</v>
      </c>
      <c r="M884" s="52">
        <f t="shared" si="277"/>
        <v>15272.407122003415</v>
      </c>
      <c r="N884" s="52">
        <f t="shared" si="278"/>
        <v>9127.840772285781</v>
      </c>
      <c r="P884" s="6">
        <v>881</v>
      </c>
      <c r="Q884" s="52">
        <f t="shared" si="292"/>
        <v>-23309.315014597611</v>
      </c>
      <c r="R884" s="52">
        <f t="shared" si="293"/>
        <v>11139.488540600047</v>
      </c>
      <c r="T884" s="6">
        <v>881</v>
      </c>
      <c r="U884" s="52">
        <f t="shared" si="279"/>
        <v>-9727.5928779965852</v>
      </c>
      <c r="V884" s="52">
        <f t="shared" si="280"/>
        <v>-13372.159227714219</v>
      </c>
      <c r="X884" s="6">
        <v>880</v>
      </c>
      <c r="Y884" s="55">
        <v>440</v>
      </c>
      <c r="Z884" s="52">
        <f t="shared" si="294"/>
        <v>81885.320843239038</v>
      </c>
      <c r="AA884" s="52">
        <f t="shared" si="295"/>
        <v>-301833.58863674494</v>
      </c>
      <c r="AB884" s="52">
        <f t="shared" si="296"/>
        <v>721.07511826570578</v>
      </c>
      <c r="AC884" s="52">
        <f t="shared" si="297"/>
        <v>-968.65930641229284</v>
      </c>
      <c r="AD884" s="52">
        <f t="shared" si="281"/>
        <v>-3.235614872353068</v>
      </c>
      <c r="AE884" s="52">
        <f t="shared" si="282"/>
        <v>12.306184307610962</v>
      </c>
      <c r="AF884" s="52">
        <f t="shared" si="283"/>
        <v>-1.0305894106958036</v>
      </c>
      <c r="AG884" s="52">
        <f t="shared" si="284"/>
        <v>5.1513980452504917</v>
      </c>
      <c r="AH884" s="52">
        <f t="shared" si="285"/>
        <v>-0.51792093530314209</v>
      </c>
      <c r="AI884" s="52">
        <f t="shared" si="286"/>
        <v>1.5851659743425686</v>
      </c>
      <c r="AJ884" s="52">
        <f t="shared" si="287"/>
        <v>-1.6871045263541224</v>
      </c>
      <c r="AK884" s="52">
        <f t="shared" si="288"/>
        <v>5.5696202880179015</v>
      </c>
      <c r="AM884" s="52">
        <f t="shared" si="289"/>
        <v>315463.24983230227</v>
      </c>
      <c r="AN884" s="57">
        <f t="shared" si="290"/>
        <v>328056.10130799341</v>
      </c>
      <c r="AO884" s="57">
        <f t="shared" si="291"/>
        <v>299704.13168367569</v>
      </c>
    </row>
    <row r="885" spans="12:41" x14ac:dyDescent="0.25">
      <c r="L885" s="6">
        <v>882</v>
      </c>
      <c r="M885" s="52">
        <f t="shared" si="277"/>
        <v>15244.717418524233</v>
      </c>
      <c r="N885" s="52">
        <f t="shared" si="278"/>
        <v>9045.0849718747395</v>
      </c>
      <c r="P885" s="6">
        <v>882</v>
      </c>
      <c r="Q885" s="52">
        <f t="shared" si="292"/>
        <v>-23328.697807033037</v>
      </c>
      <c r="R885" s="52">
        <f t="shared" si="293"/>
        <v>11081.559480312319</v>
      </c>
      <c r="T885" s="6">
        <v>882</v>
      </c>
      <c r="U885" s="52">
        <f t="shared" si="279"/>
        <v>-9755.2825814757671</v>
      </c>
      <c r="V885" s="52">
        <f t="shared" si="280"/>
        <v>-13454.915028125261</v>
      </c>
      <c r="X885" s="6">
        <v>881</v>
      </c>
      <c r="Y885" s="55">
        <v>440.5</v>
      </c>
      <c r="Z885" s="52">
        <f t="shared" si="294"/>
        <v>82245.453950512849</v>
      </c>
      <c r="AA885" s="52">
        <f t="shared" si="295"/>
        <v>-302316.38001691265</v>
      </c>
      <c r="AB885" s="52">
        <f t="shared" si="296"/>
        <v>719.45731082952921</v>
      </c>
      <c r="AC885" s="52">
        <f t="shared" si="297"/>
        <v>-962.50621425848738</v>
      </c>
      <c r="AD885" s="52">
        <f t="shared" si="281"/>
        <v>-3.2328326534618164</v>
      </c>
      <c r="AE885" s="52">
        <f t="shared" si="282"/>
        <v>12.259733220356745</v>
      </c>
      <c r="AF885" s="52">
        <f t="shared" si="283"/>
        <v>-1.0312463392962059</v>
      </c>
      <c r="AG885" s="52">
        <f t="shared" si="284"/>
        <v>5.1328568990830057</v>
      </c>
      <c r="AH885" s="52">
        <f t="shared" si="285"/>
        <v>-0.51704914550909575</v>
      </c>
      <c r="AI885" s="52">
        <f t="shared" si="286"/>
        <v>1.5793652546586279</v>
      </c>
      <c r="AJ885" s="52">
        <f t="shared" si="287"/>
        <v>-1.6845371686565145</v>
      </c>
      <c r="AK885" s="52">
        <f t="shared" si="288"/>
        <v>5.5475110666151117</v>
      </c>
      <c r="AM885" s="52">
        <f t="shared" si="289"/>
        <v>316007.41425525042</v>
      </c>
      <c r="AN885" s="57">
        <f t="shared" si="290"/>
        <v>328626.92233049782</v>
      </c>
      <c r="AO885" s="57">
        <f t="shared" si="291"/>
        <v>300270.6636703859</v>
      </c>
    </row>
    <row r="886" spans="12:41" x14ac:dyDescent="0.25">
      <c r="L886" s="6">
        <v>883</v>
      </c>
      <c r="M886" s="52">
        <f t="shared" si="277"/>
        <v>15218.476220184824</v>
      </c>
      <c r="N886" s="52">
        <f t="shared" si="278"/>
        <v>8961.8585236136914</v>
      </c>
      <c r="P886" s="6">
        <v>883</v>
      </c>
      <c r="Q886" s="52">
        <f t="shared" si="292"/>
        <v>-23347.066645870622</v>
      </c>
      <c r="R886" s="52">
        <f t="shared" si="293"/>
        <v>11023.300966529585</v>
      </c>
      <c r="T886" s="6">
        <v>883</v>
      </c>
      <c r="U886" s="52">
        <f t="shared" si="279"/>
        <v>-9781.5237798151757</v>
      </c>
      <c r="V886" s="52">
        <f t="shared" si="280"/>
        <v>-13538.141476386309</v>
      </c>
      <c r="X886" s="6">
        <v>882</v>
      </c>
      <c r="Y886" s="55">
        <v>441</v>
      </c>
      <c r="Z886" s="52">
        <f t="shared" si="294"/>
        <v>82604.778501845925</v>
      </c>
      <c r="AA886" s="52">
        <f t="shared" si="295"/>
        <v>-302796.10065738932</v>
      </c>
      <c r="AB886" s="52">
        <f t="shared" si="296"/>
        <v>717.84089450279828</v>
      </c>
      <c r="AC886" s="52">
        <f t="shared" si="297"/>
        <v>-956.37634764830898</v>
      </c>
      <c r="AD886" s="52">
        <f t="shared" si="281"/>
        <v>-3.2300795474711594</v>
      </c>
      <c r="AE886" s="52">
        <f t="shared" si="282"/>
        <v>12.213773584760229</v>
      </c>
      <c r="AF886" s="52">
        <f t="shared" si="283"/>
        <v>-1.0318938814139234</v>
      </c>
      <c r="AG886" s="52">
        <f t="shared" si="284"/>
        <v>5.1145081151515912</v>
      </c>
      <c r="AH886" s="52">
        <f t="shared" si="285"/>
        <v>-0.51618739375001843</v>
      </c>
      <c r="AI886" s="52">
        <f t="shared" si="286"/>
        <v>1.573624604341419</v>
      </c>
      <c r="AJ886" s="52">
        <f t="shared" si="287"/>
        <v>-1.6819982723072178</v>
      </c>
      <c r="AK886" s="52">
        <f t="shared" si="288"/>
        <v>5.5256408652672189</v>
      </c>
      <c r="AM886" s="52">
        <f t="shared" si="289"/>
        <v>316548.61929006397</v>
      </c>
      <c r="AN886" s="57">
        <f t="shared" si="290"/>
        <v>329194.68579835928</v>
      </c>
      <c r="AO886" s="57">
        <f t="shared" si="291"/>
        <v>300834.16157404007</v>
      </c>
    </row>
    <row r="887" spans="12:41" x14ac:dyDescent="0.25">
      <c r="L887" s="6">
        <v>884</v>
      </c>
      <c r="M887" s="52">
        <f t="shared" si="277"/>
        <v>15193.691520308405</v>
      </c>
      <c r="N887" s="52">
        <f t="shared" si="278"/>
        <v>8878.1867790849919</v>
      </c>
      <c r="P887" s="6">
        <v>884</v>
      </c>
      <c r="Q887" s="52">
        <f t="shared" si="292"/>
        <v>-23364.415935784116</v>
      </c>
      <c r="R887" s="52">
        <f t="shared" si="293"/>
        <v>10964.730745359495</v>
      </c>
      <c r="T887" s="6">
        <v>884</v>
      </c>
      <c r="U887" s="52">
        <f t="shared" si="279"/>
        <v>-9806.3084796915955</v>
      </c>
      <c r="V887" s="52">
        <f t="shared" si="280"/>
        <v>-13621.813220915008</v>
      </c>
      <c r="X887" s="6">
        <v>883</v>
      </c>
      <c r="Y887" s="55">
        <v>441.5</v>
      </c>
      <c r="Z887" s="52">
        <f t="shared" si="294"/>
        <v>82963.295189153883</v>
      </c>
      <c r="AA887" s="52">
        <f t="shared" si="295"/>
        <v>-303272.76210951537</v>
      </c>
      <c r="AB887" s="52">
        <f t="shared" si="296"/>
        <v>716.22585472906269</v>
      </c>
      <c r="AC887" s="52">
        <f t="shared" si="297"/>
        <v>-950.26946085592886</v>
      </c>
      <c r="AD887" s="52">
        <f t="shared" si="281"/>
        <v>-3.2273555912609515</v>
      </c>
      <c r="AE887" s="52">
        <f t="shared" si="282"/>
        <v>12.168298812248349</v>
      </c>
      <c r="AF887" s="52">
        <f t="shared" si="283"/>
        <v>-1.0325323789384675</v>
      </c>
      <c r="AG887" s="52">
        <f t="shared" si="284"/>
        <v>5.0963492048219852</v>
      </c>
      <c r="AH887" s="52">
        <f t="shared" si="285"/>
        <v>-0.51533558403891477</v>
      </c>
      <c r="AI887" s="52">
        <f t="shared" si="286"/>
        <v>1.5679432318925748</v>
      </c>
      <c r="AJ887" s="52">
        <f t="shared" si="287"/>
        <v>-1.6794876282835693</v>
      </c>
      <c r="AK887" s="52">
        <f t="shared" si="288"/>
        <v>5.5040063755337885</v>
      </c>
      <c r="AM887" s="52">
        <f t="shared" si="289"/>
        <v>317086.87486279523</v>
      </c>
      <c r="AN887" s="57">
        <f t="shared" si="290"/>
        <v>329759.40264977107</v>
      </c>
      <c r="AO887" s="57">
        <f t="shared" si="291"/>
        <v>301394.63610818202</v>
      </c>
    </row>
    <row r="888" spans="12:41" x14ac:dyDescent="0.25">
      <c r="L888" s="6">
        <v>885</v>
      </c>
      <c r="M888" s="52">
        <f t="shared" si="277"/>
        <v>15170.370868554659</v>
      </c>
      <c r="N888" s="52">
        <f t="shared" si="278"/>
        <v>8794.0952255126049</v>
      </c>
      <c r="P888" s="6">
        <v>885</v>
      </c>
      <c r="Q888" s="52">
        <f t="shared" si="292"/>
        <v>-23380.740392011739</v>
      </c>
      <c r="R888" s="52">
        <f t="shared" si="293"/>
        <v>10905.866657858824</v>
      </c>
      <c r="T888" s="6">
        <v>885</v>
      </c>
      <c r="U888" s="52">
        <f t="shared" si="279"/>
        <v>-9829.629131445341</v>
      </c>
      <c r="V888" s="52">
        <f t="shared" si="280"/>
        <v>-13705.904774487395</v>
      </c>
      <c r="X888" s="6">
        <v>884</v>
      </c>
      <c r="Y888" s="55">
        <v>442</v>
      </c>
      <c r="Z888" s="52">
        <f t="shared" si="294"/>
        <v>83321.004697069511</v>
      </c>
      <c r="AA888" s="52">
        <f t="shared" si="295"/>
        <v>-303746.37580259185</v>
      </c>
      <c r="AB888" s="52">
        <f t="shared" si="296"/>
        <v>714.61217693343224</v>
      </c>
      <c r="AC888" s="52">
        <f t="shared" si="297"/>
        <v>-944.18531144980466</v>
      </c>
      <c r="AD888" s="52">
        <f t="shared" si="281"/>
        <v>-3.2246608176043443</v>
      </c>
      <c r="AE888" s="52">
        <f t="shared" si="282"/>
        <v>12.123302434238662</v>
      </c>
      <c r="AF888" s="52">
        <f t="shared" si="283"/>
        <v>-1.0331621656709333</v>
      </c>
      <c r="AG888" s="52">
        <f t="shared" si="284"/>
        <v>5.0783777234715464</v>
      </c>
      <c r="AH888" s="52">
        <f t="shared" si="285"/>
        <v>-0.51449362193465531</v>
      </c>
      <c r="AI888" s="52">
        <f t="shared" si="286"/>
        <v>1.5623203600160629</v>
      </c>
      <c r="AJ888" s="52">
        <f t="shared" si="287"/>
        <v>-1.6770050299987556</v>
      </c>
      <c r="AK888" s="52">
        <f t="shared" si="288"/>
        <v>5.4826043507510525</v>
      </c>
      <c r="AM888" s="52">
        <f t="shared" si="289"/>
        <v>317622.1907960691</v>
      </c>
      <c r="AN888" s="57">
        <f t="shared" si="290"/>
        <v>330321.08370625251</v>
      </c>
      <c r="AO888" s="57">
        <f t="shared" si="291"/>
        <v>301952.0978728768</v>
      </c>
    </row>
    <row r="889" spans="12:41" x14ac:dyDescent="0.25">
      <c r="L889" s="6">
        <v>886</v>
      </c>
      <c r="M889" s="52">
        <f t="shared" si="277"/>
        <v>15148.521368620019</v>
      </c>
      <c r="N889" s="52">
        <f t="shared" si="278"/>
        <v>8709.609477998345</v>
      </c>
      <c r="P889" s="6">
        <v>886</v>
      </c>
      <c r="Q889" s="52">
        <f t="shared" si="292"/>
        <v>-23396.035041965988</v>
      </c>
      <c r="R889" s="52">
        <f t="shared" si="293"/>
        <v>10846.726634598841</v>
      </c>
      <c r="T889" s="6">
        <v>886</v>
      </c>
      <c r="U889" s="52">
        <f t="shared" si="279"/>
        <v>-9851.4786313799814</v>
      </c>
      <c r="V889" s="52">
        <f t="shared" si="280"/>
        <v>-13790.390522001655</v>
      </c>
      <c r="X889" s="6">
        <v>885</v>
      </c>
      <c r="Y889" s="55">
        <v>442.5</v>
      </c>
      <c r="Z889" s="52">
        <f t="shared" si="294"/>
        <v>83677.907702934026</v>
      </c>
      <c r="AA889" s="52">
        <f t="shared" si="295"/>
        <v>-304216.95304551249</v>
      </c>
      <c r="AB889" s="52">
        <f t="shared" si="296"/>
        <v>712.99984652463002</v>
      </c>
      <c r="AC889" s="52">
        <f t="shared" si="297"/>
        <v>-938.12366023268532</v>
      </c>
      <c r="AD889" s="52">
        <f t="shared" si="281"/>
        <v>-3.2219952553480145</v>
      </c>
      <c r="AE889" s="52">
        <f t="shared" si="282"/>
        <v>12.078778099487851</v>
      </c>
      <c r="AF889" s="52">
        <f t="shared" si="283"/>
        <v>-1.0337835675479352</v>
      </c>
      <c r="AG889" s="52">
        <f t="shared" si="284"/>
        <v>5.060591269548171</v>
      </c>
      <c r="AH889" s="52">
        <f t="shared" si="285"/>
        <v>-0.51366141451378122</v>
      </c>
      <c r="AI889" s="52">
        <f t="shared" si="286"/>
        <v>1.5567552253082435</v>
      </c>
      <c r="AJ889" s="52">
        <f t="shared" si="287"/>
        <v>-1.674550273286298</v>
      </c>
      <c r="AK889" s="52">
        <f t="shared" si="288"/>
        <v>5.4614316046314357</v>
      </c>
      <c r="AM889" s="52">
        <f t="shared" si="289"/>
        <v>318154.57681039517</v>
      </c>
      <c r="AN889" s="57">
        <f t="shared" si="290"/>
        <v>330879.73967419629</v>
      </c>
      <c r="AO889" s="57">
        <f t="shared" si="291"/>
        <v>302506.55735620059</v>
      </c>
    </row>
    <row r="890" spans="12:41" x14ac:dyDescent="0.25">
      <c r="L890" s="6">
        <v>887</v>
      </c>
      <c r="M890" s="52">
        <f t="shared" si="277"/>
        <v>15128.149676073823</v>
      </c>
      <c r="N890" s="52">
        <f t="shared" si="278"/>
        <v>8624.7552717193194</v>
      </c>
      <c r="P890" s="6">
        <v>887</v>
      </c>
      <c r="Q890" s="52">
        <f t="shared" si="292"/>
        <v>-23410.295226748323</v>
      </c>
      <c r="R890" s="52">
        <f t="shared" si="293"/>
        <v>10787.328690203523</v>
      </c>
      <c r="T890" s="6">
        <v>887</v>
      </c>
      <c r="U890" s="52">
        <f t="shared" si="279"/>
        <v>-9871.8503239261772</v>
      </c>
      <c r="V890" s="52">
        <f t="shared" si="280"/>
        <v>-13875.244728280681</v>
      </c>
      <c r="X890" s="6">
        <v>886</v>
      </c>
      <c r="Y890" s="55">
        <v>443</v>
      </c>
      <c r="Z890" s="52">
        <f t="shared" si="294"/>
        <v>84034.004876789419</v>
      </c>
      <c r="AA890" s="52">
        <f t="shared" si="295"/>
        <v>-304684.5050283664</v>
      </c>
      <c r="AB890" s="52">
        <f t="shared" si="296"/>
        <v>711.38884889695601</v>
      </c>
      <c r="AC890" s="52">
        <f t="shared" si="297"/>
        <v>-932.08427118294139</v>
      </c>
      <c r="AD890" s="52">
        <f t="shared" si="281"/>
        <v>-3.2193589295859537</v>
      </c>
      <c r="AE890" s="52">
        <f t="shared" si="282"/>
        <v>12.034719571510312</v>
      </c>
      <c r="AF890" s="52">
        <f t="shared" si="283"/>
        <v>-1.0343969028587467</v>
      </c>
      <c r="AG890" s="52">
        <f t="shared" si="284"/>
        <v>5.0429874836531381</v>
      </c>
      <c r="AH890" s="52">
        <f t="shared" si="285"/>
        <v>-0.51283887034298326</v>
      </c>
      <c r="AI890" s="52">
        <f t="shared" si="286"/>
        <v>1.551247077956081</v>
      </c>
      <c r="AJ890" s="52">
        <f t="shared" si="287"/>
        <v>-1.672123156384224</v>
      </c>
      <c r="AK890" s="52">
        <f t="shared" si="288"/>
        <v>5.4404850099010931</v>
      </c>
      <c r="AM890" s="52">
        <f t="shared" si="289"/>
        <v>318684.04252545623</v>
      </c>
      <c r="AN890" s="57">
        <f t="shared" si="290"/>
        <v>331435.38114638848</v>
      </c>
      <c r="AO890" s="57">
        <f t="shared" si="291"/>
        <v>303058.02493570402</v>
      </c>
    </row>
    <row r="891" spans="12:41" x14ac:dyDescent="0.25">
      <c r="L891" s="6">
        <v>888</v>
      </c>
      <c r="M891" s="52">
        <f t="shared" si="277"/>
        <v>15109.261996330972</v>
      </c>
      <c r="N891" s="52">
        <f t="shared" si="278"/>
        <v>8539.5584540887976</v>
      </c>
      <c r="P891" s="6">
        <v>888</v>
      </c>
      <c r="Q891" s="52">
        <f t="shared" si="292"/>
        <v>-23423.516602568321</v>
      </c>
      <c r="R891" s="52">
        <f t="shared" si="293"/>
        <v>10727.690917862157</v>
      </c>
      <c r="T891" s="6">
        <v>888</v>
      </c>
      <c r="U891" s="52">
        <f t="shared" si="279"/>
        <v>-9890.7380036690283</v>
      </c>
      <c r="V891" s="52">
        <f t="shared" si="280"/>
        <v>-13960.441545911202</v>
      </c>
      <c r="X891" s="6">
        <v>887</v>
      </c>
      <c r="Y891" s="55">
        <v>443.5</v>
      </c>
      <c r="Z891" s="52">
        <f t="shared" si="294"/>
        <v>84389.296881371702</v>
      </c>
      <c r="AA891" s="52">
        <f t="shared" si="295"/>
        <v>-305149.04282401141</v>
      </c>
      <c r="AB891" s="52">
        <f t="shared" si="296"/>
        <v>709.77916943216303</v>
      </c>
      <c r="AC891" s="52">
        <f t="shared" si="297"/>
        <v>-926.06691139718623</v>
      </c>
      <c r="AD891" s="52">
        <f t="shared" si="281"/>
        <v>-3.2167518618268129</v>
      </c>
      <c r="AE891" s="52">
        <f t="shared" si="282"/>
        <v>11.991120726064011</v>
      </c>
      <c r="AF891" s="52">
        <f t="shared" si="283"/>
        <v>-1.035002482455897</v>
      </c>
      <c r="AG891" s="52">
        <f t="shared" si="284"/>
        <v>5.0255640476473271</v>
      </c>
      <c r="AH891" s="52">
        <f t="shared" si="285"/>
        <v>-0.51202589945217125</v>
      </c>
      <c r="AI891" s="52">
        <f t="shared" si="286"/>
        <v>1.5457951814430777</v>
      </c>
      <c r="AJ891" s="52">
        <f t="shared" si="287"/>
        <v>-1.6697234799187448</v>
      </c>
      <c r="AK891" s="52">
        <f t="shared" si="288"/>
        <v>5.4197614969736065</v>
      </c>
      <c r="AM891" s="52">
        <f t="shared" si="289"/>
        <v>319210.59746137494</v>
      </c>
      <c r="AN891" s="57">
        <f t="shared" si="290"/>
        <v>331988.0186034998</v>
      </c>
      <c r="AO891" s="57">
        <f t="shared" si="291"/>
        <v>303606.51087984926</v>
      </c>
    </row>
    <row r="892" spans="12:41" x14ac:dyDescent="0.25">
      <c r="L892" s="6">
        <v>889</v>
      </c>
      <c r="M892" s="52">
        <f t="shared" si="277"/>
        <v>15091.86408276168</v>
      </c>
      <c r="N892" s="52">
        <f t="shared" si="278"/>
        <v>8454.0449768827293</v>
      </c>
      <c r="P892" s="6">
        <v>889</v>
      </c>
      <c r="Q892" s="52">
        <f t="shared" si="292"/>
        <v>-23435.695142066823</v>
      </c>
      <c r="R892" s="52">
        <f t="shared" si="293"/>
        <v>10667.83148381791</v>
      </c>
      <c r="T892" s="6">
        <v>889</v>
      </c>
      <c r="U892" s="52">
        <f t="shared" si="279"/>
        <v>-9908.13591723832</v>
      </c>
      <c r="V892" s="52">
        <f t="shared" si="280"/>
        <v>-14045.955023117271</v>
      </c>
      <c r="X892" s="6">
        <v>888</v>
      </c>
      <c r="Y892" s="55">
        <v>444</v>
      </c>
      <c r="Z892" s="52">
        <f t="shared" si="294"/>
        <v>84743.784372105045</v>
      </c>
      <c r="AA892" s="52">
        <f t="shared" si="295"/>
        <v>-305610.57738961925</v>
      </c>
      <c r="AB892" s="52">
        <f t="shared" si="296"/>
        <v>708.17079350124959</v>
      </c>
      <c r="AC892" s="52">
        <f t="shared" si="297"/>
        <v>-920.07135103415419</v>
      </c>
      <c r="AD892" s="52">
        <f t="shared" si="281"/>
        <v>-3.214174070155281</v>
      </c>
      <c r="AE892" s="52">
        <f t="shared" si="282"/>
        <v>11.94797554870223</v>
      </c>
      <c r="AF892" s="52">
        <f t="shared" si="283"/>
        <v>-1.0356006099594188</v>
      </c>
      <c r="AG892" s="52">
        <f t="shared" si="284"/>
        <v>5.0083186837799722</v>
      </c>
      <c r="AH892" s="52">
        <f t="shared" si="285"/>
        <v>-0.51122241330817864</v>
      </c>
      <c r="AI892" s="52">
        <f t="shared" si="286"/>
        <v>1.5403988122628705</v>
      </c>
      <c r="AJ892" s="52">
        <f t="shared" si="287"/>
        <v>-1.6673510468876835</v>
      </c>
      <c r="AK892" s="52">
        <f t="shared" si="288"/>
        <v>5.3992580526593876</v>
      </c>
      <c r="AM892" s="52">
        <f t="shared" si="289"/>
        <v>319734.25103995722</v>
      </c>
      <c r="AN892" s="57">
        <f t="shared" si="290"/>
        <v>332537.66241555091</v>
      </c>
      <c r="AO892" s="57">
        <f t="shared" si="291"/>
        <v>304152.02534942084</v>
      </c>
    </row>
    <row r="893" spans="12:41" x14ac:dyDescent="0.25">
      <c r="L893" s="6">
        <v>890</v>
      </c>
      <c r="M893" s="52">
        <f t="shared" si="277"/>
        <v>15075.961234938961</v>
      </c>
      <c r="N893" s="52">
        <f t="shared" si="278"/>
        <v>8368.2408883346616</v>
      </c>
      <c r="P893" s="6">
        <v>890</v>
      </c>
      <c r="Q893" s="52">
        <f t="shared" si="292"/>
        <v>-23446.827135542728</v>
      </c>
      <c r="R893" s="52">
        <f t="shared" si="293"/>
        <v>10607.768621834264</v>
      </c>
      <c r="T893" s="6">
        <v>890</v>
      </c>
      <c r="U893" s="52">
        <f t="shared" si="279"/>
        <v>-9924.0387650610392</v>
      </c>
      <c r="V893" s="52">
        <f t="shared" si="280"/>
        <v>-14131.759111665338</v>
      </c>
      <c r="X893" s="6">
        <v>889</v>
      </c>
      <c r="Y893" s="55">
        <v>444.5</v>
      </c>
      <c r="Z893" s="52">
        <f t="shared" si="294"/>
        <v>85097.467997096901</v>
      </c>
      <c r="AA893" s="52">
        <f t="shared" si="295"/>
        <v>-306069.11956819269</v>
      </c>
      <c r="AB893" s="52">
        <f t="shared" si="296"/>
        <v>706.56370646617199</v>
      </c>
      <c r="AC893" s="52">
        <f t="shared" si="297"/>
        <v>-914.09736325980305</v>
      </c>
      <c r="AD893" s="52">
        <f t="shared" si="281"/>
        <v>-3.2116255693875786</v>
      </c>
      <c r="AE893" s="52">
        <f t="shared" si="282"/>
        <v>11.905278132388752</v>
      </c>
      <c r="AF893" s="52">
        <f t="shared" si="283"/>
        <v>-1.036191581954977</v>
      </c>
      <c r="AG893" s="52">
        <f t="shared" si="284"/>
        <v>4.9912491538393624</v>
      </c>
      <c r="AH893" s="52">
        <f t="shared" si="285"/>
        <v>-0.51042832478904632</v>
      </c>
      <c r="AI893" s="52">
        <f t="shared" si="286"/>
        <v>1.5350572596401448</v>
      </c>
      <c r="AJ893" s="52">
        <f t="shared" si="287"/>
        <v>-1.6650056626435557</v>
      </c>
      <c r="AK893" s="52">
        <f t="shared" si="288"/>
        <v>5.378971718909245</v>
      </c>
      <c r="AM893" s="52">
        <f t="shared" si="289"/>
        <v>320255.01258591504</v>
      </c>
      <c r="AN893" s="57">
        <f t="shared" si="290"/>
        <v>333084.32284335041</v>
      </c>
      <c r="AO893" s="57">
        <f t="shared" si="291"/>
        <v>304694.57839891204</v>
      </c>
    </row>
    <row r="894" spans="12:41" x14ac:dyDescent="0.25">
      <c r="L894" s="6">
        <v>891</v>
      </c>
      <c r="M894" s="52">
        <f t="shared" si="277"/>
        <v>15061.558297024312</v>
      </c>
      <c r="N894" s="52">
        <f t="shared" si="278"/>
        <v>8282.1723252011525</v>
      </c>
      <c r="P894" s="6">
        <v>891</v>
      </c>
      <c r="Q894" s="52">
        <f t="shared" si="292"/>
        <v>-23456.909192082981</v>
      </c>
      <c r="R894" s="52">
        <f t="shared" si="293"/>
        <v>10547.520627640806</v>
      </c>
      <c r="T894" s="6">
        <v>891</v>
      </c>
      <c r="U894" s="52">
        <f t="shared" si="279"/>
        <v>-9938.4417029756878</v>
      </c>
      <c r="V894" s="52">
        <f t="shared" si="280"/>
        <v>-14217.827674798848</v>
      </c>
      <c r="X894" s="6">
        <v>890</v>
      </c>
      <c r="Y894" s="55">
        <v>445</v>
      </c>
      <c r="Z894" s="52">
        <f t="shared" si="294"/>
        <v>85450.348397133814</v>
      </c>
      <c r="AA894" s="52">
        <f t="shared" si="295"/>
        <v>-306524.68009005603</v>
      </c>
      <c r="AB894" s="52">
        <f t="shared" si="296"/>
        <v>704.95789368147825</v>
      </c>
      <c r="AC894" s="52">
        <f t="shared" si="297"/>
        <v>-908.14472419360868</v>
      </c>
      <c r="AD894" s="52">
        <f t="shared" si="281"/>
        <v>-3.2091063712212717</v>
      </c>
      <c r="AE894" s="52">
        <f t="shared" si="282"/>
        <v>11.863022675174546</v>
      </c>
      <c r="AF894" s="52">
        <f t="shared" si="283"/>
        <v>-1.0367756881860373</v>
      </c>
      <c r="AG894" s="52">
        <f t="shared" si="284"/>
        <v>4.9743532583246788</v>
      </c>
      <c r="AH894" s="52">
        <f t="shared" si="285"/>
        <v>-0.50964354815889124</v>
      </c>
      <c r="AI894" s="52">
        <f t="shared" si="286"/>
        <v>1.5297698252587157</v>
      </c>
      <c r="AJ894" s="52">
        <f t="shared" si="287"/>
        <v>-1.6626871348763435</v>
      </c>
      <c r="AK894" s="52">
        <f t="shared" si="288"/>
        <v>5.3588995915911521</v>
      </c>
      <c r="AM894" s="52">
        <f t="shared" si="289"/>
        <v>320772.89132806752</v>
      </c>
      <c r="AN894" s="57">
        <f t="shared" si="290"/>
        <v>333628.0100399084</v>
      </c>
      <c r="AO894" s="57">
        <f t="shared" si="291"/>
        <v>305234.17997788585</v>
      </c>
    </row>
    <row r="895" spans="12:41" x14ac:dyDescent="0.25">
      <c r="L895" s="6">
        <v>892</v>
      </c>
      <c r="M895" s="52">
        <f t="shared" si="277"/>
        <v>15048.659656292148</v>
      </c>
      <c r="N895" s="52">
        <f t="shared" si="278"/>
        <v>8195.8655048003311</v>
      </c>
      <c r="P895" s="6">
        <v>892</v>
      </c>
      <c r="Q895" s="52">
        <f t="shared" si="292"/>
        <v>-23465.938240595497</v>
      </c>
      <c r="R895" s="52">
        <f t="shared" si="293"/>
        <v>10487.105853360232</v>
      </c>
      <c r="T895" s="6">
        <v>892</v>
      </c>
      <c r="U895" s="52">
        <f t="shared" si="279"/>
        <v>-9951.3403437078523</v>
      </c>
      <c r="V895" s="52">
        <f t="shared" si="280"/>
        <v>-14304.134495199669</v>
      </c>
      <c r="X895" s="6">
        <v>891</v>
      </c>
      <c r="Y895" s="55">
        <v>445.5</v>
      </c>
      <c r="Z895" s="52">
        <f t="shared" si="294"/>
        <v>85802.426205678144</v>
      </c>
      <c r="AA895" s="52">
        <f t="shared" si="295"/>
        <v>-306977.26957431843</v>
      </c>
      <c r="AB895" s="52">
        <f t="shared" si="296"/>
        <v>703.35334049586766</v>
      </c>
      <c r="AC895" s="52">
        <f t="shared" si="297"/>
        <v>-902.21321285602141</v>
      </c>
      <c r="AD895" s="52">
        <f t="shared" si="281"/>
        <v>-3.2066164843797678</v>
      </c>
      <c r="AE895" s="52">
        <f t="shared" si="282"/>
        <v>11.821203477934649</v>
      </c>
      <c r="AF895" s="52">
        <f t="shared" si="283"/>
        <v>-1.037353211740361</v>
      </c>
      <c r="AG895" s="52">
        <f t="shared" si="284"/>
        <v>4.9576288356387135</v>
      </c>
      <c r="AH895" s="52">
        <f t="shared" si="285"/>
        <v>-0.50886799904330116</v>
      </c>
      <c r="AI895" s="52">
        <f t="shared" si="286"/>
        <v>1.5245358229964292</v>
      </c>
      <c r="AJ895" s="52">
        <f t="shared" si="287"/>
        <v>-1.6603952735961054</v>
      </c>
      <c r="AK895" s="52">
        <f t="shared" si="288"/>
        <v>5.3390388192995051</v>
      </c>
      <c r="AM895" s="52">
        <f t="shared" si="289"/>
        <v>321287.89640052151</v>
      </c>
      <c r="AN895" s="57">
        <f t="shared" si="290"/>
        <v>334168.73405182315</v>
      </c>
      <c r="AO895" s="57">
        <f t="shared" si="291"/>
        <v>305770.83993231249</v>
      </c>
    </row>
    <row r="896" spans="12:41" x14ac:dyDescent="0.25">
      <c r="L896" s="6">
        <v>893</v>
      </c>
      <c r="M896" s="52">
        <f t="shared" si="277"/>
        <v>15037.26924179339</v>
      </c>
      <c r="N896" s="52">
        <f t="shared" si="278"/>
        <v>8109.3467170257463</v>
      </c>
      <c r="P896" s="6">
        <v>893</v>
      </c>
      <c r="Q896" s="52">
        <f t="shared" si="292"/>
        <v>-23473.911530744626</v>
      </c>
      <c r="R896" s="52">
        <f t="shared" si="293"/>
        <v>10426.542701918022</v>
      </c>
      <c r="T896" s="6">
        <v>893</v>
      </c>
      <c r="U896" s="52">
        <f t="shared" si="279"/>
        <v>-9962.7307582066096</v>
      </c>
      <c r="V896" s="52">
        <f t="shared" si="280"/>
        <v>-14390.653282974254</v>
      </c>
      <c r="X896" s="6">
        <v>892</v>
      </c>
      <c r="Y896" s="55">
        <v>446</v>
      </c>
      <c r="Z896" s="52">
        <f t="shared" si="294"/>
        <v>86153.70204886554</v>
      </c>
      <c r="AA896" s="52">
        <f t="shared" si="295"/>
        <v>-307426.89853031165</v>
      </c>
      <c r="AB896" s="52">
        <f t="shared" si="296"/>
        <v>701.75003225367777</v>
      </c>
      <c r="AC896" s="52">
        <f t="shared" si="297"/>
        <v>-896.30261111705408</v>
      </c>
      <c r="AD896" s="52">
        <f t="shared" si="281"/>
        <v>-3.2041559147515795</v>
      </c>
      <c r="AE896" s="52">
        <f t="shared" si="282"/>
        <v>11.77981494216297</v>
      </c>
      <c r="AF896" s="52">
        <f t="shared" si="283"/>
        <v>-1.0379244292309462</v>
      </c>
      <c r="AG896" s="52">
        <f t="shared" si="284"/>
        <v>4.9410737613005775</v>
      </c>
      <c r="AH896" s="52">
        <f t="shared" si="285"/>
        <v>-0.50810159440534231</v>
      </c>
      <c r="AI896" s="52">
        <f t="shared" si="286"/>
        <v>1.5193545786669793</v>
      </c>
      <c r="AJ896" s="52">
        <f t="shared" si="287"/>
        <v>-1.6581298911152911</v>
      </c>
      <c r="AK896" s="52">
        <f t="shared" si="288"/>
        <v>5.3193866021954133</v>
      </c>
      <c r="AM896" s="52">
        <f t="shared" si="289"/>
        <v>321800.03684383148</v>
      </c>
      <c r="AN896" s="57">
        <f t="shared" si="290"/>
        <v>334706.50482064445</v>
      </c>
      <c r="AO896" s="57">
        <f t="shared" si="291"/>
        <v>306304.5680058829</v>
      </c>
    </row>
    <row r="897" spans="12:41" x14ac:dyDescent="0.25">
      <c r="L897" s="6">
        <v>894</v>
      </c>
      <c r="M897" s="52">
        <f t="shared" si="277"/>
        <v>15027.390523158634</v>
      </c>
      <c r="N897" s="52">
        <f t="shared" si="278"/>
        <v>8022.6423163382733</v>
      </c>
      <c r="P897" s="6">
        <v>894</v>
      </c>
      <c r="Q897" s="52">
        <f t="shared" si="292"/>
        <v>-23480.826633788958</v>
      </c>
      <c r="R897" s="52">
        <f t="shared" si="293"/>
        <v>10365.849621436791</v>
      </c>
      <c r="T897" s="6">
        <v>894</v>
      </c>
      <c r="U897" s="52">
        <f t="shared" si="279"/>
        <v>-9972.6094768413659</v>
      </c>
      <c r="V897" s="52">
        <f t="shared" si="280"/>
        <v>-14477.357683661727</v>
      </c>
      <c r="X897" s="6">
        <v>893</v>
      </c>
      <c r="Y897" s="55">
        <v>446.5</v>
      </c>
      <c r="Z897" s="52">
        <f t="shared" si="294"/>
        <v>86504.17654550304</v>
      </c>
      <c r="AA897" s="52">
        <f t="shared" si="295"/>
        <v>-307873.57735900237</v>
      </c>
      <c r="AB897" s="52">
        <f t="shared" si="296"/>
        <v>700.14795429630203</v>
      </c>
      <c r="AC897" s="52">
        <f t="shared" si="297"/>
        <v>-890.41270364597256</v>
      </c>
      <c r="AD897" s="52">
        <f t="shared" si="281"/>
        <v>-3.2017246655245075</v>
      </c>
      <c r="AE897" s="52">
        <f t="shared" si="282"/>
        <v>11.738851567823239</v>
      </c>
      <c r="AF897" s="52">
        <f t="shared" si="283"/>
        <v>-1.03848961097159</v>
      </c>
      <c r="AG897" s="52">
        <f t="shared" si="284"/>
        <v>4.9246859471777809</v>
      </c>
      <c r="AH897" s="52">
        <f t="shared" si="285"/>
        <v>-0.50734425252204718</v>
      </c>
      <c r="AI897" s="52">
        <f t="shared" si="286"/>
        <v>1.5142254297681026</v>
      </c>
      <c r="AJ897" s="52">
        <f t="shared" si="287"/>
        <v>-1.6558908020308705</v>
      </c>
      <c r="AK897" s="52">
        <f t="shared" si="288"/>
        <v>5.299940190877356</v>
      </c>
      <c r="AM897" s="52">
        <f t="shared" si="289"/>
        <v>322309.32160613989</v>
      </c>
      <c r="AN897" s="57">
        <f t="shared" si="290"/>
        <v>335241.33218421228</v>
      </c>
      <c r="AO897" s="57">
        <f t="shared" si="291"/>
        <v>306835.37384129968</v>
      </c>
    </row>
    <row r="898" spans="12:41" x14ac:dyDescent="0.25">
      <c r="L898" s="6">
        <v>895</v>
      </c>
      <c r="M898" s="52">
        <f t="shared" si="277"/>
        <v>15019.026509541272</v>
      </c>
      <c r="N898" s="52">
        <f t="shared" si="278"/>
        <v>7935.7787137382929</v>
      </c>
      <c r="P898" s="6">
        <v>895</v>
      </c>
      <c r="Q898" s="52">
        <f t="shared" si="292"/>
        <v>-23486.681443321108</v>
      </c>
      <c r="R898" s="52">
        <f t="shared" si="293"/>
        <v>10305.045099616806</v>
      </c>
      <c r="T898" s="6">
        <v>895</v>
      </c>
      <c r="U898" s="52">
        <f t="shared" si="279"/>
        <v>-9980.9734904587276</v>
      </c>
      <c r="V898" s="52">
        <f t="shared" si="280"/>
        <v>-14564.221286261707</v>
      </c>
      <c r="X898" s="6">
        <v>894</v>
      </c>
      <c r="Y898" s="55">
        <v>447</v>
      </c>
      <c r="Z898" s="52">
        <f t="shared" si="294"/>
        <v>86853.850307068002</v>
      </c>
      <c r="AA898" s="52">
        <f t="shared" si="295"/>
        <v>-308317.31635437941</v>
      </c>
      <c r="AB898" s="52">
        <f t="shared" si="296"/>
        <v>698.54709196353974</v>
      </c>
      <c r="AC898" s="52">
        <f t="shared" si="297"/>
        <v>-884.5432778620609</v>
      </c>
      <c r="AD898" s="52">
        <f t="shared" si="281"/>
        <v>-3.1993227373151338</v>
      </c>
      <c r="AE898" s="52">
        <f t="shared" si="282"/>
        <v>11.698307951255135</v>
      </c>
      <c r="AF898" s="52">
        <f t="shared" si="283"/>
        <v>-1.0390490211473624</v>
      </c>
      <c r="AG898" s="52">
        <f t="shared" si="284"/>
        <v>4.9084633407376357</v>
      </c>
      <c r="AH898" s="52">
        <f t="shared" si="285"/>
        <v>-0.50659589296143315</v>
      </c>
      <c r="AI898" s="52">
        <f t="shared" si="286"/>
        <v>1.5091477252361323</v>
      </c>
      <c r="AJ898" s="52">
        <f t="shared" si="287"/>
        <v>-1.6536778232063383</v>
      </c>
      <c r="AK898" s="52">
        <f t="shared" si="288"/>
        <v>5.280696885281368</v>
      </c>
      <c r="AM898" s="52">
        <f t="shared" si="289"/>
        <v>322815.75954429799</v>
      </c>
      <c r="AN898" s="57">
        <f t="shared" si="290"/>
        <v>335773.22587797162</v>
      </c>
      <c r="AO898" s="57">
        <f t="shared" si="291"/>
        <v>307363.26698154473</v>
      </c>
    </row>
    <row r="899" spans="12:41" x14ac:dyDescent="0.25">
      <c r="L899" s="6">
        <v>896</v>
      </c>
      <c r="M899" s="52">
        <f t="shared" si="277"/>
        <v>15012.179748700877</v>
      </c>
      <c r="N899" s="52">
        <f t="shared" si="278"/>
        <v>7848.7823687206255</v>
      </c>
      <c r="P899" s="6">
        <v>896</v>
      </c>
      <c r="Q899" s="52">
        <f t="shared" si="292"/>
        <v>-23491.474175909385</v>
      </c>
      <c r="R899" s="52">
        <f t="shared" si="293"/>
        <v>10244.147658104437</v>
      </c>
      <c r="T899" s="6">
        <v>896</v>
      </c>
      <c r="U899" s="52">
        <f t="shared" si="279"/>
        <v>-9987.8202512991229</v>
      </c>
      <c r="V899" s="52">
        <f t="shared" si="280"/>
        <v>-14651.217631279374</v>
      </c>
      <c r="X899" s="6">
        <v>895</v>
      </c>
      <c r="Y899" s="55">
        <v>447.5</v>
      </c>
      <c r="Z899" s="52">
        <f t="shared" si="294"/>
        <v>87202.723937707604</v>
      </c>
      <c r="AA899" s="52">
        <f t="shared" si="295"/>
        <v>-308758.12570481648</v>
      </c>
      <c r="AB899" s="52">
        <f t="shared" si="296"/>
        <v>696.94743059488212</v>
      </c>
      <c r="AC899" s="52">
        <f t="shared" si="297"/>
        <v>-878.69412388643332</v>
      </c>
      <c r="AD899" s="52">
        <f t="shared" si="281"/>
        <v>-3.1969501282935577</v>
      </c>
      <c r="AE899" s="52">
        <f t="shared" si="282"/>
        <v>11.658178783133032</v>
      </c>
      <c r="AF899" s="52">
        <f t="shared" si="283"/>
        <v>-1.0396029179799953</v>
      </c>
      <c r="AG899" s="52">
        <f t="shared" si="284"/>
        <v>4.8924039243166826</v>
      </c>
      <c r="AH899" s="52">
        <f t="shared" si="285"/>
        <v>-0.50585643656004409</v>
      </c>
      <c r="AI899" s="52">
        <f t="shared" si="286"/>
        <v>1.5041208252067582</v>
      </c>
      <c r="AJ899" s="52">
        <f t="shared" si="287"/>
        <v>-1.6514907737535185</v>
      </c>
      <c r="AK899" s="52">
        <f t="shared" si="288"/>
        <v>5.2616540336095907</v>
      </c>
      <c r="AM899" s="52">
        <f t="shared" si="289"/>
        <v>323319.35942496738</v>
      </c>
      <c r="AN899" s="57">
        <f t="shared" si="290"/>
        <v>336302.19553626457</v>
      </c>
      <c r="AO899" s="57">
        <f t="shared" si="291"/>
        <v>307888.25687112508</v>
      </c>
    </row>
    <row r="900" spans="12:41" x14ac:dyDescent="0.25">
      <c r="L900" s="6">
        <v>897</v>
      </c>
      <c r="M900" s="52">
        <f t="shared" si="277"/>
        <v>15006.85232622713</v>
      </c>
      <c r="N900" s="52">
        <f t="shared" si="278"/>
        <v>7761.6797812147233</v>
      </c>
      <c r="P900" s="6">
        <v>897</v>
      </c>
      <c r="Q900" s="52">
        <f t="shared" si="292"/>
        <v>-23495.203371641008</v>
      </c>
      <c r="R900" s="52">
        <f t="shared" si="293"/>
        <v>10183.175846850307</v>
      </c>
      <c r="T900" s="6">
        <v>897</v>
      </c>
      <c r="U900" s="52">
        <f t="shared" si="279"/>
        <v>-9993.1476737728699</v>
      </c>
      <c r="V900" s="52">
        <f t="shared" si="280"/>
        <v>-14738.320218785277</v>
      </c>
      <c r="X900" s="6">
        <v>896</v>
      </c>
      <c r="Y900" s="55">
        <v>448</v>
      </c>
      <c r="Z900" s="52">
        <f t="shared" si="294"/>
        <v>87550.798034239007</v>
      </c>
      <c r="AA900" s="52">
        <f t="shared" si="295"/>
        <v>-309196.01549441181</v>
      </c>
      <c r="AB900" s="52">
        <f t="shared" si="296"/>
        <v>695.34895553073534</v>
      </c>
      <c r="AC900" s="52">
        <f t="shared" si="297"/>
        <v>-872.86503449486679</v>
      </c>
      <c r="AD900" s="52">
        <f t="shared" si="281"/>
        <v>-3.1946068343037153</v>
      </c>
      <c r="AE900" s="52">
        <f t="shared" si="282"/>
        <v>11.618458846476436</v>
      </c>
      <c r="AF900" s="52">
        <f t="shared" si="283"/>
        <v>-1.0401515538884345</v>
      </c>
      <c r="AG900" s="52">
        <f t="shared" si="284"/>
        <v>4.8765057144080144</v>
      </c>
      <c r="AH900" s="52">
        <f t="shared" si="285"/>
        <v>-0.50512580540097274</v>
      </c>
      <c r="AI900" s="52">
        <f t="shared" si="286"/>
        <v>1.4991441007817246</v>
      </c>
      <c r="AJ900" s="52">
        <f t="shared" si="287"/>
        <v>-1.6493294750143079</v>
      </c>
      <c r="AK900" s="52">
        <f t="shared" si="288"/>
        <v>5.2428090312866971</v>
      </c>
      <c r="AM900" s="52">
        <f t="shared" si="289"/>
        <v>323820.12992570316</v>
      </c>
      <c r="AN900" s="57">
        <f t="shared" si="290"/>
        <v>336828.25069359969</v>
      </c>
      <c r="AO900" s="57">
        <f t="shared" si="291"/>
        <v>308410.3528572974</v>
      </c>
    </row>
    <row r="901" spans="12:41" x14ac:dyDescent="0.25">
      <c r="L901" s="6">
        <v>898</v>
      </c>
      <c r="M901" s="52">
        <f t="shared" ref="M901:M964" si="298">$G$20*COS(L901*PI()/180)+$G$19</f>
        <v>15003.045864904521</v>
      </c>
      <c r="N901" s="52">
        <f t="shared" ref="N901:N964" si="299">$G$20*SIN(L901*PI()/180)+$H$19</f>
        <v>7674.4974835125058</v>
      </c>
      <c r="P901" s="6">
        <v>898</v>
      </c>
      <c r="Q901" s="52">
        <f t="shared" si="292"/>
        <v>-23497.867894566836</v>
      </c>
      <c r="R901" s="52">
        <f t="shared" si="293"/>
        <v>10122.148238458754</v>
      </c>
      <c r="T901" s="6">
        <v>898</v>
      </c>
      <c r="U901" s="52">
        <f t="shared" ref="U901:U964" si="300">$G$40*COS(T901*PI()/180)+$G$39</f>
        <v>-9996.9541350954787</v>
      </c>
      <c r="V901" s="52">
        <f t="shared" ref="V901:V964" si="301">$G$40*SIN(T901*PI()/180)+$H$39</f>
        <v>-14825.502516487493</v>
      </c>
      <c r="X901" s="6">
        <v>897</v>
      </c>
      <c r="Y901" s="55">
        <v>448.5</v>
      </c>
      <c r="Z901" s="52">
        <f t="shared" si="294"/>
        <v>87898.073186150083</v>
      </c>
      <c r="AA901" s="52">
        <f t="shared" si="295"/>
        <v>-309630.99570430344</v>
      </c>
      <c r="AB901" s="52">
        <f t="shared" si="296"/>
        <v>693.75165211358353</v>
      </c>
      <c r="AC901" s="52">
        <f t="shared" si="297"/>
        <v>-867.05580507162858</v>
      </c>
      <c r="AD901" s="52">
        <f t="shared" ref="AD901:AD964" si="302">AF901+AH901+AJ901</f>
        <v>-3.1922928489794278</v>
      </c>
      <c r="AE901" s="52">
        <f t="shared" ref="AE901:AE964" si="303">AG901+AI901+AK901</f>
        <v>11.579143014710711</v>
      </c>
      <c r="AF901" s="52">
        <f t="shared" ref="AF901:AF964" si="304">(($G$19-Z901)/(AM901^2+$G$24^2)^(3/2))*$G$23</f>
        <v>-1.0406951756448108</v>
      </c>
      <c r="AG901" s="52">
        <f t="shared" ref="AG901:AG964" si="305">(($H$19-AA901)/(AM901^2+$G$24^2)^(3/2))*$G$23</f>
        <v>4.8607667609664214</v>
      </c>
      <c r="AH901" s="52">
        <f t="shared" ref="AH901:AH964" si="306">(($G$29-Z901)/(AN901^2+$G$34^2)^(3/2))*$G$33</f>
        <v>-0.50440392279237212</v>
      </c>
      <c r="AI901" s="52">
        <f t="shared" ref="AI901:AI964" si="307">(($H$29-AA901)/(AN901^2+$G$34^2)^(3/2))*$G$33</f>
        <v>1.4942169338013467</v>
      </c>
      <c r="AJ901" s="52">
        <f t="shared" ref="AJ901:AJ964" si="308">(($G$39-Z901)/(AO901^2+$G$44^2)^(3/2))*$G$43</f>
        <v>-1.6471937505422449</v>
      </c>
      <c r="AK901" s="52">
        <f t="shared" ref="AK901:AK964" si="309">(($H$39-AA901)/(AO901^2+$G$44^2)^(3/2))*$G$43</f>
        <v>5.2241593199429435</v>
      </c>
      <c r="AM901" s="52">
        <f t="shared" ref="AM901:AM964" si="310">SQRT(($G$19-Z901)^2+($H$19-AA901)^2)</f>
        <v>324318.07963601832</v>
      </c>
      <c r="AN901" s="57">
        <f t="shared" ref="AN901:AN964" si="311">SQRT(($G$29-Z901)^2+($H$29-AA901)^2)</f>
        <v>337351.40078589896</v>
      </c>
      <c r="AO901" s="57">
        <f t="shared" ref="AO901:AO964" si="312">SQRT(($G$39-Z901)^2+($H$39-AA901)^2)</f>
        <v>308929.56419127091</v>
      </c>
    </row>
    <row r="902" spans="12:41" x14ac:dyDescent="0.25">
      <c r="L902" s="6">
        <v>899</v>
      </c>
      <c r="M902" s="52">
        <f t="shared" si="298"/>
        <v>15000.761524218044</v>
      </c>
      <c r="N902" s="52">
        <f t="shared" si="299"/>
        <v>7587.2620321864151</v>
      </c>
      <c r="P902" s="6">
        <v>899</v>
      </c>
      <c r="Q902" s="52">
        <f t="shared" ref="Q902:Q965" si="313">$G$30*COS(P902*PI()/180)+$G$29</f>
        <v>-23499.46693304737</v>
      </c>
      <c r="R902" s="52">
        <f t="shared" ref="R902:R965" si="314">$G$30*SIN(P902*PI()/180)+$H$29</f>
        <v>10061.08342253049</v>
      </c>
      <c r="T902" s="6">
        <v>899</v>
      </c>
      <c r="U902" s="52">
        <f t="shared" si="300"/>
        <v>-9999.2384757819564</v>
      </c>
      <c r="V902" s="52">
        <f t="shared" si="301"/>
        <v>-14912.737967813584</v>
      </c>
      <c r="X902" s="6">
        <v>898</v>
      </c>
      <c r="Y902" s="55">
        <v>449</v>
      </c>
      <c r="Z902" s="52">
        <f t="shared" ref="Z902:Z965" si="315">Z901+AB901*$G$4+((1/2)*AD901)*$G$4^2</f>
        <v>88244.549975600748</v>
      </c>
      <c r="AA902" s="52">
        <f t="shared" ref="AA902:AA965" si="316">AA901+AC901*$G$4+((1/2)*AE901)*$G$4^2</f>
        <v>-310063.0762139624</v>
      </c>
      <c r="AB902" s="52">
        <f t="shared" ref="AB902:AB965" si="317">AB901+AD901*$G$4</f>
        <v>692.15550568909384</v>
      </c>
      <c r="AC902" s="52">
        <f t="shared" ref="AC902:AC965" si="318">AC901+AE901*$G$4</f>
        <v>-861.26623356427319</v>
      </c>
      <c r="AD902" s="52">
        <f t="shared" si="302"/>
        <v>-3.190008163856271</v>
      </c>
      <c r="AE902" s="52">
        <f t="shared" si="303"/>
        <v>11.540226249776051</v>
      </c>
      <c r="AF902" s="52">
        <f t="shared" si="304"/>
        <v>-1.0412340245257614</v>
      </c>
      <c r="AG902" s="52">
        <f t="shared" si="305"/>
        <v>4.8451851467298708</v>
      </c>
      <c r="AH902" s="52">
        <f t="shared" si="306"/>
        <v>-0.50369071324642434</v>
      </c>
      <c r="AI902" s="52">
        <f t="shared" si="307"/>
        <v>1.4893387166226302</v>
      </c>
      <c r="AJ902" s="52">
        <f t="shared" si="308"/>
        <v>-1.6450834260840852</v>
      </c>
      <c r="AK902" s="52">
        <f t="shared" si="309"/>
        <v>5.2057023864235505</v>
      </c>
      <c r="AM902" s="52">
        <f t="shared" si="310"/>
        <v>324813.2170584306</v>
      </c>
      <c r="AN902" s="57">
        <f t="shared" si="311"/>
        <v>337871.6551517233</v>
      </c>
      <c r="AO902" s="57">
        <f t="shared" si="312"/>
        <v>309445.90002938948</v>
      </c>
    </row>
    <row r="903" spans="12:41" x14ac:dyDescent="0.25">
      <c r="L903" s="6">
        <v>900</v>
      </c>
      <c r="M903" s="52">
        <f t="shared" si="298"/>
        <v>15000</v>
      </c>
      <c r="N903" s="52">
        <f t="shared" si="299"/>
        <v>7500.0000000000027</v>
      </c>
      <c r="P903" s="6">
        <v>900</v>
      </c>
      <c r="Q903" s="52">
        <f t="shared" si="313"/>
        <v>-23500</v>
      </c>
      <c r="R903" s="52">
        <f t="shared" si="314"/>
        <v>10000.000000000002</v>
      </c>
      <c r="T903" s="6">
        <v>900</v>
      </c>
      <c r="U903" s="52">
        <f t="shared" si="300"/>
        <v>-10000</v>
      </c>
      <c r="V903" s="52">
        <f t="shared" si="301"/>
        <v>-14999.999999999996</v>
      </c>
      <c r="X903" s="6">
        <v>899</v>
      </c>
      <c r="Y903" s="55">
        <v>449.5</v>
      </c>
      <c r="Z903" s="52">
        <f t="shared" si="315"/>
        <v>88590.22897742482</v>
      </c>
      <c r="AA903" s="52">
        <f t="shared" si="316"/>
        <v>-310492.26680246327</v>
      </c>
      <c r="AB903" s="52">
        <f t="shared" si="317"/>
        <v>690.56050160716575</v>
      </c>
      <c r="AC903" s="52">
        <f t="shared" si="318"/>
        <v>-855.49612043938521</v>
      </c>
      <c r="AD903" s="52">
        <f t="shared" si="302"/>
        <v>-3.1877527684794407</v>
      </c>
      <c r="AE903" s="52">
        <f t="shared" si="303"/>
        <v>11.501703600283747</v>
      </c>
      <c r="AF903" s="52">
        <f t="shared" si="304"/>
        <v>-1.0417683364594656</v>
      </c>
      <c r="AG903" s="52">
        <f t="shared" si="305"/>
        <v>4.8297589865578292</v>
      </c>
      <c r="AH903" s="52">
        <f t="shared" si="306"/>
        <v>-0.50298610245878239</v>
      </c>
      <c r="AI903" s="52">
        <f t="shared" si="307"/>
        <v>1.4845088519029119</v>
      </c>
      <c r="AJ903" s="52">
        <f t="shared" si="308"/>
        <v>-1.6429983295611925</v>
      </c>
      <c r="AK903" s="52">
        <f t="shared" si="309"/>
        <v>5.1874357618230071</v>
      </c>
      <c r="AM903" s="52">
        <f t="shared" si="310"/>
        <v>325305.55060949171</v>
      </c>
      <c r="AN903" s="57">
        <f t="shared" si="311"/>
        <v>338389.02303347673</v>
      </c>
      <c r="AO903" s="57">
        <f t="shared" si="312"/>
        <v>309959.36943429365</v>
      </c>
    </row>
    <row r="904" spans="12:41" x14ac:dyDescent="0.25">
      <c r="L904" s="6">
        <v>901</v>
      </c>
      <c r="M904" s="52">
        <f t="shared" si="298"/>
        <v>15000.761524218044</v>
      </c>
      <c r="N904" s="52">
        <f t="shared" si="299"/>
        <v>7412.7379678135912</v>
      </c>
      <c r="P904" s="6">
        <v>901</v>
      </c>
      <c r="Q904" s="52">
        <f t="shared" si="313"/>
        <v>-23499.46693304737</v>
      </c>
      <c r="R904" s="52">
        <f t="shared" si="314"/>
        <v>9938.9165774695139</v>
      </c>
      <c r="T904" s="6">
        <v>901</v>
      </c>
      <c r="U904" s="52">
        <f t="shared" si="300"/>
        <v>-9999.2384757819564</v>
      </c>
      <c r="V904" s="52">
        <f t="shared" si="301"/>
        <v>-15087.262032186409</v>
      </c>
      <c r="X904" s="6">
        <v>900</v>
      </c>
      <c r="Y904" s="55">
        <v>450</v>
      </c>
      <c r="Z904" s="52">
        <f t="shared" si="315"/>
        <v>88935.110759132338</v>
      </c>
      <c r="AA904" s="52">
        <f t="shared" si="316"/>
        <v>-310918.57714973291</v>
      </c>
      <c r="AB904" s="52">
        <f t="shared" si="317"/>
        <v>688.96662522292604</v>
      </c>
      <c r="AC904" s="52">
        <f t="shared" si="318"/>
        <v>-849.74526863924336</v>
      </c>
      <c r="AD904" s="52">
        <f t="shared" si="302"/>
        <v>-3.1855266505078306</v>
      </c>
      <c r="AE904" s="52">
        <f t="shared" si="303"/>
        <v>11.463570199718381</v>
      </c>
      <c r="AF904" s="52">
        <f t="shared" si="304"/>
        <v>-1.0422983421684076</v>
      </c>
      <c r="AG904" s="52">
        <f t="shared" si="305"/>
        <v>4.8144864267853853</v>
      </c>
      <c r="AH904" s="52">
        <f t="shared" si="306"/>
        <v>-0.50229001728845324</v>
      </c>
      <c r="AI904" s="52">
        <f t="shared" si="307"/>
        <v>1.4797267523888002</v>
      </c>
      <c r="AJ904" s="52">
        <f t="shared" si="308"/>
        <v>-1.6409382910509698</v>
      </c>
      <c r="AK904" s="52">
        <f t="shared" si="309"/>
        <v>5.1693570205441954</v>
      </c>
      <c r="AM904" s="52">
        <f t="shared" si="310"/>
        <v>325795.08862079895</v>
      </c>
      <c r="AN904" s="57">
        <f t="shared" si="311"/>
        <v>338903.51357858995</v>
      </c>
      <c r="AO904" s="57">
        <f t="shared" si="312"/>
        <v>310469.98137606296</v>
      </c>
    </row>
    <row r="905" spans="12:41" x14ac:dyDescent="0.25">
      <c r="L905" s="6">
        <v>902</v>
      </c>
      <c r="M905" s="52">
        <f t="shared" si="298"/>
        <v>15003.045864904521</v>
      </c>
      <c r="N905" s="52">
        <f t="shared" si="299"/>
        <v>7325.5025164874914</v>
      </c>
      <c r="P905" s="6">
        <v>902</v>
      </c>
      <c r="Q905" s="52">
        <f t="shared" si="313"/>
        <v>-23497.867894566836</v>
      </c>
      <c r="R905" s="52">
        <f t="shared" si="314"/>
        <v>9877.8517615412438</v>
      </c>
      <c r="T905" s="6">
        <v>902</v>
      </c>
      <c r="U905" s="52">
        <f t="shared" si="300"/>
        <v>-9996.9541350954787</v>
      </c>
      <c r="V905" s="52">
        <f t="shared" si="301"/>
        <v>-15174.497483512509</v>
      </c>
      <c r="X905" s="6">
        <v>901</v>
      </c>
      <c r="Y905" s="55">
        <v>450.5</v>
      </c>
      <c r="Z905" s="52">
        <f t="shared" si="315"/>
        <v>89279.195880912492</v>
      </c>
      <c r="AA905" s="52">
        <f t="shared" si="316"/>
        <v>-311342.01683777757</v>
      </c>
      <c r="AB905" s="52">
        <f t="shared" si="317"/>
        <v>687.3738618976721</v>
      </c>
      <c r="AC905" s="52">
        <f t="shared" si="318"/>
        <v>-844.0134835393842</v>
      </c>
      <c r="AD905" s="52">
        <f t="shared" si="302"/>
        <v>-3.1833297958144073</v>
      </c>
      <c r="AE905" s="52">
        <f t="shared" si="303"/>
        <v>11.425821264684423</v>
      </c>
      <c r="AF905" s="52">
        <f t="shared" si="304"/>
        <v>-1.0428242673079962</v>
      </c>
      <c r="AG905" s="52">
        <f t="shared" si="305"/>
        <v>4.7993656445926947</v>
      </c>
      <c r="AH905" s="52">
        <f t="shared" si="306"/>
        <v>-0.50160238573811433</v>
      </c>
      <c r="AI905" s="52">
        <f t="shared" si="307"/>
        <v>1.4749918407102813</v>
      </c>
      <c r="AJ905" s="52">
        <f t="shared" si="308"/>
        <v>-1.6389031427682967</v>
      </c>
      <c r="AK905" s="52">
        <f t="shared" si="309"/>
        <v>5.1514637793814462</v>
      </c>
      <c r="AM905" s="52">
        <f t="shared" si="310"/>
        <v>326281.83933999063</v>
      </c>
      <c r="AN905" s="57">
        <f t="shared" si="311"/>
        <v>339415.13584068313</v>
      </c>
      <c r="AO905" s="57">
        <f t="shared" si="312"/>
        <v>310977.74473333795</v>
      </c>
    </row>
    <row r="906" spans="12:41" x14ac:dyDescent="0.25">
      <c r="L906" s="6">
        <v>903</v>
      </c>
      <c r="M906" s="52">
        <f t="shared" si="298"/>
        <v>15006.85232622713</v>
      </c>
      <c r="N906" s="52">
        <f t="shared" si="299"/>
        <v>7238.3202187852821</v>
      </c>
      <c r="P906" s="6">
        <v>903</v>
      </c>
      <c r="Q906" s="52">
        <f t="shared" si="313"/>
        <v>-23495.203371641008</v>
      </c>
      <c r="R906" s="52">
        <f t="shared" si="314"/>
        <v>9816.8241531496969</v>
      </c>
      <c r="T906" s="6">
        <v>903</v>
      </c>
      <c r="U906" s="52">
        <f t="shared" si="300"/>
        <v>-9993.1476737728699</v>
      </c>
      <c r="V906" s="52">
        <f t="shared" si="301"/>
        <v>-15261.679781214718</v>
      </c>
      <c r="X906" s="6">
        <v>902</v>
      </c>
      <c r="Y906" s="55">
        <v>451</v>
      </c>
      <c r="Z906" s="52">
        <f t="shared" si="315"/>
        <v>89622.484895636851</v>
      </c>
      <c r="AA906" s="52">
        <f t="shared" si="316"/>
        <v>-311762.59535188915</v>
      </c>
      <c r="AB906" s="52">
        <f t="shared" si="317"/>
        <v>685.78219699976489</v>
      </c>
      <c r="AC906" s="52">
        <f t="shared" si="318"/>
        <v>-838.30057290704201</v>
      </c>
      <c r="AD906" s="52">
        <f t="shared" si="302"/>
        <v>-3.1811621885830288</v>
      </c>
      <c r="AE906" s="52">
        <f t="shared" si="303"/>
        <v>11.388452093196317</v>
      </c>
      <c r="AF906" s="52">
        <f t="shared" si="304"/>
        <v>-1.0433463326013455</v>
      </c>
      <c r="AG906" s="52">
        <f t="shared" si="305"/>
        <v>4.7843948473901126</v>
      </c>
      <c r="AH906" s="52">
        <f t="shared" si="306"/>
        <v>-0.50092313693485124</v>
      </c>
      <c r="AI906" s="52">
        <f t="shared" si="307"/>
        <v>1.4703035491798331</v>
      </c>
      <c r="AJ906" s="52">
        <f t="shared" si="308"/>
        <v>-1.6368927190468319</v>
      </c>
      <c r="AK906" s="52">
        <f t="shared" si="309"/>
        <v>5.1337536966263704</v>
      </c>
      <c r="AM906" s="52">
        <f t="shared" si="310"/>
        <v>326765.81093172415</v>
      </c>
      <c r="AN906" s="57">
        <f t="shared" si="311"/>
        <v>339923.89878070896</v>
      </c>
      <c r="AO906" s="57">
        <f t="shared" si="312"/>
        <v>311482.66829442396</v>
      </c>
    </row>
    <row r="907" spans="12:41" x14ac:dyDescent="0.25">
      <c r="L907" s="6">
        <v>904</v>
      </c>
      <c r="M907" s="52">
        <f t="shared" si="298"/>
        <v>15012.179748700877</v>
      </c>
      <c r="N907" s="52">
        <f t="shared" si="299"/>
        <v>7151.2176312793808</v>
      </c>
      <c r="P907" s="6">
        <v>904</v>
      </c>
      <c r="Q907" s="52">
        <f t="shared" si="313"/>
        <v>-23491.474175909385</v>
      </c>
      <c r="R907" s="52">
        <f t="shared" si="314"/>
        <v>9755.8523418955665</v>
      </c>
      <c r="T907" s="6">
        <v>904</v>
      </c>
      <c r="U907" s="52">
        <f t="shared" si="300"/>
        <v>-9987.8202512991229</v>
      </c>
      <c r="V907" s="52">
        <f t="shared" si="301"/>
        <v>-15348.78236872062</v>
      </c>
      <c r="X907" s="6">
        <v>903</v>
      </c>
      <c r="Y907" s="55">
        <v>451.5</v>
      </c>
      <c r="Z907" s="52">
        <f t="shared" si="315"/>
        <v>89964.978348863166</v>
      </c>
      <c r="AA907" s="52">
        <f t="shared" si="316"/>
        <v>-312180.32208183105</v>
      </c>
      <c r="AB907" s="52">
        <f t="shared" si="317"/>
        <v>684.19161590547333</v>
      </c>
      <c r="AC907" s="52">
        <f t="shared" si="318"/>
        <v>-832.60634686044386</v>
      </c>
      <c r="AD907" s="52">
        <f t="shared" si="302"/>
        <v>-3.1790238114017941</v>
      </c>
      <c r="AE907" s="52">
        <f t="shared" si="303"/>
        <v>11.35145806301019</v>
      </c>
      <c r="AF907" s="52">
        <f t="shared" si="304"/>
        <v>-1.0438647539700696</v>
      </c>
      <c r="AG907" s="52">
        <f t="shared" si="305"/>
        <v>4.7695722722173235</v>
      </c>
      <c r="AH907" s="52">
        <f t="shared" si="306"/>
        <v>-0.50025220111133273</v>
      </c>
      <c r="AI907" s="52">
        <f t="shared" si="307"/>
        <v>1.4656613195964885</v>
      </c>
      <c r="AJ907" s="52">
        <f t="shared" si="308"/>
        <v>-1.6349068563203919</v>
      </c>
      <c r="AK907" s="52">
        <f t="shared" si="309"/>
        <v>5.1162244711963778</v>
      </c>
      <c r="AM907" s="52">
        <f t="shared" si="310"/>
        <v>327247.01147863845</v>
      </c>
      <c r="AN907" s="57">
        <f t="shared" si="311"/>
        <v>340429.81126807671</v>
      </c>
      <c r="AO907" s="57">
        <f t="shared" si="312"/>
        <v>311984.76075837563</v>
      </c>
    </row>
    <row r="908" spans="12:41" x14ac:dyDescent="0.25">
      <c r="L908" s="6">
        <v>905</v>
      </c>
      <c r="M908" s="52">
        <f t="shared" si="298"/>
        <v>15019.026509541272</v>
      </c>
      <c r="N908" s="52">
        <f t="shared" si="299"/>
        <v>7064.2212862617216</v>
      </c>
      <c r="P908" s="6">
        <v>905</v>
      </c>
      <c r="Q908" s="52">
        <f t="shared" si="313"/>
        <v>-23486.681443321111</v>
      </c>
      <c r="R908" s="52">
        <f t="shared" si="314"/>
        <v>9694.9549003832053</v>
      </c>
      <c r="T908" s="6">
        <v>905</v>
      </c>
      <c r="U908" s="52">
        <f t="shared" si="300"/>
        <v>-9980.9734904587276</v>
      </c>
      <c r="V908" s="52">
        <f t="shared" si="301"/>
        <v>-15435.778713738278</v>
      </c>
      <c r="X908" s="6">
        <v>904</v>
      </c>
      <c r="Y908" s="55">
        <v>452</v>
      </c>
      <c r="Z908" s="52">
        <f t="shared" si="315"/>
        <v>90306.676778839479</v>
      </c>
      <c r="AA908" s="52">
        <f t="shared" si="316"/>
        <v>-312595.2063230034</v>
      </c>
      <c r="AB908" s="52">
        <f t="shared" si="317"/>
        <v>682.60210399977245</v>
      </c>
      <c r="AC908" s="52">
        <f t="shared" si="318"/>
        <v>-826.93061782893881</v>
      </c>
      <c r="AD908" s="52">
        <f t="shared" si="302"/>
        <v>-3.1769146453530928</v>
      </c>
      <c r="AE908" s="52">
        <f t="shared" si="303"/>
        <v>11.31483462999654</v>
      </c>
      <c r="AF908" s="52">
        <f t="shared" si="304"/>
        <v>-1.0443797426614303</v>
      </c>
      <c r="AG908" s="52">
        <f t="shared" si="305"/>
        <v>4.7548961851570812</v>
      </c>
      <c r="AH908" s="52">
        <f t="shared" si="306"/>
        <v>-0.49958950958734211</v>
      </c>
      <c r="AI908" s="52">
        <f t="shared" si="307"/>
        <v>1.4610646030545051</v>
      </c>
      <c r="AJ908" s="52">
        <f t="shared" si="308"/>
        <v>-1.6329453931043205</v>
      </c>
      <c r="AK908" s="52">
        <f t="shared" si="309"/>
        <v>5.098873841784954</v>
      </c>
      <c r="AM908" s="52">
        <f t="shared" si="310"/>
        <v>327725.4489823003</v>
      </c>
      <c r="AN908" s="57">
        <f t="shared" si="311"/>
        <v>340932.8820817559</v>
      </c>
      <c r="AO908" s="57">
        <f t="shared" si="312"/>
        <v>312484.03073606361</v>
      </c>
    </row>
    <row r="909" spans="12:41" x14ac:dyDescent="0.25">
      <c r="L909" s="6">
        <v>906</v>
      </c>
      <c r="M909" s="52">
        <f t="shared" si="298"/>
        <v>15027.390523158632</v>
      </c>
      <c r="N909" s="52">
        <f t="shared" si="299"/>
        <v>6977.3576836617331</v>
      </c>
      <c r="P909" s="6">
        <v>906</v>
      </c>
      <c r="Q909" s="52">
        <f t="shared" si="313"/>
        <v>-23480.826633788958</v>
      </c>
      <c r="R909" s="52">
        <f t="shared" si="314"/>
        <v>9634.1503785632121</v>
      </c>
      <c r="T909" s="6">
        <v>906</v>
      </c>
      <c r="U909" s="52">
        <f t="shared" si="300"/>
        <v>-9972.6094768413677</v>
      </c>
      <c r="V909" s="52">
        <f t="shared" si="301"/>
        <v>-15522.642316338268</v>
      </c>
      <c r="X909" s="6">
        <v>905</v>
      </c>
      <c r="Y909" s="55">
        <v>452.5</v>
      </c>
      <c r="Z909" s="52">
        <f t="shared" si="315"/>
        <v>90647.580716508703</v>
      </c>
      <c r="AA909" s="52">
        <f t="shared" si="316"/>
        <v>-313007.25727758912</v>
      </c>
      <c r="AB909" s="52">
        <f t="shared" si="317"/>
        <v>681.01364667709595</v>
      </c>
      <c r="AC909" s="52">
        <f t="shared" si="318"/>
        <v>-821.27320051394054</v>
      </c>
      <c r="AD909" s="52">
        <f t="shared" si="302"/>
        <v>-3.1748346701006049</v>
      </c>
      <c r="AE909" s="52">
        <f t="shared" si="303"/>
        <v>11.278577326553007</v>
      </c>
      <c r="AF909" s="52">
        <f t="shared" si="304"/>
        <v>-1.0448915053719101</v>
      </c>
      <c r="AG909" s="52">
        <f t="shared" si="305"/>
        <v>4.7403648807629297</v>
      </c>
      <c r="AH909" s="52">
        <f t="shared" si="306"/>
        <v>-0.49893499475176661</v>
      </c>
      <c r="AI909" s="52">
        <f t="shared" si="307"/>
        <v>1.4565128597568271</v>
      </c>
      <c r="AJ909" s="52">
        <f t="shared" si="308"/>
        <v>-1.6310081699769281</v>
      </c>
      <c r="AK909" s="52">
        <f t="shared" si="309"/>
        <v>5.0816995860332508</v>
      </c>
      <c r="AM909" s="52">
        <f t="shared" si="310"/>
        <v>328201.13136413519</v>
      </c>
      <c r="AN909" s="57">
        <f t="shared" si="311"/>
        <v>341433.11991136265</v>
      </c>
      <c r="AO909" s="57">
        <f t="shared" si="312"/>
        <v>312980.48675122263</v>
      </c>
    </row>
    <row r="910" spans="12:41" x14ac:dyDescent="0.25">
      <c r="L910" s="6">
        <v>907</v>
      </c>
      <c r="M910" s="52">
        <f t="shared" si="298"/>
        <v>15037.269241793389</v>
      </c>
      <c r="N910" s="52">
        <f t="shared" si="299"/>
        <v>6890.6532829742682</v>
      </c>
      <c r="P910" s="6">
        <v>907</v>
      </c>
      <c r="Q910" s="52">
        <f t="shared" si="313"/>
        <v>-23473.911530744626</v>
      </c>
      <c r="R910" s="52">
        <f t="shared" si="314"/>
        <v>9573.4572980819885</v>
      </c>
      <c r="T910" s="6">
        <v>907</v>
      </c>
      <c r="U910" s="52">
        <f t="shared" si="300"/>
        <v>-9962.7307582066114</v>
      </c>
      <c r="V910" s="52">
        <f t="shared" si="301"/>
        <v>-15609.346717025732</v>
      </c>
      <c r="X910" s="6">
        <v>906</v>
      </c>
      <c r="Y910" s="55">
        <v>453</v>
      </c>
      <c r="Z910" s="52">
        <f t="shared" si="315"/>
        <v>90987.690685513488</v>
      </c>
      <c r="AA910" s="52">
        <f t="shared" si="316"/>
        <v>-313416.48405568028</v>
      </c>
      <c r="AB910" s="52">
        <f t="shared" si="317"/>
        <v>679.42622934204564</v>
      </c>
      <c r="AC910" s="52">
        <f t="shared" si="318"/>
        <v>-815.63391185066405</v>
      </c>
      <c r="AD910" s="52">
        <f t="shared" si="302"/>
        <v>-3.1727838639730175</v>
      </c>
      <c r="AE910" s="52">
        <f t="shared" si="303"/>
        <v>11.242681760054971</v>
      </c>
      <c r="AF910" s="52">
        <f t="shared" si="304"/>
        <v>-1.0454002443672437</v>
      </c>
      <c r="AG910" s="52">
        <f t="shared" si="305"/>
        <v>4.725976681500188</v>
      </c>
      <c r="AH910" s="52">
        <f t="shared" si="306"/>
        <v>-0.49828859004492659</v>
      </c>
      <c r="AI910" s="52">
        <f t="shared" si="307"/>
        <v>1.4520055588329033</v>
      </c>
      <c r="AJ910" s="52">
        <f t="shared" si="308"/>
        <v>-1.6290950295608473</v>
      </c>
      <c r="AK910" s="52">
        <f t="shared" si="309"/>
        <v>5.0646995197218807</v>
      </c>
      <c r="AM910" s="52">
        <f t="shared" si="310"/>
        <v>328674.06646634266</v>
      </c>
      <c r="AN910" s="57">
        <f t="shared" si="311"/>
        <v>341930.53335822659</v>
      </c>
      <c r="AO910" s="57">
        <f t="shared" si="312"/>
        <v>313474.13724148268</v>
      </c>
    </row>
    <row r="911" spans="12:41" x14ac:dyDescent="0.25">
      <c r="L911" s="6">
        <v>908</v>
      </c>
      <c r="M911" s="52">
        <f t="shared" si="298"/>
        <v>15048.659656292148</v>
      </c>
      <c r="N911" s="52">
        <f t="shared" si="299"/>
        <v>6804.1344951996834</v>
      </c>
      <c r="P911" s="6">
        <v>908</v>
      </c>
      <c r="Q911" s="52">
        <f t="shared" si="313"/>
        <v>-23465.938240595497</v>
      </c>
      <c r="R911" s="52">
        <f t="shared" si="314"/>
        <v>9512.8941466397791</v>
      </c>
      <c r="T911" s="6">
        <v>908</v>
      </c>
      <c r="U911" s="52">
        <f t="shared" si="300"/>
        <v>-9951.3403437078523</v>
      </c>
      <c r="V911" s="52">
        <f t="shared" si="301"/>
        <v>-15695.865504800317</v>
      </c>
      <c r="X911" s="6">
        <v>907</v>
      </c>
      <c r="Y911" s="55">
        <v>453.5</v>
      </c>
      <c r="Z911" s="52">
        <f t="shared" si="315"/>
        <v>91327.007202201508</v>
      </c>
      <c r="AA911" s="52">
        <f t="shared" si="316"/>
        <v>-313822.89567638561</v>
      </c>
      <c r="AB911" s="52">
        <f t="shared" si="317"/>
        <v>677.83983741005909</v>
      </c>
      <c r="AC911" s="52">
        <f t="shared" si="318"/>
        <v>-810.0125709706366</v>
      </c>
      <c r="AD911" s="52">
        <f t="shared" si="302"/>
        <v>-3.1707622040450421</v>
      </c>
      <c r="AE911" s="52">
        <f t="shared" si="303"/>
        <v>11.207143611344451</v>
      </c>
      <c r="AF911" s="52">
        <f t="shared" si="304"/>
        <v>-1.0459061575991169</v>
      </c>
      <c r="AG911" s="52">
        <f t="shared" si="305"/>
        <v>4.7117299372002455</v>
      </c>
      <c r="AH911" s="52">
        <f t="shared" si="306"/>
        <v>-0.49765022994128078</v>
      </c>
      <c r="AI911" s="52">
        <f t="shared" si="307"/>
        <v>1.4475421781608613</v>
      </c>
      <c r="AJ911" s="52">
        <f t="shared" si="308"/>
        <v>-1.6272058165046444</v>
      </c>
      <c r="AK911" s="52">
        <f t="shared" si="309"/>
        <v>5.0478714959833439</v>
      </c>
      <c r="AM911" s="52">
        <f t="shared" si="310"/>
        <v>329144.26205279701</v>
      </c>
      <c r="AN911" s="57">
        <f t="shared" si="311"/>
        <v>342425.13093644037</v>
      </c>
      <c r="AO911" s="57">
        <f t="shared" si="312"/>
        <v>313964.99055938231</v>
      </c>
    </row>
    <row r="912" spans="12:41" x14ac:dyDescent="0.25">
      <c r="L912" s="6">
        <v>909</v>
      </c>
      <c r="M912" s="52">
        <f t="shared" si="298"/>
        <v>15061.558297024312</v>
      </c>
      <c r="N912" s="52">
        <f t="shared" si="299"/>
        <v>6717.8276747988439</v>
      </c>
      <c r="P912" s="6">
        <v>909</v>
      </c>
      <c r="Q912" s="52">
        <f t="shared" si="313"/>
        <v>-23456.909192082981</v>
      </c>
      <c r="R912" s="52">
        <f t="shared" si="314"/>
        <v>9452.4793723591902</v>
      </c>
      <c r="T912" s="6">
        <v>909</v>
      </c>
      <c r="U912" s="52">
        <f t="shared" si="300"/>
        <v>-9938.4417029756878</v>
      </c>
      <c r="V912" s="52">
        <f t="shared" si="301"/>
        <v>-15782.172325201156</v>
      </c>
      <c r="X912" s="6">
        <v>908</v>
      </c>
      <c r="Y912" s="55">
        <v>454</v>
      </c>
      <c r="Z912" s="52">
        <f t="shared" si="315"/>
        <v>91665.530775631021</v>
      </c>
      <c r="AA912" s="52">
        <f t="shared" si="316"/>
        <v>-314226.50106891955</v>
      </c>
      <c r="AB912" s="52">
        <f t="shared" si="317"/>
        <v>676.25445630803654</v>
      </c>
      <c r="AC912" s="52">
        <f t="shared" si="318"/>
        <v>-804.40899916496437</v>
      </c>
      <c r="AD912" s="52">
        <f t="shared" si="302"/>
        <v>-3.1687696662153435</v>
      </c>
      <c r="AE912" s="52">
        <f t="shared" si="303"/>
        <v>11.171958633254667</v>
      </c>
      <c r="AF912" s="52">
        <f t="shared" si="304"/>
        <v>-1.0464094388185801</v>
      </c>
      <c r="AG912" s="52">
        <f t="shared" si="305"/>
        <v>4.6976230245275703</v>
      </c>
      <c r="AH912" s="52">
        <f t="shared" si="306"/>
        <v>-0.4970198499325385</v>
      </c>
      <c r="AI912" s="52">
        <f t="shared" si="307"/>
        <v>1.4431222041940435</v>
      </c>
      <c r="AJ912" s="52">
        <f t="shared" si="308"/>
        <v>-1.6253403774642252</v>
      </c>
      <c r="AK912" s="52">
        <f t="shared" si="309"/>
        <v>5.0312134045330525</v>
      </c>
      <c r="AM912" s="52">
        <f t="shared" si="310"/>
        <v>329611.72580993292</v>
      </c>
      <c r="AN912" s="57">
        <f t="shared" si="311"/>
        <v>342916.92107389146</v>
      </c>
      <c r="AO912" s="57">
        <f t="shared" si="312"/>
        <v>314453.05497336574</v>
      </c>
    </row>
    <row r="913" spans="12:41" x14ac:dyDescent="0.25">
      <c r="L913" s="6">
        <v>910</v>
      </c>
      <c r="M913" s="52">
        <f t="shared" si="298"/>
        <v>15075.961234938959</v>
      </c>
      <c r="N913" s="52">
        <f t="shared" si="299"/>
        <v>6631.7591116653521</v>
      </c>
      <c r="P913" s="6">
        <v>910</v>
      </c>
      <c r="Q913" s="52">
        <f t="shared" si="313"/>
        <v>-23446.827135542728</v>
      </c>
      <c r="R913" s="52">
        <f t="shared" si="314"/>
        <v>9392.2313781657467</v>
      </c>
      <c r="T913" s="6">
        <v>910</v>
      </c>
      <c r="U913" s="52">
        <f t="shared" si="300"/>
        <v>-9924.038765061041</v>
      </c>
      <c r="V913" s="52">
        <f t="shared" si="301"/>
        <v>-15868.240888334647</v>
      </c>
      <c r="X913" s="6">
        <v>909</v>
      </c>
      <c r="Y913" s="55">
        <v>454.5</v>
      </c>
      <c r="Z913" s="52">
        <f t="shared" si="315"/>
        <v>92003.261907576758</v>
      </c>
      <c r="AA913" s="52">
        <f t="shared" si="316"/>
        <v>-314627.30907367286</v>
      </c>
      <c r="AB913" s="52">
        <f t="shared" si="317"/>
        <v>674.67007147492882</v>
      </c>
      <c r="AC913" s="52">
        <f t="shared" si="318"/>
        <v>-798.82301984833703</v>
      </c>
      <c r="AD913" s="52">
        <f t="shared" si="302"/>
        <v>-3.166806225281924</v>
      </c>
      <c r="AE913" s="52">
        <f t="shared" si="303"/>
        <v>11.13712264917063</v>
      </c>
      <c r="AF913" s="52">
        <f t="shared" si="304"/>
        <v>-1.0469102776863017</v>
      </c>
      <c r="AG913" s="52">
        <f t="shared" si="305"/>
        <v>4.6836543464591713</v>
      </c>
      <c r="AH913" s="52">
        <f t="shared" si="306"/>
        <v>-0.49639738651107246</v>
      </c>
      <c r="AI913" s="52">
        <f t="shared" si="307"/>
        <v>1.4387451317914906</v>
      </c>
      <c r="AJ913" s="52">
        <f t="shared" si="308"/>
        <v>-1.6234985610845496</v>
      </c>
      <c r="AK913" s="52">
        <f t="shared" si="309"/>
        <v>5.014723170919968</v>
      </c>
      <c r="AM913" s="52">
        <f t="shared" si="310"/>
        <v>330076.46534761711</v>
      </c>
      <c r="AN913" s="57">
        <f t="shared" si="311"/>
        <v>343405.91211327619</v>
      </c>
      <c r="AO913" s="57">
        <f t="shared" si="312"/>
        <v>314938.33866876259</v>
      </c>
    </row>
    <row r="914" spans="12:41" x14ac:dyDescent="0.25">
      <c r="L914" s="6">
        <v>911</v>
      </c>
      <c r="M914" s="52">
        <f t="shared" si="298"/>
        <v>15091.86408276168</v>
      </c>
      <c r="N914" s="52">
        <f t="shared" si="299"/>
        <v>6545.9550231172761</v>
      </c>
      <c r="P914" s="6">
        <v>911</v>
      </c>
      <c r="Q914" s="52">
        <f t="shared" si="313"/>
        <v>-23435.695142066823</v>
      </c>
      <c r="R914" s="52">
        <f t="shared" si="314"/>
        <v>9332.1685161820933</v>
      </c>
      <c r="T914" s="6">
        <v>911</v>
      </c>
      <c r="U914" s="52">
        <f t="shared" si="300"/>
        <v>-9908.13591723832</v>
      </c>
      <c r="V914" s="52">
        <f t="shared" si="301"/>
        <v>-15954.044976882724</v>
      </c>
      <c r="X914" s="6">
        <v>910</v>
      </c>
      <c r="Y914" s="55">
        <v>455</v>
      </c>
      <c r="Z914" s="52">
        <f t="shared" si="315"/>
        <v>92340.201092536052</v>
      </c>
      <c r="AA914" s="52">
        <f t="shared" si="316"/>
        <v>-315025.32844326587</v>
      </c>
      <c r="AB914" s="52">
        <f t="shared" si="317"/>
        <v>673.08666836228781</v>
      </c>
      <c r="AC914" s="52">
        <f t="shared" si="318"/>
        <v>-793.25445852375174</v>
      </c>
      <c r="AD914" s="52">
        <f t="shared" si="302"/>
        <v>-3.1648718550147388</v>
      </c>
      <c r="AE914" s="52">
        <f t="shared" si="303"/>
        <v>11.102631551623817</v>
      </c>
      <c r="AF914" s="52">
        <f t="shared" si="304"/>
        <v>-1.0474088598797517</v>
      </c>
      <c r="AG914" s="52">
        <f t="shared" si="305"/>
        <v>4.6698223317761673</v>
      </c>
      <c r="AH914" s="52">
        <f t="shared" si="306"/>
        <v>-0.49578277715373781</v>
      </c>
      <c r="AI914" s="52">
        <f t="shared" si="307"/>
        <v>1.4344104640526096</v>
      </c>
      <c r="AJ914" s="52">
        <f t="shared" si="308"/>
        <v>-1.6216802179812491</v>
      </c>
      <c r="AK914" s="52">
        <f t="shared" si="309"/>
        <v>4.9983987557950407</v>
      </c>
      <c r="AM914" s="52">
        <f t="shared" si="310"/>
        <v>330538.48820000538</v>
      </c>
      <c r="AN914" s="57">
        <f t="shared" si="311"/>
        <v>343892.11231309781</v>
      </c>
      <c r="AO914" s="57">
        <f t="shared" si="312"/>
        <v>315420.8497487522</v>
      </c>
    </row>
    <row r="915" spans="12:41" x14ac:dyDescent="0.25">
      <c r="L915" s="6">
        <v>912</v>
      </c>
      <c r="M915" s="52">
        <f t="shared" si="298"/>
        <v>15109.26199633097</v>
      </c>
      <c r="N915" s="52">
        <f t="shared" si="299"/>
        <v>6460.4415459112097</v>
      </c>
      <c r="P915" s="6">
        <v>912</v>
      </c>
      <c r="Q915" s="52">
        <f t="shared" si="313"/>
        <v>-23423.516602568321</v>
      </c>
      <c r="R915" s="52">
        <f t="shared" si="314"/>
        <v>9272.3090821378464</v>
      </c>
      <c r="T915" s="6">
        <v>912</v>
      </c>
      <c r="U915" s="52">
        <f t="shared" si="300"/>
        <v>-9890.7380036690301</v>
      </c>
      <c r="V915" s="52">
        <f t="shared" si="301"/>
        <v>-16039.55845408879</v>
      </c>
      <c r="X915" s="6">
        <v>911</v>
      </c>
      <c r="Y915" s="55">
        <v>455.5</v>
      </c>
      <c r="Z915" s="52">
        <f t="shared" si="315"/>
        <v>92676.348817735314</v>
      </c>
      <c r="AA915" s="52">
        <f t="shared" si="316"/>
        <v>-315420.56784358376</v>
      </c>
      <c r="AB915" s="52">
        <f t="shared" si="317"/>
        <v>671.50423243478042</v>
      </c>
      <c r="AC915" s="52">
        <f t="shared" si="318"/>
        <v>-787.70314274793986</v>
      </c>
      <c r="AD915" s="52">
        <f t="shared" si="302"/>
        <v>-3.1629665282258963</v>
      </c>
      <c r="AE915" s="52">
        <f t="shared" si="303"/>
        <v>11.06848130092067</v>
      </c>
      <c r="AF915" s="52">
        <f t="shared" si="304"/>
        <v>-1.0479053671974208</v>
      </c>
      <c r="AG915" s="52">
        <f t="shared" si="305"/>
        <v>4.656125434567131</v>
      </c>
      <c r="AH915" s="52">
        <f t="shared" si="306"/>
        <v>-0.4951759603059957</v>
      </c>
      <c r="AI915" s="52">
        <f t="shared" si="307"/>
        <v>1.4301177121556268</v>
      </c>
      <c r="AJ915" s="52">
        <f t="shared" si="308"/>
        <v>-1.6198852007224798</v>
      </c>
      <c r="AK915" s="52">
        <f t="shared" si="309"/>
        <v>4.9822381541979119</v>
      </c>
      <c r="AM915" s="52">
        <f t="shared" si="310"/>
        <v>330997.80182638631</v>
      </c>
      <c r="AN915" s="57">
        <f t="shared" si="311"/>
        <v>344375.52984864713</v>
      </c>
      <c r="AO915" s="57">
        <f t="shared" si="312"/>
        <v>315900.59623531136</v>
      </c>
    </row>
    <row r="916" spans="12:41" x14ac:dyDescent="0.25">
      <c r="L916" s="6">
        <v>913</v>
      </c>
      <c r="M916" s="52">
        <f t="shared" si="298"/>
        <v>15128.149676073823</v>
      </c>
      <c r="N916" s="52">
        <f t="shared" si="299"/>
        <v>6375.2447282806779</v>
      </c>
      <c r="P916" s="6">
        <v>913</v>
      </c>
      <c r="Q916" s="52">
        <f t="shared" si="313"/>
        <v>-23410.295226748323</v>
      </c>
      <c r="R916" s="52">
        <f t="shared" si="314"/>
        <v>9212.6713097964748</v>
      </c>
      <c r="T916" s="6">
        <v>913</v>
      </c>
      <c r="U916" s="52">
        <f t="shared" si="300"/>
        <v>-9871.8503239261772</v>
      </c>
      <c r="V916" s="52">
        <f t="shared" si="301"/>
        <v>-16124.755271719323</v>
      </c>
      <c r="X916" s="6">
        <v>912</v>
      </c>
      <c r="Y916" s="55">
        <v>456</v>
      </c>
      <c r="Z916" s="52">
        <f t="shared" si="315"/>
        <v>93011.705563136682</v>
      </c>
      <c r="AA916" s="52">
        <f t="shared" si="316"/>
        <v>-315813.03585479513</v>
      </c>
      <c r="AB916" s="52">
        <f t="shared" si="317"/>
        <v>669.92274917066743</v>
      </c>
      <c r="AC916" s="52">
        <f t="shared" si="318"/>
        <v>-782.16890209747953</v>
      </c>
      <c r="AD916" s="52">
        <f t="shared" si="302"/>
        <v>-3.1610902168372554</v>
      </c>
      <c r="AE916" s="52">
        <f t="shared" si="303"/>
        <v>11.034667923803315</v>
      </c>
      <c r="AF916" s="52">
        <f t="shared" si="304"/>
        <v>-1.0483999776601869</v>
      </c>
      <c r="AG916" s="52">
        <f t="shared" si="305"/>
        <v>4.6425621337430396</v>
      </c>
      <c r="AH916" s="52">
        <f t="shared" si="306"/>
        <v>-0.4945768753663608</v>
      </c>
      <c r="AI916" s="52">
        <f t="shared" si="307"/>
        <v>1.4258663951998156</v>
      </c>
      <c r="AJ916" s="52">
        <f t="shared" si="308"/>
        <v>-1.6181133638107075</v>
      </c>
      <c r="AK916" s="52">
        <f t="shared" si="309"/>
        <v>4.9662393948604597</v>
      </c>
      <c r="AM916" s="52">
        <f t="shared" si="310"/>
        <v>331454.41361201124</v>
      </c>
      <c r="AN916" s="57">
        <f t="shared" si="311"/>
        <v>344856.17281296721</v>
      </c>
      <c r="AO916" s="57">
        <f t="shared" si="312"/>
        <v>316377.58607014699</v>
      </c>
    </row>
    <row r="917" spans="12:41" x14ac:dyDescent="0.25">
      <c r="L917" s="6">
        <v>914</v>
      </c>
      <c r="M917" s="52">
        <f t="shared" si="298"/>
        <v>15148.521368620019</v>
      </c>
      <c r="N917" s="52">
        <f t="shared" si="299"/>
        <v>6290.3905220016604</v>
      </c>
      <c r="P917" s="6">
        <v>914</v>
      </c>
      <c r="Q917" s="52">
        <f t="shared" si="313"/>
        <v>-23396.035041965988</v>
      </c>
      <c r="R917" s="52">
        <f t="shared" si="314"/>
        <v>9153.2733654011627</v>
      </c>
      <c r="T917" s="6">
        <v>914</v>
      </c>
      <c r="U917" s="52">
        <f t="shared" si="300"/>
        <v>-9851.4786313799814</v>
      </c>
      <c r="V917" s="52">
        <f t="shared" si="301"/>
        <v>-16209.60947799834</v>
      </c>
      <c r="X917" s="6">
        <v>913</v>
      </c>
      <c r="Y917" s="55">
        <v>456.5</v>
      </c>
      <c r="Z917" s="52">
        <f t="shared" si="315"/>
        <v>93346.271801444906</v>
      </c>
      <c r="AA917" s="52">
        <f t="shared" si="316"/>
        <v>-316202.74097235344</v>
      </c>
      <c r="AB917" s="52">
        <f t="shared" si="317"/>
        <v>668.34220406224881</v>
      </c>
      <c r="AC917" s="52">
        <f t="shared" si="318"/>
        <v>-776.65156813557792</v>
      </c>
      <c r="AD917" s="52">
        <f t="shared" si="302"/>
        <v>-3.1592428919458251</v>
      </c>
      <c r="AE917" s="52">
        <f t="shared" si="303"/>
        <v>11.001187512142351</v>
      </c>
      <c r="AF917" s="52">
        <f t="shared" si="304"/>
        <v>-1.0488928656098357</v>
      </c>
      <c r="AG917" s="52">
        <f t="shared" si="305"/>
        <v>4.6291309325631129</v>
      </c>
      <c r="AH917" s="52">
        <f t="shared" si="306"/>
        <v>-0.49398546267124011</v>
      </c>
      <c r="AI917" s="52">
        <f t="shared" si="307"/>
        <v>1.4216560400516021</v>
      </c>
      <c r="AJ917" s="52">
        <f t="shared" si="308"/>
        <v>-1.6163645636647492</v>
      </c>
      <c r="AK917" s="52">
        <f t="shared" si="309"/>
        <v>4.9504005395276378</v>
      </c>
      <c r="AM917" s="52">
        <f t="shared" si="310"/>
        <v>331908.33086891018</v>
      </c>
      <c r="AN917" s="57">
        <f t="shared" si="311"/>
        <v>345334.04921780206</v>
      </c>
      <c r="AO917" s="57">
        <f t="shared" si="312"/>
        <v>316851.82711561304</v>
      </c>
    </row>
    <row r="918" spans="12:41" x14ac:dyDescent="0.25">
      <c r="L918" s="6">
        <v>915</v>
      </c>
      <c r="M918" s="52">
        <f t="shared" si="298"/>
        <v>15170.370868554657</v>
      </c>
      <c r="N918" s="52">
        <f t="shared" si="299"/>
        <v>6205.9047744874006</v>
      </c>
      <c r="P918" s="6">
        <v>915</v>
      </c>
      <c r="Q918" s="52">
        <f t="shared" si="313"/>
        <v>-23380.740392011739</v>
      </c>
      <c r="R918" s="52">
        <f t="shared" si="314"/>
        <v>9094.13334214118</v>
      </c>
      <c r="T918" s="6">
        <v>915</v>
      </c>
      <c r="U918" s="52">
        <f t="shared" si="300"/>
        <v>-9829.6291314453429</v>
      </c>
      <c r="V918" s="52">
        <f t="shared" si="301"/>
        <v>-16294.095225512599</v>
      </c>
      <c r="X918" s="6">
        <v>914</v>
      </c>
      <c r="Y918" s="55">
        <v>457</v>
      </c>
      <c r="Z918" s="52">
        <f t="shared" si="315"/>
        <v>93680.047998114533</v>
      </c>
      <c r="AA918" s="52">
        <f t="shared" si="316"/>
        <v>-316589.69160798221</v>
      </c>
      <c r="AB918" s="52">
        <f t="shared" si="317"/>
        <v>666.76258261627595</v>
      </c>
      <c r="AC918" s="52">
        <f t="shared" si="318"/>
        <v>-771.15097437950669</v>
      </c>
      <c r="AD918" s="52">
        <f t="shared" si="302"/>
        <v>-3.1574245238867231</v>
      </c>
      <c r="AE918" s="52">
        <f t="shared" si="303"/>
        <v>10.968036221660032</v>
      </c>
      <c r="AF918" s="52">
        <f t="shared" si="304"/>
        <v>-1.0493842018049235</v>
      </c>
      <c r="AG918" s="52">
        <f t="shared" si="305"/>
        <v>4.6158303581717171</v>
      </c>
      <c r="AH918" s="52">
        <f t="shared" si="306"/>
        <v>-0.49340166347999515</v>
      </c>
      <c r="AI918" s="52">
        <f t="shared" si="307"/>
        <v>1.4174861811939916</v>
      </c>
      <c r="AJ918" s="52">
        <f t="shared" si="308"/>
        <v>-1.6146386586018042</v>
      </c>
      <c r="AK918" s="52">
        <f t="shared" si="309"/>
        <v>4.9347196822943227</v>
      </c>
      <c r="AM918" s="52">
        <f t="shared" si="310"/>
        <v>332359.56083669607</v>
      </c>
      <c r="AN918" s="57">
        <f t="shared" si="311"/>
        <v>345809.16699452972</v>
      </c>
      <c r="AO918" s="57">
        <f t="shared" si="312"/>
        <v>317323.3271556127</v>
      </c>
    </row>
    <row r="919" spans="12:41" x14ac:dyDescent="0.25">
      <c r="L919" s="6">
        <v>916</v>
      </c>
      <c r="M919" s="52">
        <f t="shared" si="298"/>
        <v>15193.691520308403</v>
      </c>
      <c r="N919" s="52">
        <f t="shared" si="299"/>
        <v>6121.8132209150135</v>
      </c>
      <c r="P919" s="6">
        <v>916</v>
      </c>
      <c r="Q919" s="52">
        <f t="shared" si="313"/>
        <v>-23364.41593578412</v>
      </c>
      <c r="R919" s="52">
        <f t="shared" si="314"/>
        <v>9035.2692546405087</v>
      </c>
      <c r="T919" s="6">
        <v>916</v>
      </c>
      <c r="U919" s="52">
        <f t="shared" si="300"/>
        <v>-9806.3084796915973</v>
      </c>
      <c r="V919" s="52">
        <f t="shared" si="301"/>
        <v>-16378.186779084986</v>
      </c>
      <c r="X919" s="6">
        <v>915</v>
      </c>
      <c r="Y919" s="55">
        <v>457.5</v>
      </c>
      <c r="Z919" s="52">
        <f t="shared" si="315"/>
        <v>94013.034611357187</v>
      </c>
      <c r="AA919" s="52">
        <f t="shared" si="316"/>
        <v>-316973.89609064424</v>
      </c>
      <c r="AB919" s="52">
        <f t="shared" si="317"/>
        <v>665.18387035433261</v>
      </c>
      <c r="AC919" s="52">
        <f t="shared" si="318"/>
        <v>-765.6669562686767</v>
      </c>
      <c r="AD919" s="52">
        <f t="shared" si="302"/>
        <v>-3.1556350822940882</v>
      </c>
      <c r="AE919" s="52">
        <f t="shared" si="303"/>
        <v>10.935210270683896</v>
      </c>
      <c r="AF919" s="52">
        <f t="shared" si="304"/>
        <v>-1.0498741535140272</v>
      </c>
      <c r="AG919" s="52">
        <f t="shared" si="305"/>
        <v>4.6026589611458828</v>
      </c>
      <c r="AH919" s="52">
        <f t="shared" si="306"/>
        <v>-0.49282541996039309</v>
      </c>
      <c r="AI919" s="52">
        <f t="shared" si="307"/>
        <v>1.4133563605797221</v>
      </c>
      <c r="AJ919" s="52">
        <f t="shared" si="308"/>
        <v>-1.6129355088196682</v>
      </c>
      <c r="AK919" s="52">
        <f t="shared" si="309"/>
        <v>4.9191949489582925</v>
      </c>
      <c r="AM919" s="52">
        <f t="shared" si="310"/>
        <v>332808.11068335478</v>
      </c>
      <c r="AN919" s="57">
        <f t="shared" si="311"/>
        <v>346281.53399508027</v>
      </c>
      <c r="AO919" s="57">
        <f t="shared" si="312"/>
        <v>317792.0938964861</v>
      </c>
    </row>
    <row r="920" spans="12:41" x14ac:dyDescent="0.25">
      <c r="L920" s="6">
        <v>917</v>
      </c>
      <c r="M920" s="52">
        <f t="shared" si="298"/>
        <v>15218.476220184821</v>
      </c>
      <c r="N920" s="52">
        <f t="shared" si="299"/>
        <v>6038.1414763863222</v>
      </c>
      <c r="P920" s="6">
        <v>917</v>
      </c>
      <c r="Q920" s="52">
        <f t="shared" si="313"/>
        <v>-23347.066645870626</v>
      </c>
      <c r="R920" s="52">
        <f t="shared" si="314"/>
        <v>8976.699033470426</v>
      </c>
      <c r="T920" s="6">
        <v>917</v>
      </c>
      <c r="U920" s="52">
        <f t="shared" si="300"/>
        <v>-9781.5237798151793</v>
      </c>
      <c r="V920" s="52">
        <f t="shared" si="301"/>
        <v>-16461.858523613679</v>
      </c>
      <c r="X920" s="6">
        <v>916</v>
      </c>
      <c r="Y920" s="55">
        <v>458</v>
      </c>
      <c r="Z920" s="52">
        <f t="shared" si="315"/>
        <v>94345.232092149075</v>
      </c>
      <c r="AA920" s="52">
        <f t="shared" si="316"/>
        <v>-317355.36266749474</v>
      </c>
      <c r="AB920" s="52">
        <f t="shared" si="317"/>
        <v>663.60605281318556</v>
      </c>
      <c r="AC920" s="52">
        <f t="shared" si="318"/>
        <v>-760.19935113333474</v>
      </c>
      <c r="AD920" s="52">
        <f t="shared" si="302"/>
        <v>-3.1538745361598015</v>
      </c>
      <c r="AE920" s="52">
        <f t="shared" si="303"/>
        <v>10.902705938929337</v>
      </c>
      <c r="AF920" s="52">
        <f t="shared" si="304"/>
        <v>-1.0503628846064366</v>
      </c>
      <c r="AG920" s="52">
        <f t="shared" si="305"/>
        <v>4.5896153150530363</v>
      </c>
      <c r="AH920" s="52">
        <f t="shared" si="306"/>
        <v>-0.49225667517430932</v>
      </c>
      <c r="AI920" s="52">
        <f t="shared" si="307"/>
        <v>1.4092661274876648</v>
      </c>
      <c r="AJ920" s="52">
        <f t="shared" si="308"/>
        <v>-1.6112549763790556</v>
      </c>
      <c r="AK920" s="52">
        <f t="shared" si="309"/>
        <v>4.9038244963886353</v>
      </c>
      <c r="AM920" s="52">
        <f t="shared" si="310"/>
        <v>333253.98750602378</v>
      </c>
      <c r="AN920" s="57">
        <f t="shared" si="311"/>
        <v>346751.15799283853</v>
      </c>
      <c r="AO920" s="57">
        <f t="shared" si="312"/>
        <v>318258.134967883</v>
      </c>
    </row>
    <row r="921" spans="12:41" x14ac:dyDescent="0.25">
      <c r="L921" s="6">
        <v>918</v>
      </c>
      <c r="M921" s="52">
        <f t="shared" si="298"/>
        <v>15244.717418524229</v>
      </c>
      <c r="N921" s="52">
        <f t="shared" si="299"/>
        <v>5954.9150281252741</v>
      </c>
      <c r="P921" s="6">
        <v>918</v>
      </c>
      <c r="Q921" s="52">
        <f t="shared" si="313"/>
        <v>-23328.697807033041</v>
      </c>
      <c r="R921" s="52">
        <f t="shared" si="314"/>
        <v>8918.4405196876924</v>
      </c>
      <c r="T921" s="6">
        <v>918</v>
      </c>
      <c r="U921" s="52">
        <f t="shared" si="300"/>
        <v>-9755.2825814757707</v>
      </c>
      <c r="V921" s="52">
        <f t="shared" si="301"/>
        <v>-16545.084971874727</v>
      </c>
      <c r="X921" s="6">
        <v>917</v>
      </c>
      <c r="Y921" s="55">
        <v>458.5</v>
      </c>
      <c r="Z921" s="52">
        <f t="shared" si="315"/>
        <v>94676.640884238645</v>
      </c>
      <c r="AA921" s="52">
        <f t="shared" si="316"/>
        <v>-317734.09950481902</v>
      </c>
      <c r="AB921" s="52">
        <f t="shared" si="317"/>
        <v>662.0291155451057</v>
      </c>
      <c r="AC921" s="52">
        <f t="shared" si="318"/>
        <v>-754.74799816387008</v>
      </c>
      <c r="AD921" s="52">
        <f t="shared" si="302"/>
        <v>-3.1521428538901737</v>
      </c>
      <c r="AE921" s="52">
        <f t="shared" si="303"/>
        <v>10.870519566310513</v>
      </c>
      <c r="AF921" s="52">
        <f t="shared" si="304"/>
        <v>-1.0508505556403778</v>
      </c>
      <c r="AG921" s="52">
        <f t="shared" si="305"/>
        <v>4.5766980160187138</v>
      </c>
      <c r="AH921" s="52">
        <f t="shared" si="306"/>
        <v>-0.49169537306377004</v>
      </c>
      <c r="AI921" s="52">
        <f t="shared" si="307"/>
        <v>1.4052150383826669</v>
      </c>
      <c r="AJ921" s="52">
        <f t="shared" si="308"/>
        <v>-1.6095969251860258</v>
      </c>
      <c r="AK921" s="52">
        <f t="shared" si="309"/>
        <v>4.8886065119091322</v>
      </c>
      <c r="AM921" s="52">
        <f t="shared" si="310"/>
        <v>333697.19833175716</v>
      </c>
      <c r="AN921" s="57">
        <f t="shared" si="311"/>
        <v>347218.04668353178</v>
      </c>
      <c r="AO921" s="57">
        <f t="shared" si="312"/>
        <v>318721.45792362199</v>
      </c>
    </row>
    <row r="922" spans="12:41" x14ac:dyDescent="0.25">
      <c r="L922" s="6">
        <v>919</v>
      </c>
      <c r="M922" s="52">
        <f t="shared" si="298"/>
        <v>15272.407122003417</v>
      </c>
      <c r="N922" s="52">
        <f t="shared" si="299"/>
        <v>5872.1592277142163</v>
      </c>
      <c r="P922" s="6">
        <v>919</v>
      </c>
      <c r="Q922" s="52">
        <f t="shared" si="313"/>
        <v>-23309.315014597611</v>
      </c>
      <c r="R922" s="52">
        <f t="shared" si="314"/>
        <v>8860.5114593999515</v>
      </c>
      <c r="T922" s="6">
        <v>919</v>
      </c>
      <c r="U922" s="52">
        <f t="shared" si="300"/>
        <v>-9727.5928779965834</v>
      </c>
      <c r="V922" s="52">
        <f t="shared" si="301"/>
        <v>-16627.840772285785</v>
      </c>
      <c r="X922" s="6">
        <v>918</v>
      </c>
      <c r="Y922" s="55">
        <v>459</v>
      </c>
      <c r="Z922" s="52">
        <f t="shared" si="315"/>
        <v>95007.261424154451</v>
      </c>
      <c r="AA922" s="52">
        <f t="shared" si="316"/>
        <v>-318110.11468895519</v>
      </c>
      <c r="AB922" s="52">
        <f t="shared" si="317"/>
        <v>660.45304411816062</v>
      </c>
      <c r="AC922" s="52">
        <f t="shared" si="318"/>
        <v>-749.31273838071479</v>
      </c>
      <c r="AD922" s="52">
        <f t="shared" si="302"/>
        <v>-3.1504400033607252</v>
      </c>
      <c r="AE922" s="52">
        <f t="shared" si="303"/>
        <v>10.838647551779193</v>
      </c>
      <c r="AF922" s="52">
        <f t="shared" si="304"/>
        <v>-1.0513373239489092</v>
      </c>
      <c r="AG922" s="52">
        <f t="shared" si="305"/>
        <v>4.5639056823043118</v>
      </c>
      <c r="AH922" s="52">
        <f t="shared" si="306"/>
        <v>-0.49114145843724877</v>
      </c>
      <c r="AI922" s="52">
        <f t="shared" si="307"/>
        <v>1.4012026567785147</v>
      </c>
      <c r="AJ922" s="52">
        <f t="shared" si="308"/>
        <v>-1.6079612209745671</v>
      </c>
      <c r="AK922" s="52">
        <f t="shared" si="309"/>
        <v>4.8735392126963673</v>
      </c>
      <c r="AM922" s="52">
        <f t="shared" si="310"/>
        <v>334137.75011827977</v>
      </c>
      <c r="AN922" s="57">
        <f t="shared" si="311"/>
        <v>347682.20768610394</v>
      </c>
      <c r="AO922" s="57">
        <f t="shared" si="312"/>
        <v>319182.07024253532</v>
      </c>
    </row>
    <row r="923" spans="12:41" x14ac:dyDescent="0.25">
      <c r="L923" s="6">
        <v>920</v>
      </c>
      <c r="M923" s="52">
        <f t="shared" si="298"/>
        <v>15301.536896070456</v>
      </c>
      <c r="N923" s="52">
        <f t="shared" si="299"/>
        <v>5789.8992833716611</v>
      </c>
      <c r="P923" s="6">
        <v>920</v>
      </c>
      <c r="Q923" s="52">
        <f t="shared" si="313"/>
        <v>-23288.924172750681</v>
      </c>
      <c r="R923" s="52">
        <f t="shared" si="314"/>
        <v>8802.9294983601631</v>
      </c>
      <c r="T923" s="6">
        <v>920</v>
      </c>
      <c r="U923" s="52">
        <f t="shared" si="300"/>
        <v>-9698.4631039295436</v>
      </c>
      <c r="V923" s="52">
        <f t="shared" si="301"/>
        <v>-16710.100716628338</v>
      </c>
      <c r="X923" s="6">
        <v>919</v>
      </c>
      <c r="Y923" s="55">
        <v>459.5</v>
      </c>
      <c r="Z923" s="52">
        <f t="shared" si="315"/>
        <v>95337.094141213107</v>
      </c>
      <c r="AA923" s="52">
        <f t="shared" si="316"/>
        <v>-318483.41622720158</v>
      </c>
      <c r="AB923" s="52">
        <f t="shared" si="317"/>
        <v>658.87782411648027</v>
      </c>
      <c r="AC923" s="52">
        <f t="shared" si="318"/>
        <v>-743.89341460482524</v>
      </c>
      <c r="AD923" s="52">
        <f t="shared" si="302"/>
        <v>-3.1487659519689557</v>
      </c>
      <c r="AE923" s="52">
        <f t="shared" si="303"/>
        <v>10.807086352190005</v>
      </c>
      <c r="AF923" s="52">
        <f t="shared" si="304"/>
        <v>-1.0518233437234252</v>
      </c>
      <c r="AG923" s="52">
        <f t="shared" si="305"/>
        <v>4.5512369538940005</v>
      </c>
      <c r="AH923" s="52">
        <f t="shared" si="306"/>
        <v>-0.4905948769562497</v>
      </c>
      <c r="AI923" s="52">
        <f t="shared" si="307"/>
        <v>1.3972285531040478</v>
      </c>
      <c r="AJ923" s="52">
        <f t="shared" si="308"/>
        <v>-1.6063477312892807</v>
      </c>
      <c r="AK923" s="52">
        <f t="shared" si="309"/>
        <v>4.8586208451919557</v>
      </c>
      <c r="AM923" s="52">
        <f t="shared" si="310"/>
        <v>334575.64975472877</v>
      </c>
      <c r="AN923" s="57">
        <f t="shared" si="311"/>
        <v>348143.64854357461</v>
      </c>
      <c r="AO923" s="57">
        <f t="shared" si="312"/>
        <v>319639.97932930035</v>
      </c>
    </row>
    <row r="924" spans="12:41" x14ac:dyDescent="0.25">
      <c r="L924" s="6">
        <v>921</v>
      </c>
      <c r="M924" s="52">
        <f t="shared" si="298"/>
        <v>15332.097867513994</v>
      </c>
      <c r="N924" s="52">
        <f t="shared" si="299"/>
        <v>5708.160252273492</v>
      </c>
      <c r="P924" s="6">
        <v>921</v>
      </c>
      <c r="Q924" s="52">
        <f t="shared" si="313"/>
        <v>-23267.531492740203</v>
      </c>
      <c r="R924" s="52">
        <f t="shared" si="314"/>
        <v>8745.7121765914453</v>
      </c>
      <c r="T924" s="6">
        <v>921</v>
      </c>
      <c r="U924" s="52">
        <f t="shared" si="300"/>
        <v>-9667.9021324860059</v>
      </c>
      <c r="V924" s="52">
        <f t="shared" si="301"/>
        <v>-16791.83974772651</v>
      </c>
      <c r="X924" s="6">
        <v>920</v>
      </c>
      <c r="Y924" s="55">
        <v>460</v>
      </c>
      <c r="Z924" s="52">
        <f t="shared" si="315"/>
        <v>95666.139457527344</v>
      </c>
      <c r="AA924" s="52">
        <f t="shared" si="316"/>
        <v>-318854.01204870996</v>
      </c>
      <c r="AB924" s="52">
        <f t="shared" si="317"/>
        <v>657.30344114049581</v>
      </c>
      <c r="AC924" s="52">
        <f t="shared" si="318"/>
        <v>-738.48987142873023</v>
      </c>
      <c r="AD924" s="52">
        <f t="shared" si="302"/>
        <v>-3.1471206666854346</v>
      </c>
      <c r="AE924" s="52">
        <f t="shared" si="303"/>
        <v>10.775832481192378</v>
      </c>
      <c r="AF924" s="52">
        <f t="shared" si="304"/>
        <v>-1.0523087660949775</v>
      </c>
      <c r="AG924" s="52">
        <f t="shared" si="305"/>
        <v>4.5386904920911633</v>
      </c>
      <c r="AH924" s="52">
        <f t="shared" si="306"/>
        <v>-0.49005557512219822</v>
      </c>
      <c r="AI924" s="52">
        <f t="shared" si="307"/>
        <v>1.393292304572417</v>
      </c>
      <c r="AJ924" s="52">
        <f t="shared" si="308"/>
        <v>-1.6047563254682589</v>
      </c>
      <c r="AK924" s="52">
        <f t="shared" si="309"/>
        <v>4.8438496845287986</v>
      </c>
      <c r="AM924" s="52">
        <f t="shared" si="310"/>
        <v>335010.90406238346</v>
      </c>
      <c r="AN924" s="57">
        <f t="shared" si="311"/>
        <v>348602.37672388472</v>
      </c>
      <c r="AO924" s="57">
        <f t="shared" si="312"/>
        <v>320095.19251525775</v>
      </c>
    </row>
    <row r="925" spans="12:41" x14ac:dyDescent="0.25">
      <c r="L925" s="6">
        <v>922</v>
      </c>
      <c r="M925" s="52">
        <f t="shared" si="298"/>
        <v>15364.080727166063</v>
      </c>
      <c r="N925" s="52">
        <f t="shared" si="299"/>
        <v>5626.9670329204382</v>
      </c>
      <c r="P925" s="6">
        <v>922</v>
      </c>
      <c r="Q925" s="52">
        <f t="shared" si="313"/>
        <v>-23245.143490983755</v>
      </c>
      <c r="R925" s="52">
        <f t="shared" si="314"/>
        <v>8688.8769230443067</v>
      </c>
      <c r="T925" s="6">
        <v>922</v>
      </c>
      <c r="U925" s="52">
        <f t="shared" si="300"/>
        <v>-9635.9192728339367</v>
      </c>
      <c r="V925" s="52">
        <f t="shared" si="301"/>
        <v>-16873.032967079562</v>
      </c>
      <c r="X925" s="6">
        <v>921</v>
      </c>
      <c r="Y925" s="55">
        <v>460.5</v>
      </c>
      <c r="Z925" s="52">
        <f t="shared" si="315"/>
        <v>95994.397788014263</v>
      </c>
      <c r="AA925" s="52">
        <f t="shared" si="316"/>
        <v>-319221.91000536416</v>
      </c>
      <c r="AB925" s="52">
        <f t="shared" si="317"/>
        <v>655.72988080715311</v>
      </c>
      <c r="AC925" s="52">
        <f t="shared" si="318"/>
        <v>-733.10195518813407</v>
      </c>
      <c r="AD925" s="52">
        <f t="shared" si="302"/>
        <v>-3.1455041141030629</v>
      </c>
      <c r="AE925" s="52">
        <f t="shared" si="303"/>
        <v>10.744882508147779</v>
      </c>
      <c r="AF925" s="52">
        <f t="shared" si="304"/>
        <v>-1.0527937392134099</v>
      </c>
      <c r="AG925" s="52">
        <f t="shared" si="305"/>
        <v>4.5262649791238321</v>
      </c>
      <c r="AH925" s="52">
        <f t="shared" si="306"/>
        <v>-0.48952350026355307</v>
      </c>
      <c r="AI925" s="52">
        <f t="shared" si="307"/>
        <v>1.3893934950531828</v>
      </c>
      <c r="AJ925" s="52">
        <f t="shared" si="308"/>
        <v>-1.6031868746261</v>
      </c>
      <c r="AK925" s="52">
        <f t="shared" si="309"/>
        <v>4.8292240339707648</v>
      </c>
      <c r="AM925" s="52">
        <f t="shared" si="310"/>
        <v>335443.51979538408</v>
      </c>
      <c r="AN925" s="57">
        <f t="shared" si="311"/>
        <v>349058.39962072845</v>
      </c>
      <c r="AO925" s="57">
        <f t="shared" si="312"/>
        <v>320547.71705921658</v>
      </c>
    </row>
    <row r="926" spans="12:41" x14ac:dyDescent="0.25">
      <c r="L926" s="6">
        <v>923</v>
      </c>
      <c r="M926" s="52">
        <f t="shared" si="298"/>
        <v>15397.475732737797</v>
      </c>
      <c r="N926" s="52">
        <f t="shared" si="299"/>
        <v>5546.3443575536348</v>
      </c>
      <c r="P926" s="6">
        <v>923</v>
      </c>
      <c r="Q926" s="52">
        <f t="shared" si="313"/>
        <v>-23221.766987083542</v>
      </c>
      <c r="R926" s="52">
        <f t="shared" si="314"/>
        <v>8632.4410502875435</v>
      </c>
      <c r="T926" s="6">
        <v>923</v>
      </c>
      <c r="U926" s="52">
        <f t="shared" si="300"/>
        <v>-9602.5242672622026</v>
      </c>
      <c r="V926" s="52">
        <f t="shared" si="301"/>
        <v>-16953.655642446367</v>
      </c>
      <c r="X926" s="6">
        <v>922</v>
      </c>
      <c r="Y926" s="55">
        <v>461</v>
      </c>
      <c r="Z926" s="52">
        <f t="shared" si="315"/>
        <v>96321.869540403583</v>
      </c>
      <c r="AA926" s="52">
        <f t="shared" si="316"/>
        <v>-319587.11787264468</v>
      </c>
      <c r="AB926" s="52">
        <f t="shared" si="317"/>
        <v>654.15712875010161</v>
      </c>
      <c r="AC926" s="52">
        <f t="shared" si="318"/>
        <v>-727.72951393406015</v>
      </c>
      <c r="AD926" s="52">
        <f t="shared" si="302"/>
        <v>-3.1439162604845539</v>
      </c>
      <c r="AE926" s="52">
        <f t="shared" si="303"/>
        <v>10.714233057071432</v>
      </c>
      <c r="AF926" s="52">
        <f t="shared" si="304"/>
        <v>-1.0532784083243671</v>
      </c>
      <c r="AG926" s="52">
        <f t="shared" si="305"/>
        <v>4.5139591177588185</v>
      </c>
      <c r="AH926" s="52">
        <f t="shared" si="306"/>
        <v>-0.48899860052322275</v>
      </c>
      <c r="AI926" s="52">
        <f t="shared" si="307"/>
        <v>1.3855317149474224</v>
      </c>
      <c r="AJ926" s="52">
        <f t="shared" si="308"/>
        <v>-1.6016392516369642</v>
      </c>
      <c r="AK926" s="52">
        <f t="shared" si="309"/>
        <v>4.8147422243651903</v>
      </c>
      <c r="AM926" s="52">
        <f t="shared" si="310"/>
        <v>335873.50364143902</v>
      </c>
      <c r="AN926" s="57">
        <f t="shared" si="311"/>
        <v>349511.72455437202</v>
      </c>
      <c r="AO926" s="57">
        <f t="shared" si="312"/>
        <v>320997.56014824618</v>
      </c>
    </row>
    <row r="927" spans="12:41" x14ac:dyDescent="0.25">
      <c r="L927" s="6">
        <v>924</v>
      </c>
      <c r="M927" s="52">
        <f t="shared" si="298"/>
        <v>15432.272711786998</v>
      </c>
      <c r="N927" s="52">
        <f t="shared" si="299"/>
        <v>5466.3167846209908</v>
      </c>
      <c r="P927" s="6">
        <v>924</v>
      </c>
      <c r="Q927" s="52">
        <f t="shared" si="313"/>
        <v>-23197.409101749101</v>
      </c>
      <c r="R927" s="52">
        <f t="shared" si="314"/>
        <v>8576.4217492346943</v>
      </c>
      <c r="T927" s="6">
        <v>924</v>
      </c>
      <c r="U927" s="52">
        <f t="shared" si="300"/>
        <v>-9567.7272882130019</v>
      </c>
      <c r="V927" s="52">
        <f t="shared" si="301"/>
        <v>-17033.683215379009</v>
      </c>
      <c r="X927" s="6">
        <v>923</v>
      </c>
      <c r="Y927" s="55">
        <v>461.5</v>
      </c>
      <c r="Z927" s="52">
        <f t="shared" si="315"/>
        <v>96648.555115246083</v>
      </c>
      <c r="AA927" s="52">
        <f t="shared" si="316"/>
        <v>-319949.6433504796</v>
      </c>
      <c r="AB927" s="52">
        <f t="shared" si="317"/>
        <v>652.58517061985935</v>
      </c>
      <c r="AC927" s="52">
        <f t="shared" si="318"/>
        <v>-722.37239740552445</v>
      </c>
      <c r="AD927" s="52">
        <f t="shared" si="302"/>
        <v>-3.1423570718085054</v>
      </c>
      <c r="AE927" s="52">
        <f t="shared" si="303"/>
        <v>10.683880805598967</v>
      </c>
      <c r="AF927" s="52">
        <f t="shared" si="304"/>
        <v>-1.0537629158443123</v>
      </c>
      <c r="AG927" s="52">
        <f t="shared" si="305"/>
        <v>4.5017716309246794</v>
      </c>
      <c r="AH927" s="52">
        <f t="shared" si="306"/>
        <v>-0.48848082484622901</v>
      </c>
      <c r="AI927" s="52">
        <f t="shared" si="307"/>
        <v>1.3817065610656307</v>
      </c>
      <c r="AJ927" s="52">
        <f t="shared" si="308"/>
        <v>-1.6001133311179643</v>
      </c>
      <c r="AK927" s="52">
        <f t="shared" si="309"/>
        <v>4.8004026136086582</v>
      </c>
      <c r="AM927" s="52">
        <f t="shared" si="310"/>
        <v>336300.86222252122</v>
      </c>
      <c r="AN927" s="57">
        <f t="shared" si="311"/>
        <v>349962.35877245897</v>
      </c>
      <c r="AO927" s="57">
        <f t="shared" si="312"/>
        <v>321444.72889845609</v>
      </c>
    </row>
    <row r="928" spans="12:41" x14ac:dyDescent="0.25">
      <c r="L928" s="6">
        <v>925</v>
      </c>
      <c r="M928" s="52">
        <f t="shared" si="298"/>
        <v>15468.461064816751</v>
      </c>
      <c r="N928" s="52">
        <f t="shared" si="299"/>
        <v>5386.9086912964995</v>
      </c>
      <c r="P928" s="6">
        <v>925</v>
      </c>
      <c r="Q928" s="52">
        <f t="shared" si="313"/>
        <v>-23172.077254628275</v>
      </c>
      <c r="R928" s="52">
        <f t="shared" si="314"/>
        <v>8520.8360839075503</v>
      </c>
      <c r="T928" s="6">
        <v>925</v>
      </c>
      <c r="U928" s="52">
        <f t="shared" si="300"/>
        <v>-9531.5389351832491</v>
      </c>
      <c r="V928" s="52">
        <f t="shared" si="301"/>
        <v>-17113.091308703501</v>
      </c>
      <c r="X928" s="6">
        <v>924</v>
      </c>
      <c r="Y928" s="55">
        <v>462</v>
      </c>
      <c r="Z928" s="52">
        <f t="shared" si="315"/>
        <v>96974.45490592203</v>
      </c>
      <c r="AA928" s="52">
        <f t="shared" si="316"/>
        <v>-320309.49406408169</v>
      </c>
      <c r="AB928" s="52">
        <f t="shared" si="317"/>
        <v>651.01399208395515</v>
      </c>
      <c r="AC928" s="52">
        <f t="shared" si="318"/>
        <v>-717.03045700272492</v>
      </c>
      <c r="AD928" s="52">
        <f t="shared" si="302"/>
        <v>-3.1408265138136473</v>
      </c>
      <c r="AE928" s="52">
        <f t="shared" si="303"/>
        <v>10.653822483975745</v>
      </c>
      <c r="AF928" s="52">
        <f t="shared" si="304"/>
        <v>-1.0542474014334755</v>
      </c>
      <c r="AG928" s="52">
        <f t="shared" si="305"/>
        <v>4.4897012613426419</v>
      </c>
      <c r="AH928" s="52">
        <f t="shared" si="306"/>
        <v>-0.48797012296760511</v>
      </c>
      <c r="AI928" s="52">
        <f t="shared" si="307"/>
        <v>1.3779176365083219</v>
      </c>
      <c r="AJ928" s="52">
        <f t="shared" si="308"/>
        <v>-1.5986089894125668</v>
      </c>
      <c r="AK928" s="52">
        <f t="shared" si="309"/>
        <v>4.7862035861247803</v>
      </c>
      <c r="AM928" s="52">
        <f t="shared" si="310"/>
        <v>336725.60209555354</v>
      </c>
      <c r="AN928" s="57">
        <f t="shared" si="311"/>
        <v>350410.30945080257</v>
      </c>
      <c r="AO928" s="57">
        <f t="shared" si="312"/>
        <v>321889.23035576299</v>
      </c>
    </row>
    <row r="929" spans="12:41" x14ac:dyDescent="0.25">
      <c r="L929" s="6">
        <v>926</v>
      </c>
      <c r="M929" s="52">
        <f t="shared" si="298"/>
        <v>15506.029768504164</v>
      </c>
      <c r="N929" s="52">
        <f t="shared" si="299"/>
        <v>5308.1442660546145</v>
      </c>
      <c r="P929" s="6">
        <v>926</v>
      </c>
      <c r="Q929" s="52">
        <f t="shared" si="313"/>
        <v>-23145.779162047085</v>
      </c>
      <c r="R929" s="52">
        <f t="shared" si="314"/>
        <v>8465.7009862382311</v>
      </c>
      <c r="T929" s="6">
        <v>926</v>
      </c>
      <c r="U929" s="52">
        <f t="shared" si="300"/>
        <v>-9493.9702314958358</v>
      </c>
      <c r="V929" s="52">
        <f t="shared" si="301"/>
        <v>-17191.855733945384</v>
      </c>
      <c r="X929" s="6">
        <v>925</v>
      </c>
      <c r="Y929" s="55">
        <v>462.5</v>
      </c>
      <c r="Z929" s="52">
        <f t="shared" si="315"/>
        <v>97299.569298649789</v>
      </c>
      <c r="AA929" s="52">
        <f t="shared" si="316"/>
        <v>-320666.67756477254</v>
      </c>
      <c r="AB929" s="52">
        <f t="shared" si="317"/>
        <v>649.44357882704833</v>
      </c>
      <c r="AC929" s="52">
        <f t="shared" si="318"/>
        <v>-711.70354576073703</v>
      </c>
      <c r="AD929" s="52">
        <f t="shared" si="302"/>
        <v>-3.1393245520417397</v>
      </c>
      <c r="AE929" s="52">
        <f t="shared" si="303"/>
        <v>10.624054874069662</v>
      </c>
      <c r="AF929" s="52">
        <f t="shared" si="304"/>
        <v>-1.0547320020669559</v>
      </c>
      <c r="AG929" s="52">
        <f t="shared" si="305"/>
        <v>4.4777467711660286</v>
      </c>
      <c r="AH929" s="52">
        <f t="shared" si="306"/>
        <v>-0.48746644540055695</v>
      </c>
      <c r="AI929" s="52">
        <f t="shared" si="307"/>
        <v>1.3741645505493529</v>
      </c>
      <c r="AJ929" s="52">
        <f t="shared" si="308"/>
        <v>-1.5971261045742271</v>
      </c>
      <c r="AK929" s="52">
        <f t="shared" si="309"/>
        <v>4.7721435523542803</v>
      </c>
      <c r="AM929" s="52">
        <f t="shared" si="310"/>
        <v>337147.72975308337</v>
      </c>
      <c r="AN929" s="57">
        <f t="shared" si="311"/>
        <v>350855.5836941661</v>
      </c>
      <c r="AO929" s="57">
        <f t="shared" si="312"/>
        <v>322331.07149664592</v>
      </c>
    </row>
    <row r="930" spans="12:41" x14ac:dyDescent="0.25">
      <c r="L930" s="6">
        <v>927</v>
      </c>
      <c r="M930" s="52">
        <f t="shared" si="298"/>
        <v>15544.967379058158</v>
      </c>
      <c r="N930" s="52">
        <f t="shared" si="299"/>
        <v>5230.0475013022733</v>
      </c>
      <c r="P930" s="6">
        <v>927</v>
      </c>
      <c r="Q930" s="52">
        <f t="shared" si="313"/>
        <v>-23118.522834659288</v>
      </c>
      <c r="R930" s="52">
        <f t="shared" si="314"/>
        <v>8411.0332509115906</v>
      </c>
      <c r="T930" s="6">
        <v>927</v>
      </c>
      <c r="U930" s="52">
        <f t="shared" si="300"/>
        <v>-9455.0326209418417</v>
      </c>
      <c r="V930" s="52">
        <f t="shared" si="301"/>
        <v>-17269.952498697727</v>
      </c>
      <c r="X930" s="6">
        <v>926</v>
      </c>
      <c r="Y930" s="55">
        <v>463</v>
      </c>
      <c r="Z930" s="52">
        <f t="shared" si="315"/>
        <v>97623.89867249431</v>
      </c>
      <c r="AA930" s="52">
        <f t="shared" si="316"/>
        <v>-321021.20133079361</v>
      </c>
      <c r="AB930" s="52">
        <f t="shared" si="317"/>
        <v>647.87391655102749</v>
      </c>
      <c r="AC930" s="52">
        <f t="shared" si="318"/>
        <v>-706.39151832370214</v>
      </c>
      <c r="AD930" s="52">
        <f t="shared" si="302"/>
        <v>-3.1378511518789183</v>
      </c>
      <c r="AE930" s="52">
        <f t="shared" si="303"/>
        <v>10.594574808406048</v>
      </c>
      <c r="AF930" s="52">
        <f t="shared" si="304"/>
        <v>-1.0552168521039493</v>
      </c>
      <c r="AG930" s="52">
        <f t="shared" si="305"/>
        <v>4.4659069416275754</v>
      </c>
      <c r="AH930" s="52">
        <f t="shared" si="306"/>
        <v>-0.48696974342486871</v>
      </c>
      <c r="AI930" s="52">
        <f t="shared" si="307"/>
        <v>1.3704469185218691</v>
      </c>
      <c r="AJ930" s="52">
        <f t="shared" si="308"/>
        <v>-1.5956645563501002</v>
      </c>
      <c r="AK930" s="52">
        <f t="shared" si="309"/>
        <v>4.7582209482566027</v>
      </c>
      <c r="AM930" s="52">
        <f t="shared" si="310"/>
        <v>337567.25162394752</v>
      </c>
      <c r="AN930" s="57">
        <f t="shared" si="311"/>
        <v>351298.18853703048</v>
      </c>
      <c r="AO930" s="57">
        <f t="shared" si="312"/>
        <v>322770.25922888948</v>
      </c>
    </row>
    <row r="931" spans="12:41" x14ac:dyDescent="0.25">
      <c r="L931" s="6">
        <v>928</v>
      </c>
      <c r="M931" s="52">
        <f t="shared" si="298"/>
        <v>15585.262035705367</v>
      </c>
      <c r="N931" s="52">
        <f t="shared" si="299"/>
        <v>5152.6421860705414</v>
      </c>
      <c r="P931" s="6">
        <v>928</v>
      </c>
      <c r="Q931" s="52">
        <f t="shared" si="313"/>
        <v>-23090.316575006244</v>
      </c>
      <c r="R931" s="52">
        <f t="shared" si="314"/>
        <v>8356.8495302493793</v>
      </c>
      <c r="T931" s="6">
        <v>928</v>
      </c>
      <c r="U931" s="52">
        <f t="shared" si="300"/>
        <v>-9414.7379642946325</v>
      </c>
      <c r="V931" s="52">
        <f t="shared" si="301"/>
        <v>-17347.357813929459</v>
      </c>
      <c r="X931" s="6">
        <v>927</v>
      </c>
      <c r="Y931" s="55">
        <v>463.5</v>
      </c>
      <c r="Z931" s="52">
        <f t="shared" si="315"/>
        <v>97947.443399375843</v>
      </c>
      <c r="AA931" s="52">
        <f t="shared" si="316"/>
        <v>-321373.07276810438</v>
      </c>
      <c r="AB931" s="52">
        <f t="shared" si="317"/>
        <v>646.304990975088</v>
      </c>
      <c r="AC931" s="52">
        <f t="shared" si="318"/>
        <v>-701.09423091949907</v>
      </c>
      <c r="AD931" s="52">
        <f t="shared" si="302"/>
        <v>-3.1364062785956781</v>
      </c>
      <c r="AE931" s="52">
        <f t="shared" si="303"/>
        <v>10.565379169224324</v>
      </c>
      <c r="AF931" s="52">
        <f t="shared" si="304"/>
        <v>-1.0557020833551036</v>
      </c>
      <c r="AG931" s="52">
        <f t="shared" si="305"/>
        <v>4.4541805726942227</v>
      </c>
      <c r="AH931" s="52">
        <f t="shared" si="306"/>
        <v>-0.48647996907552082</v>
      </c>
      <c r="AI931" s="52">
        <f t="shared" si="307"/>
        <v>1.3667643617067227</v>
      </c>
      <c r="AJ931" s="52">
        <f t="shared" si="308"/>
        <v>-1.5942242261650534</v>
      </c>
      <c r="AK931" s="52">
        <f t="shared" si="309"/>
        <v>4.7444342348233786</v>
      </c>
      <c r="AM931" s="52">
        <f t="shared" si="310"/>
        <v>337984.17407392582</v>
      </c>
      <c r="AN931" s="57">
        <f t="shared" si="311"/>
        <v>351738.13094434951</v>
      </c>
      <c r="AO931" s="57">
        <f t="shared" si="312"/>
        <v>323206.8003923152</v>
      </c>
    </row>
    <row r="932" spans="12:41" x14ac:dyDescent="0.25">
      <c r="L932" s="6">
        <v>929</v>
      </c>
      <c r="M932" s="52">
        <f t="shared" si="298"/>
        <v>15626.90146430302</v>
      </c>
      <c r="N932" s="52">
        <f t="shared" si="299"/>
        <v>5075.951898768315</v>
      </c>
      <c r="P932" s="6">
        <v>929</v>
      </c>
      <c r="Q932" s="52">
        <f t="shared" si="313"/>
        <v>-23061.168974987886</v>
      </c>
      <c r="R932" s="52">
        <f t="shared" si="314"/>
        <v>8303.1663291378209</v>
      </c>
      <c r="T932" s="6">
        <v>929</v>
      </c>
      <c r="U932" s="52">
        <f t="shared" si="300"/>
        <v>-9373.0985356969795</v>
      </c>
      <c r="V932" s="52">
        <f t="shared" si="301"/>
        <v>-17424.048101231685</v>
      </c>
      <c r="X932" s="6">
        <v>928</v>
      </c>
      <c r="Y932" s="55">
        <v>464</v>
      </c>
      <c r="Z932" s="52">
        <f t="shared" si="315"/>
        <v>98270.203844078569</v>
      </c>
      <c r="AA932" s="52">
        <f t="shared" si="316"/>
        <v>-321722.29921116796</v>
      </c>
      <c r="AB932" s="52">
        <f t="shared" si="317"/>
        <v>644.73678783579021</v>
      </c>
      <c r="AC932" s="52">
        <f t="shared" si="318"/>
        <v>-695.8115413348869</v>
      </c>
      <c r="AD932" s="52">
        <f t="shared" si="302"/>
        <v>-3.1349898973854824</v>
      </c>
      <c r="AE932" s="52">
        <f t="shared" si="303"/>
        <v>10.536464887555907</v>
      </c>
      <c r="AF932" s="52">
        <f t="shared" si="304"/>
        <v>-1.0561878251481935</v>
      </c>
      <c r="AG932" s="52">
        <f t="shared" si="305"/>
        <v>4.4425664827297844</v>
      </c>
      <c r="AH932" s="52">
        <f t="shared" si="306"/>
        <v>-0.48599707513157553</v>
      </c>
      <c r="AI932" s="52">
        <f t="shared" si="307"/>
        <v>1.3631165072234765</v>
      </c>
      <c r="AJ932" s="52">
        <f t="shared" si="308"/>
        <v>-1.5928049971057132</v>
      </c>
      <c r="AK932" s="52">
        <f t="shared" si="309"/>
        <v>4.7307818976026459</v>
      </c>
      <c r="AM932" s="52">
        <f t="shared" si="310"/>
        <v>338398.50340638537</v>
      </c>
      <c r="AN932" s="57">
        <f t="shared" si="311"/>
        <v>352175.41781229357</v>
      </c>
      <c r="AO932" s="57">
        <f t="shared" si="312"/>
        <v>323640.70175950183</v>
      </c>
    </row>
    <row r="933" spans="12:41" x14ac:dyDescent="0.25">
      <c r="L933" s="6">
        <v>930</v>
      </c>
      <c r="M933" s="52">
        <f t="shared" si="298"/>
        <v>15669.872981077804</v>
      </c>
      <c r="N933" s="52">
        <f t="shared" si="299"/>
        <v>5000.0000000000055</v>
      </c>
      <c r="P933" s="6">
        <v>930</v>
      </c>
      <c r="Q933" s="52">
        <f t="shared" si="313"/>
        <v>-23031.088913245538</v>
      </c>
      <c r="R933" s="52">
        <f t="shared" si="314"/>
        <v>8250.0000000000036</v>
      </c>
      <c r="T933" s="6">
        <v>930</v>
      </c>
      <c r="U933" s="52">
        <f t="shared" si="300"/>
        <v>-9330.1270189221959</v>
      </c>
      <c r="V933" s="52">
        <f t="shared" si="301"/>
        <v>-17499.999999999993</v>
      </c>
      <c r="X933" s="6">
        <v>929</v>
      </c>
      <c r="Y933" s="55">
        <v>464.5</v>
      </c>
      <c r="Z933" s="52">
        <f t="shared" si="315"/>
        <v>98592.180364259286</v>
      </c>
      <c r="AA933" s="52">
        <f t="shared" si="316"/>
        <v>-322068.88792372443</v>
      </c>
      <c r="AB933" s="52">
        <f t="shared" si="317"/>
        <v>643.16929288709741</v>
      </c>
      <c r="AC933" s="52">
        <f t="shared" si="318"/>
        <v>-690.54330889110895</v>
      </c>
      <c r="AD933" s="52">
        <f t="shared" si="302"/>
        <v>-3.1336019734020404</v>
      </c>
      <c r="AE933" s="52">
        <f t="shared" si="303"/>
        <v>10.507828942322661</v>
      </c>
      <c r="AF933" s="52">
        <f t="shared" si="304"/>
        <v>-1.0566742043920789</v>
      </c>
      <c r="AG933" s="52">
        <f t="shared" si="305"/>
        <v>4.4310635081649048</v>
      </c>
      <c r="AH933" s="52">
        <f t="shared" si="306"/>
        <v>-0.48552101510524781</v>
      </c>
      <c r="AI933" s="52">
        <f t="shared" si="307"/>
        <v>1.3595029879237051</v>
      </c>
      <c r="AJ933" s="52">
        <f t="shared" si="308"/>
        <v>-1.5914067539047136</v>
      </c>
      <c r="AK933" s="52">
        <f t="shared" si="309"/>
        <v>4.7172624462340496</v>
      </c>
      <c r="AM933" s="52">
        <f t="shared" si="310"/>
        <v>338810.24586291466</v>
      </c>
      <c r="AN933" s="57">
        <f t="shared" si="311"/>
        <v>352610.05596898118</v>
      </c>
      <c r="AO933" s="57">
        <f t="shared" si="312"/>
        <v>324071.97003649367</v>
      </c>
    </row>
    <row r="934" spans="12:41" x14ac:dyDescent="0.25">
      <c r="L934" s="6">
        <v>931</v>
      </c>
      <c r="M934" s="52">
        <f t="shared" si="298"/>
        <v>15714.163496489442</v>
      </c>
      <c r="N934" s="52">
        <f t="shared" si="299"/>
        <v>4924.8096254497232</v>
      </c>
      <c r="P934" s="6">
        <v>931</v>
      </c>
      <c r="Q934" s="52">
        <f t="shared" si="313"/>
        <v>-23000.085552457393</v>
      </c>
      <c r="R934" s="52">
        <f t="shared" si="314"/>
        <v>8197.3667378148057</v>
      </c>
      <c r="T934" s="6">
        <v>931</v>
      </c>
      <c r="U934" s="52">
        <f t="shared" si="300"/>
        <v>-9285.836503510558</v>
      </c>
      <c r="V934" s="52">
        <f t="shared" si="301"/>
        <v>-17575.190374550275</v>
      </c>
      <c r="X934" s="6">
        <v>930</v>
      </c>
      <c r="Y934" s="55">
        <v>465</v>
      </c>
      <c r="Z934" s="52">
        <f t="shared" si="315"/>
        <v>98913.373310456154</v>
      </c>
      <c r="AA934" s="52">
        <f t="shared" si="316"/>
        <v>-322412.84609955217</v>
      </c>
      <c r="AB934" s="52">
        <f t="shared" si="317"/>
        <v>641.60249190039644</v>
      </c>
      <c r="AC934" s="52">
        <f t="shared" si="318"/>
        <v>-685.2893944199476</v>
      </c>
      <c r="AD934" s="52">
        <f t="shared" si="302"/>
        <v>-3.1322424717953297</v>
      </c>
      <c r="AE934" s="52">
        <f t="shared" si="303"/>
        <v>10.479468359455401</v>
      </c>
      <c r="AF934" s="52">
        <f t="shared" si="304"/>
        <v>-1.0571613456389413</v>
      </c>
      <c r="AG934" s="52">
        <f t="shared" si="305"/>
        <v>4.4196705031739256</v>
      </c>
      <c r="AH934" s="52">
        <f t="shared" si="306"/>
        <v>-0.48505174323122113</v>
      </c>
      <c r="AI934" s="52">
        <f t="shared" si="307"/>
        <v>1.3559234422867192</v>
      </c>
      <c r="AJ934" s="52">
        <f t="shared" si="308"/>
        <v>-1.5900293829251675</v>
      </c>
      <c r="AK934" s="52">
        <f t="shared" si="309"/>
        <v>4.7038744139947566</v>
      </c>
      <c r="AM934" s="52">
        <f t="shared" si="310"/>
        <v>339219.40762394806</v>
      </c>
      <c r="AN934" s="57">
        <f t="shared" si="311"/>
        <v>353042.05217519973</v>
      </c>
      <c r="AO934" s="57">
        <f t="shared" si="312"/>
        <v>324500.61186349893</v>
      </c>
    </row>
    <row r="935" spans="12:41" x14ac:dyDescent="0.25">
      <c r="L935" s="6">
        <v>932</v>
      </c>
      <c r="M935" s="52">
        <f t="shared" si="298"/>
        <v>15759.759519217871</v>
      </c>
      <c r="N935" s="52">
        <f t="shared" si="299"/>
        <v>4850.4036788339745</v>
      </c>
      <c r="P935" s="6">
        <v>932</v>
      </c>
      <c r="Q935" s="52">
        <f t="shared" si="313"/>
        <v>-22968.168336547489</v>
      </c>
      <c r="R935" s="52">
        <f t="shared" si="314"/>
        <v>8145.2825751837818</v>
      </c>
      <c r="T935" s="6">
        <v>932</v>
      </c>
      <c r="U935" s="52">
        <f t="shared" si="300"/>
        <v>-9240.2404807821295</v>
      </c>
      <c r="V935" s="52">
        <f t="shared" si="301"/>
        <v>-17649.596321166027</v>
      </c>
      <c r="X935" s="6">
        <v>931</v>
      </c>
      <c r="Y935" s="55">
        <v>465.5</v>
      </c>
      <c r="Z935" s="52">
        <f t="shared" si="315"/>
        <v>99233.783026097371</v>
      </c>
      <c r="AA935" s="52">
        <f t="shared" si="316"/>
        <v>-322754.18086321722</v>
      </c>
      <c r="AB935" s="52">
        <f t="shared" si="317"/>
        <v>640.0363706644988</v>
      </c>
      <c r="AC935" s="52">
        <f t="shared" si="318"/>
        <v>-680.04966024021985</v>
      </c>
      <c r="AD935" s="52">
        <f t="shared" si="302"/>
        <v>-3.1309113577464327</v>
      </c>
      <c r="AE935" s="52">
        <f t="shared" si="303"/>
        <v>10.451380211032184</v>
      </c>
      <c r="AF935" s="52">
        <f t="shared" si="304"/>
        <v>-1.0576493711449959</v>
      </c>
      <c r="AG935" s="52">
        <f t="shared" si="305"/>
        <v>4.4083863393590592</v>
      </c>
      <c r="AH935" s="52">
        <f t="shared" si="306"/>
        <v>-0.48458921445616437</v>
      </c>
      <c r="AI935" s="52">
        <f t="shared" si="307"/>
        <v>1.3523775143175434</v>
      </c>
      <c r="AJ935" s="52">
        <f t="shared" si="308"/>
        <v>-1.5886727721452725</v>
      </c>
      <c r="AK935" s="52">
        <f t="shared" si="309"/>
        <v>4.690616357355581</v>
      </c>
      <c r="AM935" s="52">
        <f t="shared" si="310"/>
        <v>339625.99480938038</v>
      </c>
      <c r="AN935" s="57">
        <f t="shared" si="311"/>
        <v>353471.41312511417</v>
      </c>
      <c r="AO935" s="57">
        <f t="shared" si="312"/>
        <v>324926.63381557591</v>
      </c>
    </row>
    <row r="936" spans="12:41" x14ac:dyDescent="0.25">
      <c r="L936" s="6">
        <v>933</v>
      </c>
      <c r="M936" s="52">
        <f t="shared" si="298"/>
        <v>15806.647160272878</v>
      </c>
      <c r="N936" s="52">
        <f t="shared" si="299"/>
        <v>4776.8048249248686</v>
      </c>
      <c r="P936" s="6">
        <v>933</v>
      </c>
      <c r="Q936" s="52">
        <f t="shared" si="313"/>
        <v>-22935.346987808985</v>
      </c>
      <c r="R936" s="52">
        <f t="shared" si="314"/>
        <v>8093.7633774474079</v>
      </c>
      <c r="T936" s="6">
        <v>933</v>
      </c>
      <c r="U936" s="52">
        <f t="shared" si="300"/>
        <v>-9193.352839727122</v>
      </c>
      <c r="V936" s="52">
        <f t="shared" si="301"/>
        <v>-17723.195175075132</v>
      </c>
      <c r="X936" s="6">
        <v>932</v>
      </c>
      <c r="Y936" s="55">
        <v>466</v>
      </c>
      <c r="Z936" s="52">
        <f t="shared" si="315"/>
        <v>99553.409847509902</v>
      </c>
      <c r="AA936" s="52">
        <f t="shared" si="316"/>
        <v>-323092.89927081094</v>
      </c>
      <c r="AB936" s="52">
        <f t="shared" si="317"/>
        <v>638.47091498562554</v>
      </c>
      <c r="AC936" s="52">
        <f t="shared" si="318"/>
        <v>-674.82397013470381</v>
      </c>
      <c r="AD936" s="52">
        <f t="shared" si="302"/>
        <v>-3.1296085965011491</v>
      </c>
      <c r="AE936" s="52">
        <f t="shared" si="303"/>
        <v>10.42356161443551</v>
      </c>
      <c r="AF936" s="52">
        <f t="shared" si="304"/>
        <v>-1.0581384009296333</v>
      </c>
      <c r="AG936" s="52">
        <f t="shared" si="305"/>
        <v>4.3972099054413656</v>
      </c>
      <c r="AH936" s="52">
        <f t="shared" si="306"/>
        <v>-0.48413338442848275</v>
      </c>
      <c r="AI936" s="52">
        <f t="shared" si="307"/>
        <v>1.3488648534471908</v>
      </c>
      <c r="AJ936" s="52">
        <f t="shared" si="308"/>
        <v>-1.5873368111430333</v>
      </c>
      <c r="AK936" s="52">
        <f t="shared" si="309"/>
        <v>4.6774868555469524</v>
      </c>
      <c r="AM936" s="52">
        <f t="shared" si="310"/>
        <v>340030.01347917278</v>
      </c>
      <c r="AN936" s="57">
        <f t="shared" si="311"/>
        <v>353898.14544696512</v>
      </c>
      <c r="AO936" s="57">
        <f t="shared" si="312"/>
        <v>325350.04240330972</v>
      </c>
    </row>
    <row r="937" spans="12:41" x14ac:dyDescent="0.25">
      <c r="L937" s="6">
        <v>934</v>
      </c>
      <c r="M937" s="52">
        <f t="shared" si="298"/>
        <v>15854.812137224786</v>
      </c>
      <c r="N937" s="52">
        <f t="shared" si="299"/>
        <v>4704.0354826462744</v>
      </c>
      <c r="P937" s="6">
        <v>934</v>
      </c>
      <c r="Q937" s="52">
        <f t="shared" si="313"/>
        <v>-22901.631503942648</v>
      </c>
      <c r="R937" s="52">
        <f t="shared" si="314"/>
        <v>8042.8248378523922</v>
      </c>
      <c r="T937" s="6">
        <v>934</v>
      </c>
      <c r="U937" s="52">
        <f t="shared" si="300"/>
        <v>-9145.1878627752139</v>
      </c>
      <c r="V937" s="52">
        <f t="shared" si="301"/>
        <v>-17795.964517353725</v>
      </c>
      <c r="X937" s="6">
        <v>933</v>
      </c>
      <c r="Y937" s="55">
        <v>466.5</v>
      </c>
      <c r="Z937" s="52">
        <f t="shared" si="315"/>
        <v>99872.25410392815</v>
      </c>
      <c r="AA937" s="52">
        <f t="shared" si="316"/>
        <v>-323429.00831067649</v>
      </c>
      <c r="AB937" s="52">
        <f t="shared" si="317"/>
        <v>636.90611068737496</v>
      </c>
      <c r="AC937" s="52">
        <f t="shared" si="318"/>
        <v>-669.61218932748602</v>
      </c>
      <c r="AD937" s="52">
        <f t="shared" si="302"/>
        <v>-3.1283341534025002</v>
      </c>
      <c r="AE937" s="52">
        <f t="shared" si="303"/>
        <v>10.396009731528135</v>
      </c>
      <c r="AF937" s="52">
        <f t="shared" si="304"/>
        <v>-1.05862855283299</v>
      </c>
      <c r="AG937" s="52">
        <f t="shared" si="305"/>
        <v>4.3861401069581003</v>
      </c>
      <c r="AH937" s="52">
        <f t="shared" si="306"/>
        <v>-0.4836842094882477</v>
      </c>
      <c r="AI937" s="52">
        <f t="shared" si="307"/>
        <v>1.3453851144350428</v>
      </c>
      <c r="AJ937" s="52">
        <f t="shared" si="308"/>
        <v>-1.5860213910812628</v>
      </c>
      <c r="AK937" s="52">
        <f t="shared" si="309"/>
        <v>4.664484510134991</v>
      </c>
      <c r="AM937" s="52">
        <f t="shared" si="310"/>
        <v>340431.46963394887</v>
      </c>
      <c r="AN937" s="57">
        <f t="shared" si="311"/>
        <v>354322.25570375606</v>
      </c>
      <c r="AO937" s="57">
        <f t="shared" si="312"/>
        <v>325770.84407347784</v>
      </c>
    </row>
    <row r="938" spans="12:41" x14ac:dyDescent="0.25">
      <c r="L938" s="6">
        <v>935</v>
      </c>
      <c r="M938" s="52">
        <f t="shared" si="298"/>
        <v>15904.239778555042</v>
      </c>
      <c r="N938" s="52">
        <f t="shared" si="299"/>
        <v>4632.1178182447675</v>
      </c>
      <c r="P938" s="6">
        <v>935</v>
      </c>
      <c r="Q938" s="52">
        <f t="shared" si="313"/>
        <v>-22867.032155011471</v>
      </c>
      <c r="R938" s="52">
        <f t="shared" si="314"/>
        <v>7992.4824727713376</v>
      </c>
      <c r="T938" s="6">
        <v>935</v>
      </c>
      <c r="U938" s="52">
        <f t="shared" si="300"/>
        <v>-9095.760221444958</v>
      </c>
      <c r="V938" s="52">
        <f t="shared" si="301"/>
        <v>-17867.882181755231</v>
      </c>
      <c r="X938" s="6">
        <v>934</v>
      </c>
      <c r="Y938" s="55">
        <v>467</v>
      </c>
      <c r="Z938" s="52">
        <f t="shared" si="315"/>
        <v>100190.31611750266</v>
      </c>
      <c r="AA938" s="52">
        <f t="shared" si="316"/>
        <v>-323762.51490412379</v>
      </c>
      <c r="AB938" s="52">
        <f t="shared" si="317"/>
        <v>635.34194361067375</v>
      </c>
      <c r="AC938" s="52">
        <f t="shared" si="318"/>
        <v>-664.4141844617219</v>
      </c>
      <c r="AD938" s="52">
        <f t="shared" si="302"/>
        <v>-3.1270879939221232</v>
      </c>
      <c r="AE938" s="52">
        <f t="shared" si="303"/>
        <v>10.368721767847077</v>
      </c>
      <c r="AF938" s="52">
        <f t="shared" si="304"/>
        <v>-1.0591199425721336</v>
      </c>
      <c r="AG938" s="52">
        <f t="shared" si="305"/>
        <v>4.3751758659669253</v>
      </c>
      <c r="AH938" s="52">
        <f t="shared" si="306"/>
        <v>-0.48324164665733621</v>
      </c>
      <c r="AI938" s="52">
        <f t="shared" si="307"/>
        <v>1.3419379572733732</v>
      </c>
      <c r="AJ938" s="52">
        <f t="shared" si="308"/>
        <v>-1.5847264046926535</v>
      </c>
      <c r="AK938" s="52">
        <f t="shared" si="309"/>
        <v>4.6516079446067788</v>
      </c>
      <c r="AM938" s="52">
        <f t="shared" si="310"/>
        <v>340830.36921558186</v>
      </c>
      <c r="AN938" s="57">
        <f t="shared" si="311"/>
        <v>354743.75039392966</v>
      </c>
      <c r="AO938" s="57">
        <f t="shared" si="312"/>
        <v>326189.04520970565</v>
      </c>
    </row>
    <row r="939" spans="12:41" x14ac:dyDescent="0.25">
      <c r="L939" s="6">
        <v>936</v>
      </c>
      <c r="M939" s="52">
        <f t="shared" si="298"/>
        <v>15954.915028125261</v>
      </c>
      <c r="N939" s="52">
        <f t="shared" si="299"/>
        <v>4561.0737385376369</v>
      </c>
      <c r="P939" s="6">
        <v>936</v>
      </c>
      <c r="Q939" s="52">
        <f t="shared" si="313"/>
        <v>-22831.559480312317</v>
      </c>
      <c r="R939" s="52">
        <f t="shared" si="314"/>
        <v>7942.7516169763458</v>
      </c>
      <c r="T939" s="6">
        <v>936</v>
      </c>
      <c r="U939" s="52">
        <f t="shared" si="300"/>
        <v>-9045.0849718747395</v>
      </c>
      <c r="V939" s="52">
        <f t="shared" si="301"/>
        <v>-17938.926261462362</v>
      </c>
      <c r="X939" s="6">
        <v>935</v>
      </c>
      <c r="Y939" s="55">
        <v>467.5</v>
      </c>
      <c r="Z939" s="52">
        <f t="shared" si="315"/>
        <v>100507.59620330876</v>
      </c>
      <c r="AA939" s="52">
        <f t="shared" si="316"/>
        <v>-324093.42590613366</v>
      </c>
      <c r="AB939" s="52">
        <f t="shared" si="317"/>
        <v>633.77839961371274</v>
      </c>
      <c r="AC939" s="52">
        <f t="shared" si="318"/>
        <v>-659.22982357779836</v>
      </c>
      <c r="AD939" s="52">
        <f t="shared" si="302"/>
        <v>-3.1258700836906872</v>
      </c>
      <c r="AE939" s="52">
        <f t="shared" si="303"/>
        <v>10.341694971815443</v>
      </c>
      <c r="AF939" s="52">
        <f t="shared" si="304"/>
        <v>-1.0596126837957707</v>
      </c>
      <c r="AG939" s="52">
        <f t="shared" si="305"/>
        <v>4.3643161207562162</v>
      </c>
      <c r="AH939" s="52">
        <f t="shared" si="306"/>
        <v>-0.4828056536297729</v>
      </c>
      <c r="AI939" s="52">
        <f t="shared" si="307"/>
        <v>1.3385230470939566</v>
      </c>
      <c r="AJ939" s="52">
        <f t="shared" si="308"/>
        <v>-1.5834517462651434</v>
      </c>
      <c r="AK939" s="52">
        <f t="shared" si="309"/>
        <v>4.6388558039652708</v>
      </c>
      <c r="AM939" s="52">
        <f t="shared" si="310"/>
        <v>341226.71810777299</v>
      </c>
      <c r="AN939" s="57">
        <f t="shared" si="311"/>
        <v>355162.63595203386</v>
      </c>
      <c r="AO939" s="57">
        <f t="shared" si="312"/>
        <v>326604.65213311184</v>
      </c>
    </row>
    <row r="940" spans="12:41" x14ac:dyDescent="0.25">
      <c r="L940" s="6">
        <v>937</v>
      </c>
      <c r="M940" s="52">
        <f t="shared" si="298"/>
        <v>16006.822449763531</v>
      </c>
      <c r="N940" s="52">
        <f t="shared" si="299"/>
        <v>4490.9248842397647</v>
      </c>
      <c r="P940" s="6">
        <v>937</v>
      </c>
      <c r="Q940" s="52">
        <f t="shared" si="313"/>
        <v>-22795.224285165528</v>
      </c>
      <c r="R940" s="52">
        <f t="shared" si="314"/>
        <v>7893.6474189678356</v>
      </c>
      <c r="T940" s="6">
        <v>937</v>
      </c>
      <c r="U940" s="52">
        <f t="shared" si="300"/>
        <v>-8993.177550236469</v>
      </c>
      <c r="V940" s="52">
        <f t="shared" si="301"/>
        <v>-18009.075115760235</v>
      </c>
      <c r="X940" s="6">
        <v>936</v>
      </c>
      <c r="Y940" s="55">
        <v>468</v>
      </c>
      <c r="Z940" s="52">
        <f t="shared" si="315"/>
        <v>100824.09466935515</v>
      </c>
      <c r="AA940" s="52">
        <f t="shared" si="316"/>
        <v>-324421.74810605106</v>
      </c>
      <c r="AB940" s="52">
        <f t="shared" si="317"/>
        <v>632.21546457186741</v>
      </c>
      <c r="AC940" s="52">
        <f t="shared" si="318"/>
        <v>-654.0589760918906</v>
      </c>
      <c r="AD940" s="52">
        <f t="shared" si="302"/>
        <v>-3.1246803885270769</v>
      </c>
      <c r="AE940" s="52">
        <f t="shared" si="303"/>
        <v>10.314926633970799</v>
      </c>
      <c r="AF940" s="52">
        <f t="shared" si="304"/>
        <v>-1.0601068881375348</v>
      </c>
      <c r="AG940" s="52">
        <f t="shared" si="305"/>
        <v>4.3535598255614074</v>
      </c>
      <c r="AH940" s="52">
        <f t="shared" si="306"/>
        <v>-0.48237618876226929</v>
      </c>
      <c r="AI940" s="52">
        <f t="shared" si="307"/>
        <v>1.3351400540767115</v>
      </c>
      <c r="AJ940" s="52">
        <f t="shared" si="308"/>
        <v>-1.582197311627273</v>
      </c>
      <c r="AK940" s="52">
        <f t="shared" si="309"/>
        <v>4.6262267543326807</v>
      </c>
      <c r="AM940" s="52">
        <f t="shared" si="310"/>
        <v>341620.52213662118</v>
      </c>
      <c r="AN940" s="57">
        <f t="shared" si="311"/>
        <v>355578.91874937742</v>
      </c>
      <c r="AO940" s="57">
        <f t="shared" si="312"/>
        <v>327017.67110294383</v>
      </c>
    </row>
    <row r="941" spans="12:41" x14ac:dyDescent="0.25">
      <c r="L941" s="6">
        <v>938</v>
      </c>
      <c r="M941" s="52">
        <f t="shared" si="298"/>
        <v>16059.946231966382</v>
      </c>
      <c r="N941" s="52">
        <f t="shared" si="299"/>
        <v>4421.6926233717195</v>
      </c>
      <c r="P941" s="6">
        <v>938</v>
      </c>
      <c r="Q941" s="52">
        <f t="shared" si="313"/>
        <v>-22758.037637623533</v>
      </c>
      <c r="R941" s="52">
        <f t="shared" si="314"/>
        <v>7845.1848363602039</v>
      </c>
      <c r="T941" s="6">
        <v>938</v>
      </c>
      <c r="U941" s="52">
        <f t="shared" si="300"/>
        <v>-8940.0537680336183</v>
      </c>
      <c r="V941" s="52">
        <f t="shared" si="301"/>
        <v>-18078.30737662828</v>
      </c>
      <c r="X941" s="6">
        <v>937</v>
      </c>
      <c r="Y941" s="55">
        <v>468.5</v>
      </c>
      <c r="Z941" s="52">
        <f t="shared" si="315"/>
        <v>101139.81181659253</v>
      </c>
      <c r="AA941" s="52">
        <f t="shared" si="316"/>
        <v>-324747.48822826776</v>
      </c>
      <c r="AB941" s="52">
        <f t="shared" si="317"/>
        <v>630.65312437760383</v>
      </c>
      <c r="AC941" s="52">
        <f t="shared" si="318"/>
        <v>-648.9015127749052</v>
      </c>
      <c r="AD941" s="52">
        <f t="shared" si="302"/>
        <v>-3.1235188744669853</v>
      </c>
      <c r="AE941" s="52">
        <f t="shared" si="303"/>
        <v>10.288414086211676</v>
      </c>
      <c r="AF941" s="52">
        <f t="shared" si="304"/>
        <v>-1.0606026652680949</v>
      </c>
      <c r="AG941" s="52">
        <f t="shared" si="305"/>
        <v>4.3429059502880305</v>
      </c>
      <c r="AH941" s="52">
        <f t="shared" si="306"/>
        <v>-0.48195321106493744</v>
      </c>
      <c r="AI941" s="52">
        <f t="shared" si="307"/>
        <v>1.3317886533602674</v>
      </c>
      <c r="AJ941" s="52">
        <f t="shared" si="308"/>
        <v>-1.580962998133953</v>
      </c>
      <c r="AK941" s="52">
        <f t="shared" si="309"/>
        <v>4.6137194825633774</v>
      </c>
      <c r="AM941" s="52">
        <f t="shared" si="310"/>
        <v>342011.78707118408</v>
      </c>
      <c r="AN941" s="57">
        <f t="shared" si="311"/>
        <v>355992.60509467567</v>
      </c>
      <c r="AO941" s="57">
        <f t="shared" si="312"/>
        <v>327428.10831720382</v>
      </c>
    </row>
    <row r="942" spans="12:41" x14ac:dyDescent="0.25">
      <c r="L942" s="6">
        <v>939</v>
      </c>
      <c r="M942" s="52">
        <f t="shared" si="298"/>
        <v>16114.270192715145</v>
      </c>
      <c r="N942" s="52">
        <f t="shared" si="299"/>
        <v>4353.3980447508147</v>
      </c>
      <c r="P942" s="6">
        <v>939</v>
      </c>
      <c r="Q942" s="52">
        <f t="shared" si="313"/>
        <v>-22720.010865099401</v>
      </c>
      <c r="R942" s="52">
        <f t="shared" si="314"/>
        <v>7797.3786313255696</v>
      </c>
      <c r="T942" s="6">
        <v>939</v>
      </c>
      <c r="U942" s="52">
        <f t="shared" si="300"/>
        <v>-8885.7298072848553</v>
      </c>
      <c r="V942" s="52">
        <f t="shared" si="301"/>
        <v>-18146.601955249185</v>
      </c>
      <c r="X942" s="6">
        <v>938</v>
      </c>
      <c r="Y942" s="55">
        <v>469</v>
      </c>
      <c r="Z942" s="52">
        <f t="shared" si="315"/>
        <v>101454.74793892201</v>
      </c>
      <c r="AA942" s="52">
        <f t="shared" si="316"/>
        <v>-325070.65293289442</v>
      </c>
      <c r="AB942" s="52">
        <f t="shared" si="317"/>
        <v>629.09136494037034</v>
      </c>
      <c r="AC942" s="52">
        <f t="shared" si="318"/>
        <v>-643.75730573179931</v>
      </c>
      <c r="AD942" s="52">
        <f t="shared" si="302"/>
        <v>-3.122385507790117</v>
      </c>
      <c r="AE942" s="52">
        <f t="shared" si="303"/>
        <v>10.262154701058854</v>
      </c>
      <c r="AF942" s="52">
        <f t="shared" si="304"/>
        <v>-1.0611001229457007</v>
      </c>
      <c r="AG942" s="52">
        <f t="shared" si="305"/>
        <v>4.3323534802395764</v>
      </c>
      <c r="AH942" s="52">
        <f t="shared" si="306"/>
        <v>-0.48153668019220935</v>
      </c>
      <c r="AI942" s="52">
        <f t="shared" si="307"/>
        <v>1.3284685249545134</v>
      </c>
      <c r="AJ942" s="52">
        <f t="shared" si="308"/>
        <v>-1.579748704652207</v>
      </c>
      <c r="AK942" s="52">
        <f t="shared" si="309"/>
        <v>4.6013326958647642</v>
      </c>
      <c r="AM942" s="52">
        <f t="shared" si="310"/>
        <v>342400.51862403046</v>
      </c>
      <c r="AN942" s="57">
        <f t="shared" si="311"/>
        <v>356403.7012346859</v>
      </c>
      <c r="AO942" s="57">
        <f t="shared" si="312"/>
        <v>327835.9699132645</v>
      </c>
    </row>
    <row r="943" spans="12:41" x14ac:dyDescent="0.25">
      <c r="L943" s="6">
        <v>940</v>
      </c>
      <c r="M943" s="52">
        <f t="shared" si="298"/>
        <v>16169.777784405105</v>
      </c>
      <c r="N943" s="52">
        <f t="shared" si="299"/>
        <v>4286.0619515673088</v>
      </c>
      <c r="P943" s="6">
        <v>940</v>
      </c>
      <c r="Q943" s="52">
        <f t="shared" si="313"/>
        <v>-22681.155550916425</v>
      </c>
      <c r="R943" s="52">
        <f t="shared" si="314"/>
        <v>7750.2433660971164</v>
      </c>
      <c r="T943" s="6">
        <v>940</v>
      </c>
      <c r="U943" s="52">
        <f t="shared" si="300"/>
        <v>-8830.2222155948948</v>
      </c>
      <c r="V943" s="52">
        <f t="shared" si="301"/>
        <v>-18213.93804843269</v>
      </c>
      <c r="X943" s="6">
        <v>939</v>
      </c>
      <c r="Y943" s="55">
        <v>469.5</v>
      </c>
      <c r="Z943" s="52">
        <f t="shared" si="315"/>
        <v>101768.90332320372</v>
      </c>
      <c r="AA943" s="52">
        <f t="shared" si="316"/>
        <v>-325391.24881642265</v>
      </c>
      <c r="AB943" s="52">
        <f t="shared" si="317"/>
        <v>627.53017218647528</v>
      </c>
      <c r="AC943" s="52">
        <f t="shared" si="318"/>
        <v>-638.62622838126993</v>
      </c>
      <c r="AD943" s="52">
        <f t="shared" si="302"/>
        <v>-3.1212802550467988</v>
      </c>
      <c r="AE943" s="52">
        <f t="shared" si="303"/>
        <v>10.236145890933841</v>
      </c>
      <c r="AF943" s="52">
        <f t="shared" si="304"/>
        <v>-1.0615993670657196</v>
      </c>
      <c r="AG943" s="52">
        <f t="shared" si="305"/>
        <v>4.3219014158521443</v>
      </c>
      <c r="AH943" s="52">
        <f t="shared" si="306"/>
        <v>-0.48112655643390184</v>
      </c>
      <c r="AI943" s="52">
        <f t="shared" si="307"/>
        <v>1.3251793536549188</v>
      </c>
      <c r="AJ943" s="52">
        <f t="shared" si="308"/>
        <v>-1.5785543315471775</v>
      </c>
      <c r="AK943" s="52">
        <f t="shared" si="309"/>
        <v>4.5890651214267768</v>
      </c>
      <c r="AM943" s="52">
        <f t="shared" si="310"/>
        <v>342786.72245178465</v>
      </c>
      <c r="AN943" s="57">
        <f t="shared" si="311"/>
        <v>356812.21335483354</v>
      </c>
      <c r="AO943" s="57">
        <f t="shared" si="312"/>
        <v>328241.26196847652</v>
      </c>
    </row>
    <row r="944" spans="12:41" x14ac:dyDescent="0.25">
      <c r="L944" s="6">
        <v>941</v>
      </c>
      <c r="M944" s="52">
        <f t="shared" si="298"/>
        <v>16226.452098886131</v>
      </c>
      <c r="N944" s="52">
        <f t="shared" si="299"/>
        <v>4219.7048550474728</v>
      </c>
      <c r="P944" s="6">
        <v>941</v>
      </c>
      <c r="Q944" s="52">
        <f t="shared" si="313"/>
        <v>-22641.483530779708</v>
      </c>
      <c r="R944" s="52">
        <f t="shared" si="314"/>
        <v>7703.7933985332311</v>
      </c>
      <c r="T944" s="6">
        <v>941</v>
      </c>
      <c r="U944" s="52">
        <f t="shared" si="300"/>
        <v>-8773.5479011138686</v>
      </c>
      <c r="V944" s="52">
        <f t="shared" si="301"/>
        <v>-18280.295144952528</v>
      </c>
      <c r="X944" s="6">
        <v>940</v>
      </c>
      <c r="Y944" s="55">
        <v>470</v>
      </c>
      <c r="Z944" s="52">
        <f t="shared" si="315"/>
        <v>102082.27824926507</v>
      </c>
      <c r="AA944" s="52">
        <f t="shared" si="316"/>
        <v>-325709.28241237695</v>
      </c>
      <c r="AB944" s="52">
        <f t="shared" si="317"/>
        <v>625.96953205895193</v>
      </c>
      <c r="AC944" s="52">
        <f t="shared" si="318"/>
        <v>-633.50815543580302</v>
      </c>
      <c r="AD944" s="52">
        <f t="shared" si="302"/>
        <v>-3.1202030830836236</v>
      </c>
      <c r="AE944" s="52">
        <f t="shared" si="303"/>
        <v>10.210385107452476</v>
      </c>
      <c r="AF944" s="52">
        <f t="shared" si="304"/>
        <v>-1.0621005017087819</v>
      </c>
      <c r="AG944" s="52">
        <f t="shared" si="305"/>
        <v>4.3115487724340484</v>
      </c>
      <c r="AH944" s="52">
        <f t="shared" si="306"/>
        <v>-0.48072280070650059</v>
      </c>
      <c r="AI944" s="52">
        <f t="shared" si="307"/>
        <v>1.3219208289588005</v>
      </c>
      <c r="AJ944" s="52">
        <f t="shared" si="308"/>
        <v>-1.5773797806683409</v>
      </c>
      <c r="AK944" s="52">
        <f t="shared" si="309"/>
        <v>4.5769155060596267</v>
      </c>
      <c r="AM944" s="52">
        <f t="shared" si="310"/>
        <v>343170.40415566281</v>
      </c>
      <c r="AN944" s="57">
        <f t="shared" si="311"/>
        <v>357218.14757982839</v>
      </c>
      <c r="AO944" s="57">
        <f t="shared" si="312"/>
        <v>328643.9905007655</v>
      </c>
    </row>
    <row r="945" spans="12:41" x14ac:dyDescent="0.25">
      <c r="L945" s="6">
        <v>942</v>
      </c>
      <c r="M945" s="52">
        <f t="shared" si="298"/>
        <v>16284.275872613029</v>
      </c>
      <c r="N945" s="52">
        <f t="shared" si="299"/>
        <v>4154.3469682057093</v>
      </c>
      <c r="P945" s="6">
        <v>942</v>
      </c>
      <c r="Q945" s="52">
        <f t="shared" si="313"/>
        <v>-22601.00688917088</v>
      </c>
      <c r="R945" s="52">
        <f t="shared" si="314"/>
        <v>7658.0428777439965</v>
      </c>
      <c r="T945" s="6">
        <v>942</v>
      </c>
      <c r="U945" s="52">
        <f t="shared" si="300"/>
        <v>-8715.7241273869713</v>
      </c>
      <c r="V945" s="52">
        <f t="shared" si="301"/>
        <v>-18345.653031794289</v>
      </c>
      <c r="X945" s="6">
        <v>941</v>
      </c>
      <c r="Y945" s="55">
        <v>470.5</v>
      </c>
      <c r="Z945" s="52">
        <f t="shared" si="315"/>
        <v>102394.87298990917</v>
      </c>
      <c r="AA945" s="52">
        <f t="shared" si="316"/>
        <v>-326024.76019195642</v>
      </c>
      <c r="AB945" s="52">
        <f t="shared" si="317"/>
        <v>624.4094305174101</v>
      </c>
      <c r="AC945" s="52">
        <f t="shared" si="318"/>
        <v>-628.40296288207674</v>
      </c>
      <c r="AD945" s="52">
        <f t="shared" si="302"/>
        <v>-3.1191539590681456</v>
      </c>
      <c r="AE945" s="52">
        <f t="shared" si="303"/>
        <v>10.184869840733477</v>
      </c>
      <c r="AF945" s="52">
        <f t="shared" si="304"/>
        <v>-1.0626036291877758</v>
      </c>
      <c r="AG945" s="52">
        <f t="shared" si="305"/>
        <v>4.3012945799110485</v>
      </c>
      <c r="AH945" s="52">
        <f t="shared" si="306"/>
        <v>-0.48032537454458946</v>
      </c>
      <c r="AI945" s="52">
        <f t="shared" si="307"/>
        <v>1.3186926449832914</v>
      </c>
      <c r="AJ945" s="52">
        <f t="shared" si="308"/>
        <v>-1.5762249553357803</v>
      </c>
      <c r="AK945" s="52">
        <f t="shared" si="309"/>
        <v>4.564882615839136</v>
      </c>
      <c r="AM945" s="52">
        <f t="shared" si="310"/>
        <v>343551.56928200065</v>
      </c>
      <c r="AN945" s="57">
        <f t="shared" si="311"/>
        <v>357621.50997427129</v>
      </c>
      <c r="AO945" s="57">
        <f t="shared" si="312"/>
        <v>329044.16146922094</v>
      </c>
    </row>
    <row r="946" spans="12:41" x14ac:dyDescent="0.25">
      <c r="L946" s="6">
        <v>943</v>
      </c>
      <c r="M946" s="52">
        <f t="shared" si="298"/>
        <v>16343.231491904144</v>
      </c>
      <c r="N946" s="52">
        <f t="shared" si="299"/>
        <v>4090.0081996875115</v>
      </c>
      <c r="P946" s="6">
        <v>943</v>
      </c>
      <c r="Q946" s="52">
        <f t="shared" si="313"/>
        <v>-22559.7379556671</v>
      </c>
      <c r="R946" s="52">
        <f t="shared" si="314"/>
        <v>7613.0057397812579</v>
      </c>
      <c r="T946" s="6">
        <v>943</v>
      </c>
      <c r="U946" s="52">
        <f t="shared" si="300"/>
        <v>-8656.7685080958563</v>
      </c>
      <c r="V946" s="52">
        <f t="shared" si="301"/>
        <v>-18409.991800312488</v>
      </c>
      <c r="X946" s="6">
        <v>942</v>
      </c>
      <c r="Y946" s="55">
        <v>471</v>
      </c>
      <c r="Z946" s="52">
        <f t="shared" si="315"/>
        <v>102706.68781092299</v>
      </c>
      <c r="AA946" s="52">
        <f t="shared" si="316"/>
        <v>-326337.68856466736</v>
      </c>
      <c r="AB946" s="52">
        <f t="shared" si="317"/>
        <v>622.84985353787602</v>
      </c>
      <c r="AC946" s="52">
        <f t="shared" si="318"/>
        <v>-623.31052796171002</v>
      </c>
      <c r="AD946" s="52">
        <f t="shared" si="302"/>
        <v>-3.1181328505129571</v>
      </c>
      <c r="AE946" s="52">
        <f t="shared" si="303"/>
        <v>10.15959761872239</v>
      </c>
      <c r="AF946" s="52">
        <f t="shared" si="304"/>
        <v>-1.0631088500936898</v>
      </c>
      <c r="AG946" s="52">
        <f t="shared" si="305"/>
        <v>4.2911378825769733</v>
      </c>
      <c r="AH946" s="52">
        <f t="shared" si="306"/>
        <v>-0.47993424009246194</v>
      </c>
      <c r="AI946" s="52">
        <f t="shared" si="307"/>
        <v>1.3154945003850853</v>
      </c>
      <c r="AJ946" s="52">
        <f t="shared" si="308"/>
        <v>-1.5750897603268055</v>
      </c>
      <c r="AK946" s="52">
        <f t="shared" si="309"/>
        <v>4.5529652357603325</v>
      </c>
      <c r="AM946" s="52">
        <f t="shared" si="310"/>
        <v>343930.22332277417</v>
      </c>
      <c r="AN946" s="57">
        <f t="shared" si="311"/>
        <v>358022.30654325226</v>
      </c>
      <c r="AO946" s="57">
        <f t="shared" si="312"/>
        <v>329441.78077467566</v>
      </c>
    </row>
    <row r="947" spans="12:41" x14ac:dyDescent="0.25">
      <c r="L947" s="6">
        <v>944</v>
      </c>
      <c r="M947" s="52">
        <f t="shared" si="298"/>
        <v>16403.300998306739</v>
      </c>
      <c r="N947" s="52">
        <f t="shared" si="299"/>
        <v>4026.7081477050215</v>
      </c>
      <c r="P947" s="6">
        <v>944</v>
      </c>
      <c r="Q947" s="52">
        <f t="shared" si="313"/>
        <v>-22517.689301185284</v>
      </c>
      <c r="R947" s="52">
        <f t="shared" si="314"/>
        <v>7568.695703393515</v>
      </c>
      <c r="T947" s="6">
        <v>944</v>
      </c>
      <c r="U947" s="52">
        <f t="shared" si="300"/>
        <v>-8596.6990016932632</v>
      </c>
      <c r="V947" s="52">
        <f t="shared" si="301"/>
        <v>-18473.291852294977</v>
      </c>
      <c r="X947" s="6">
        <v>943</v>
      </c>
      <c r="Y947" s="55">
        <v>471.5</v>
      </c>
      <c r="Z947" s="52">
        <f t="shared" si="315"/>
        <v>103017.72297108562</v>
      </c>
      <c r="AA947" s="52">
        <f t="shared" si="316"/>
        <v>-326648.0738789459</v>
      </c>
      <c r="AB947" s="52">
        <f t="shared" si="317"/>
        <v>621.29078711261957</v>
      </c>
      <c r="AC947" s="52">
        <f t="shared" si="318"/>
        <v>-618.23072915234877</v>
      </c>
      <c r="AD947" s="52">
        <f t="shared" si="302"/>
        <v>-3.1171397252988076</v>
      </c>
      <c r="AE947" s="52">
        <f t="shared" si="303"/>
        <v>10.134566006529496</v>
      </c>
      <c r="AF947" s="52">
        <f t="shared" si="304"/>
        <v>-1.0636162633403237</v>
      </c>
      <c r="AG947" s="52">
        <f t="shared" si="305"/>
        <v>4.2810777388495174</v>
      </c>
      <c r="AH947" s="52">
        <f t="shared" si="306"/>
        <v>-0.47954936009589111</v>
      </c>
      <c r="AI947" s="52">
        <f t="shared" si="307"/>
        <v>1.3123260982818539</v>
      </c>
      <c r="AJ947" s="52">
        <f t="shared" si="308"/>
        <v>-1.573974101862593</v>
      </c>
      <c r="AK947" s="52">
        <f t="shared" si="309"/>
        <v>4.5411621693981257</v>
      </c>
      <c r="AM947" s="52">
        <f t="shared" si="310"/>
        <v>344306.3717161119</v>
      </c>
      <c r="AN947" s="57">
        <f t="shared" si="311"/>
        <v>358420.54323293886</v>
      </c>
      <c r="AO947" s="57">
        <f t="shared" si="312"/>
        <v>329836.85426027689</v>
      </c>
    </row>
    <row r="948" spans="12:41" x14ac:dyDescent="0.25">
      <c r="L948" s="6">
        <v>945</v>
      </c>
      <c r="M948" s="52">
        <f t="shared" si="298"/>
        <v>16464.466094067251</v>
      </c>
      <c r="N948" s="52">
        <f t="shared" si="299"/>
        <v>3964.4660940672743</v>
      </c>
      <c r="P948" s="6">
        <v>945</v>
      </c>
      <c r="Q948" s="52">
        <f t="shared" si="313"/>
        <v>-22474.873734152923</v>
      </c>
      <c r="R948" s="52">
        <f t="shared" si="314"/>
        <v>7525.1262658470914</v>
      </c>
      <c r="T948" s="6">
        <v>945</v>
      </c>
      <c r="U948" s="52">
        <f t="shared" si="300"/>
        <v>-8535.5339059327489</v>
      </c>
      <c r="V948" s="52">
        <f t="shared" si="301"/>
        <v>-18535.533905932727</v>
      </c>
      <c r="X948" s="6">
        <v>944</v>
      </c>
      <c r="Y948" s="55">
        <v>472</v>
      </c>
      <c r="Z948" s="52">
        <f t="shared" si="315"/>
        <v>103327.97872217627</v>
      </c>
      <c r="AA948" s="52">
        <f t="shared" si="316"/>
        <v>-326955.92242277123</v>
      </c>
      <c r="AB948" s="52">
        <f t="shared" si="317"/>
        <v>619.73221724997018</v>
      </c>
      <c r="AC948" s="52">
        <f t="shared" si="318"/>
        <v>-613.16344614908405</v>
      </c>
      <c r="AD948" s="52">
        <f t="shared" si="302"/>
        <v>-3.1161745516970498</v>
      </c>
      <c r="AE948" s="52">
        <f t="shared" si="303"/>
        <v>10.109772605782023</v>
      </c>
      <c r="AF948" s="52">
        <f t="shared" si="304"/>
        <v>-1.0641259662078966</v>
      </c>
      <c r="AG948" s="52">
        <f t="shared" si="305"/>
        <v>4.2711132210310936</v>
      </c>
      <c r="AH948" s="52">
        <f t="shared" si="306"/>
        <v>-0.47917069789406302</v>
      </c>
      <c r="AI948" s="52">
        <f t="shared" si="307"/>
        <v>1.3091871461753242</v>
      </c>
      <c r="AJ948" s="52">
        <f t="shared" si="308"/>
        <v>-1.5728778875950902</v>
      </c>
      <c r="AK948" s="52">
        <f t="shared" si="309"/>
        <v>4.5294722385756057</v>
      </c>
      <c r="AM948" s="52">
        <f t="shared" si="310"/>
        <v>344680.01984679967</v>
      </c>
      <c r="AN948" s="57">
        <f t="shared" si="311"/>
        <v>358816.22593115573</v>
      </c>
      <c r="AO948" s="57">
        <f t="shared" si="312"/>
        <v>330229.38771204831</v>
      </c>
    </row>
    <row r="949" spans="12:41" x14ac:dyDescent="0.25">
      <c r="L949" s="6">
        <v>946</v>
      </c>
      <c r="M949" s="52">
        <f t="shared" si="298"/>
        <v>16526.708147705009</v>
      </c>
      <c r="N949" s="52">
        <f t="shared" si="299"/>
        <v>3903.3009983067473</v>
      </c>
      <c r="P949" s="6">
        <v>946</v>
      </c>
      <c r="Q949" s="52">
        <f t="shared" si="313"/>
        <v>-22431.304296606493</v>
      </c>
      <c r="R949" s="52">
        <f t="shared" si="314"/>
        <v>7482.3106988147229</v>
      </c>
      <c r="T949" s="6">
        <v>946</v>
      </c>
      <c r="U949" s="52">
        <f t="shared" si="300"/>
        <v>-8473.2918522949894</v>
      </c>
      <c r="V949" s="52">
        <f t="shared" si="301"/>
        <v>-18596.699001693254</v>
      </c>
      <c r="X949" s="6">
        <v>945</v>
      </c>
      <c r="Y949" s="55">
        <v>472.5</v>
      </c>
      <c r="Z949" s="52">
        <f t="shared" si="315"/>
        <v>103637.4553089823</v>
      </c>
      <c r="AA949" s="52">
        <f t="shared" si="316"/>
        <v>-327261.24042427004</v>
      </c>
      <c r="AB949" s="52">
        <f t="shared" si="317"/>
        <v>618.17412997412168</v>
      </c>
      <c r="AC949" s="52">
        <f t="shared" si="318"/>
        <v>-608.10855984619309</v>
      </c>
      <c r="AD949" s="52">
        <f t="shared" si="302"/>
        <v>-3.1152372983913423</v>
      </c>
      <c r="AE949" s="52">
        <f t="shared" si="303"/>
        <v>10.085215053990137</v>
      </c>
      <c r="AF949" s="52">
        <f t="shared" si="304"/>
        <v>-1.0646380543856098</v>
      </c>
      <c r="AG949" s="52">
        <f t="shared" si="305"/>
        <v>4.261243415074734</v>
      </c>
      <c r="AH949" s="52">
        <f t="shared" si="306"/>
        <v>-0.47879821741169132</v>
      </c>
      <c r="AI949" s="52">
        <f t="shared" si="307"/>
        <v>1.3060773558760292</v>
      </c>
      <c r="AJ949" s="52">
        <f t="shared" si="308"/>
        <v>-1.5718010265940412</v>
      </c>
      <c r="AK949" s="52">
        <f t="shared" si="309"/>
        <v>4.5178942830393725</v>
      </c>
      <c r="AM949" s="52">
        <f t="shared" si="310"/>
        <v>345051.1730467786</v>
      </c>
      <c r="AN949" s="57">
        <f t="shared" si="311"/>
        <v>359209.36046795588</v>
      </c>
      <c r="AO949" s="57">
        <f t="shared" si="312"/>
        <v>330619.38685944432</v>
      </c>
    </row>
    <row r="950" spans="12:41" x14ac:dyDescent="0.25">
      <c r="L950" s="6">
        <v>947</v>
      </c>
      <c r="M950" s="52">
        <f t="shared" si="298"/>
        <v>16590.008199687501</v>
      </c>
      <c r="N950" s="52">
        <f t="shared" si="299"/>
        <v>3843.2314919041542</v>
      </c>
      <c r="P950" s="6">
        <v>947</v>
      </c>
      <c r="Q950" s="52">
        <f t="shared" si="313"/>
        <v>-22386.994260218751</v>
      </c>
      <c r="R950" s="52">
        <f t="shared" si="314"/>
        <v>7440.2620443329079</v>
      </c>
      <c r="T950" s="6">
        <v>947</v>
      </c>
      <c r="U950" s="52">
        <f t="shared" si="300"/>
        <v>-8409.9918003124985</v>
      </c>
      <c r="V950" s="52">
        <f t="shared" si="301"/>
        <v>-18656.768508095847</v>
      </c>
      <c r="X950" s="6">
        <v>946</v>
      </c>
      <c r="Y950" s="55">
        <v>473</v>
      </c>
      <c r="Z950" s="52">
        <f t="shared" si="315"/>
        <v>103946.15296930706</v>
      </c>
      <c r="AA950" s="52">
        <f t="shared" si="316"/>
        <v>-327564.03405231138</v>
      </c>
      <c r="AB950" s="52">
        <f t="shared" si="317"/>
        <v>616.61651132492602</v>
      </c>
      <c r="AC950" s="52">
        <f t="shared" si="318"/>
        <v>-603.065952319198</v>
      </c>
      <c r="AD950" s="52">
        <f t="shared" si="302"/>
        <v>-3.1143279344986459</v>
      </c>
      <c r="AE950" s="52">
        <f t="shared" si="303"/>
        <v>10.060891023926292</v>
      </c>
      <c r="AF950" s="52">
        <f t="shared" si="304"/>
        <v>-1.0651526220131537</v>
      </c>
      <c r="AG950" s="52">
        <f t="shared" si="305"/>
        <v>4.2514674203547385</v>
      </c>
      <c r="AH950" s="52">
        <f t="shared" si="306"/>
        <v>-0.47843188315123547</v>
      </c>
      <c r="AI950" s="52">
        <f t="shared" si="307"/>
        <v>1.3029964434294938</v>
      </c>
      <c r="AJ950" s="52">
        <f t="shared" si="308"/>
        <v>-1.5707434293342564</v>
      </c>
      <c r="AK950" s="52">
        <f t="shared" si="309"/>
        <v>4.5064271601420609</v>
      </c>
      <c r="AM950" s="52">
        <f t="shared" si="310"/>
        <v>345419.83659563441</v>
      </c>
      <c r="AN950" s="57">
        <f t="shared" si="311"/>
        <v>359599.9526161828</v>
      </c>
      <c r="AO950" s="57">
        <f t="shared" si="312"/>
        <v>331006.85737589502</v>
      </c>
    </row>
    <row r="951" spans="12:41" x14ac:dyDescent="0.25">
      <c r="L951" s="6">
        <v>948</v>
      </c>
      <c r="M951" s="52">
        <f t="shared" si="298"/>
        <v>16654.346968205711</v>
      </c>
      <c r="N951" s="52">
        <f t="shared" si="299"/>
        <v>3784.2758726130273</v>
      </c>
      <c r="P951" s="6">
        <v>948</v>
      </c>
      <c r="Q951" s="52">
        <f t="shared" si="313"/>
        <v>-22341.957122256001</v>
      </c>
      <c r="R951" s="52">
        <f t="shared" si="314"/>
        <v>7398.9931108291185</v>
      </c>
      <c r="T951" s="6">
        <v>948</v>
      </c>
      <c r="U951" s="52">
        <f t="shared" si="300"/>
        <v>-8345.6530317942888</v>
      </c>
      <c r="V951" s="52">
        <f t="shared" si="301"/>
        <v>-18715.724127386973</v>
      </c>
      <c r="X951" s="6">
        <v>947</v>
      </c>
      <c r="Y951" s="55">
        <v>473.5</v>
      </c>
      <c r="Z951" s="52">
        <f t="shared" si="315"/>
        <v>104254.07193397771</v>
      </c>
      <c r="AA951" s="52">
        <f t="shared" si="316"/>
        <v>-327864.309417093</v>
      </c>
      <c r="AB951" s="52">
        <f t="shared" si="317"/>
        <v>615.05934735767676</v>
      </c>
      <c r="AC951" s="52">
        <f t="shared" si="318"/>
        <v>-598.03550680723481</v>
      </c>
      <c r="AD951" s="52">
        <f t="shared" si="302"/>
        <v>-3.1134464295895734</v>
      </c>
      <c r="AE951" s="52">
        <f t="shared" si="303"/>
        <v>10.036798223017785</v>
      </c>
      <c r="AF951" s="52">
        <f t="shared" si="304"/>
        <v>-1.0656697617212039</v>
      </c>
      <c r="AG951" s="52">
        <f t="shared" si="305"/>
        <v>4.2417843494420291</v>
      </c>
      <c r="AH951" s="52">
        <f t="shared" si="306"/>
        <v>-0.47807166018534747</v>
      </c>
      <c r="AI951" s="52">
        <f t="shared" si="307"/>
        <v>1.299944129044164</v>
      </c>
      <c r="AJ951" s="52">
        <f t="shared" si="308"/>
        <v>-1.5697050076830219</v>
      </c>
      <c r="AK951" s="52">
        <f t="shared" si="309"/>
        <v>4.4950697445315919</v>
      </c>
      <c r="AM951" s="52">
        <f t="shared" si="310"/>
        <v>345786.01572108088</v>
      </c>
      <c r="AN951" s="57">
        <f t="shared" si="311"/>
        <v>359988.00809202419</v>
      </c>
      <c r="AO951" s="57">
        <f t="shared" si="312"/>
        <v>331391.80487934407</v>
      </c>
    </row>
    <row r="952" spans="12:41" x14ac:dyDescent="0.25">
      <c r="L952" s="6">
        <v>949</v>
      </c>
      <c r="M952" s="52">
        <f t="shared" si="298"/>
        <v>16719.704855047461</v>
      </c>
      <c r="N952" s="52">
        <f t="shared" si="299"/>
        <v>3726.4520988861418</v>
      </c>
      <c r="P952" s="6">
        <v>949</v>
      </c>
      <c r="Q952" s="52">
        <f t="shared" si="313"/>
        <v>-22296.206601466776</v>
      </c>
      <c r="R952" s="52">
        <f t="shared" si="314"/>
        <v>7358.5164692202998</v>
      </c>
      <c r="T952" s="6">
        <v>949</v>
      </c>
      <c r="U952" s="52">
        <f t="shared" si="300"/>
        <v>-8280.295144952539</v>
      </c>
      <c r="V952" s="52">
        <f t="shared" si="301"/>
        <v>-18773.54790111386</v>
      </c>
      <c r="X952" s="6">
        <v>948</v>
      </c>
      <c r="Y952" s="55">
        <v>474</v>
      </c>
      <c r="Z952" s="52">
        <f t="shared" si="315"/>
        <v>104561.21242685286</v>
      </c>
      <c r="AA952" s="52">
        <f t="shared" si="316"/>
        <v>-328162.07257071877</v>
      </c>
      <c r="AB952" s="52">
        <f t="shared" si="317"/>
        <v>613.50262414288193</v>
      </c>
      <c r="AC952" s="52">
        <f t="shared" si="318"/>
        <v>-593.01710769572594</v>
      </c>
      <c r="AD952" s="52">
        <f t="shared" si="302"/>
        <v>-3.112592753708014</v>
      </c>
      <c r="AE952" s="52">
        <f t="shared" si="303"/>
        <v>10.012934392751905</v>
      </c>
      <c r="AF952" s="52">
        <f t="shared" si="304"/>
        <v>-1.0661895646709809</v>
      </c>
      <c r="AG952" s="52">
        <f t="shared" si="305"/>
        <v>4.2321933278843025</v>
      </c>
      <c r="AH952" s="52">
        <f t="shared" si="306"/>
        <v>-0.47771751414938329</v>
      </c>
      <c r="AI952" s="52">
        <f t="shared" si="307"/>
        <v>1.2969201370206085</v>
      </c>
      <c r="AJ952" s="52">
        <f t="shared" si="308"/>
        <v>-1.5686856748876499</v>
      </c>
      <c r="AK952" s="52">
        <f t="shared" si="309"/>
        <v>4.4838209278469954</v>
      </c>
      <c r="AM952" s="52">
        <f t="shared" si="310"/>
        <v>346149.71559943509</v>
      </c>
      <c r="AN952" s="57">
        <f t="shared" si="311"/>
        <v>360373.53255555773</v>
      </c>
      <c r="AO952" s="57">
        <f t="shared" si="312"/>
        <v>331774.23493277788</v>
      </c>
    </row>
    <row r="953" spans="12:41" x14ac:dyDescent="0.25">
      <c r="L953" s="6">
        <v>950</v>
      </c>
      <c r="M953" s="52">
        <f t="shared" si="298"/>
        <v>16786.061951567295</v>
      </c>
      <c r="N953" s="52">
        <f t="shared" si="299"/>
        <v>3669.7777844051147</v>
      </c>
      <c r="P953" s="6">
        <v>950</v>
      </c>
      <c r="Q953" s="52">
        <f t="shared" si="313"/>
        <v>-22249.756633902893</v>
      </c>
      <c r="R953" s="52">
        <f t="shared" si="314"/>
        <v>7318.8444490835809</v>
      </c>
      <c r="T953" s="6">
        <v>950</v>
      </c>
      <c r="U953" s="52">
        <f t="shared" si="300"/>
        <v>-8213.938048432703</v>
      </c>
      <c r="V953" s="52">
        <f t="shared" si="301"/>
        <v>-18830.222215594884</v>
      </c>
      <c r="X953" s="6">
        <v>949</v>
      </c>
      <c r="Y953" s="55">
        <v>474.5</v>
      </c>
      <c r="Z953" s="52">
        <f t="shared" si="315"/>
        <v>104867.57466483008</v>
      </c>
      <c r="AA953" s="52">
        <f t="shared" si="316"/>
        <v>-328457.32950776751</v>
      </c>
      <c r="AB953" s="52">
        <f t="shared" si="317"/>
        <v>611.94632776602793</v>
      </c>
      <c r="AC953" s="52">
        <f t="shared" si="318"/>
        <v>-588.01064049934996</v>
      </c>
      <c r="AD953" s="52">
        <f t="shared" si="302"/>
        <v>-3.1117668773901968</v>
      </c>
      <c r="AE953" s="52">
        <f t="shared" si="303"/>
        <v>9.9892973080937608</v>
      </c>
      <c r="AF953" s="52">
        <f t="shared" si="304"/>
        <v>-1.0667121205928485</v>
      </c>
      <c r="AG953" s="52">
        <f t="shared" si="305"/>
        <v>4.2226934939906178</v>
      </c>
      <c r="AH953" s="52">
        <f t="shared" si="306"/>
        <v>-0.47736941123414717</v>
      </c>
      <c r="AI953" s="52">
        <f t="shared" si="307"/>
        <v>1.2939241956824195</v>
      </c>
      <c r="AJ953" s="52">
        <f t="shared" si="308"/>
        <v>-1.5676853455632012</v>
      </c>
      <c r="AK953" s="52">
        <f t="shared" si="309"/>
        <v>4.4726796184207247</v>
      </c>
      <c r="AM953" s="52">
        <f t="shared" si="310"/>
        <v>346510.94135608646</v>
      </c>
      <c r="AN953" s="57">
        <f t="shared" si="311"/>
        <v>360756.53161128826</v>
      </c>
      <c r="AO953" s="57">
        <f t="shared" si="312"/>
        <v>332154.1530447469</v>
      </c>
    </row>
    <row r="954" spans="12:41" x14ac:dyDescent="0.25">
      <c r="L954" s="6">
        <v>951</v>
      </c>
      <c r="M954" s="52">
        <f t="shared" si="298"/>
        <v>16853.398044750815</v>
      </c>
      <c r="N954" s="52">
        <f t="shared" si="299"/>
        <v>3614.2701927151429</v>
      </c>
      <c r="P954" s="6">
        <v>951</v>
      </c>
      <c r="Q954" s="52">
        <f t="shared" si="313"/>
        <v>-22202.62136867443</v>
      </c>
      <c r="R954" s="52">
        <f t="shared" si="314"/>
        <v>7279.9891349005993</v>
      </c>
      <c r="T954" s="6">
        <v>951</v>
      </c>
      <c r="U954" s="52">
        <f t="shared" si="300"/>
        <v>-8146.6019552491844</v>
      </c>
      <c r="V954" s="52">
        <f t="shared" si="301"/>
        <v>-18885.729807284857</v>
      </c>
      <c r="X954" s="6">
        <v>950</v>
      </c>
      <c r="Y954" s="55">
        <v>475</v>
      </c>
      <c r="Z954" s="52">
        <f t="shared" si="315"/>
        <v>105173.15885785343</v>
      </c>
      <c r="AA954" s="52">
        <f t="shared" si="316"/>
        <v>-328750.08616585366</v>
      </c>
      <c r="AB954" s="52">
        <f t="shared" si="317"/>
        <v>610.39044432733283</v>
      </c>
      <c r="AC954" s="52">
        <f t="shared" si="318"/>
        <v>-583.01599184530312</v>
      </c>
      <c r="AD954" s="52">
        <f t="shared" si="302"/>
        <v>-3.1109687716831207</v>
      </c>
      <c r="AE954" s="52">
        <f t="shared" si="303"/>
        <v>9.9658847769161003</v>
      </c>
      <c r="AF954" s="52">
        <f t="shared" si="304"/>
        <v>-1.0672375178238998</v>
      </c>
      <c r="AG954" s="52">
        <f t="shared" si="305"/>
        <v>4.2132839986200574</v>
      </c>
      <c r="AH954" s="52">
        <f t="shared" si="306"/>
        <v>-0.47702731817869809</v>
      </c>
      <c r="AI954" s="52">
        <f t="shared" si="307"/>
        <v>1.2909560373083262</v>
      </c>
      <c r="AJ954" s="52">
        <f t="shared" si="308"/>
        <v>-1.5667039356805226</v>
      </c>
      <c r="AK954" s="52">
        <f t="shared" si="309"/>
        <v>4.4616447409877171</v>
      </c>
      <c r="AM954" s="52">
        <f t="shared" si="310"/>
        <v>346869.69806595839</v>
      </c>
      <c r="AN954" s="57">
        <f t="shared" si="311"/>
        <v>361137.0108086773</v>
      </c>
      <c r="AO954" s="57">
        <f t="shared" si="312"/>
        <v>332531.56466987974</v>
      </c>
    </row>
    <row r="955" spans="12:41" x14ac:dyDescent="0.25">
      <c r="L955" s="6">
        <v>952</v>
      </c>
      <c r="M955" s="52">
        <f t="shared" si="298"/>
        <v>16921.692623371706</v>
      </c>
      <c r="N955" s="52">
        <f t="shared" si="299"/>
        <v>3559.9462319663912</v>
      </c>
      <c r="P955" s="6">
        <v>952</v>
      </c>
      <c r="Q955" s="52">
        <f t="shared" si="313"/>
        <v>-22154.815163639803</v>
      </c>
      <c r="R955" s="52">
        <f t="shared" si="314"/>
        <v>7241.9623623764737</v>
      </c>
      <c r="T955" s="6">
        <v>952</v>
      </c>
      <c r="U955" s="52">
        <f t="shared" si="300"/>
        <v>-8078.3073766282923</v>
      </c>
      <c r="V955" s="52">
        <f t="shared" si="301"/>
        <v>-18940.053768033609</v>
      </c>
      <c r="X955" s="6">
        <v>951</v>
      </c>
      <c r="Y955" s="55">
        <v>475.5</v>
      </c>
      <c r="Z955" s="52">
        <f t="shared" si="315"/>
        <v>105477.96520892062</v>
      </c>
      <c r="AA955" s="52">
        <f t="shared" si="316"/>
        <v>-329040.3484261792</v>
      </c>
      <c r="AB955" s="52">
        <f t="shared" si="317"/>
        <v>608.83495994149132</v>
      </c>
      <c r="AC955" s="52">
        <f t="shared" si="318"/>
        <v>-578.03304945684511</v>
      </c>
      <c r="AD955" s="52">
        <f t="shared" si="302"/>
        <v>-3.1101984081624767</v>
      </c>
      <c r="AE955" s="52">
        <f t="shared" si="303"/>
        <v>9.9426946394414593</v>
      </c>
      <c r="AF955" s="52">
        <f t="shared" si="304"/>
        <v>-1.0677658433448582</v>
      </c>
      <c r="AG955" s="52">
        <f t="shared" si="305"/>
        <v>4.2039640049755151</v>
      </c>
      <c r="AH955" s="52">
        <f t="shared" si="306"/>
        <v>-0.47669120226336864</v>
      </c>
      <c r="AI955" s="52">
        <f t="shared" si="307"/>
        <v>1.2880153980658977</v>
      </c>
      <c r="AJ955" s="52">
        <f t="shared" si="308"/>
        <v>-1.56574136255425</v>
      </c>
      <c r="AK955" s="52">
        <f t="shared" si="309"/>
        <v>4.4507152364000468</v>
      </c>
      <c r="AM955" s="52">
        <f t="shared" si="310"/>
        <v>347225.99075396353</v>
      </c>
      <c r="AN955" s="57">
        <f t="shared" si="311"/>
        <v>361514.97564266418</v>
      </c>
      <c r="AO955" s="57">
        <f t="shared" si="312"/>
        <v>332906.47520938894</v>
      </c>
    </row>
    <row r="956" spans="12:41" x14ac:dyDescent="0.25">
      <c r="L956" s="6">
        <v>953</v>
      </c>
      <c r="M956" s="52">
        <f t="shared" si="298"/>
        <v>16990.924884239754</v>
      </c>
      <c r="N956" s="52">
        <f t="shared" si="299"/>
        <v>3506.8224497635397</v>
      </c>
      <c r="P956" s="6">
        <v>953</v>
      </c>
      <c r="Q956" s="52">
        <f t="shared" si="313"/>
        <v>-22106.352581032173</v>
      </c>
      <c r="R956" s="52">
        <f t="shared" si="314"/>
        <v>7204.7757148344772</v>
      </c>
      <c r="T956" s="6">
        <v>953</v>
      </c>
      <c r="U956" s="52">
        <f t="shared" si="300"/>
        <v>-8009.0751157602463</v>
      </c>
      <c r="V956" s="52">
        <f t="shared" si="301"/>
        <v>-18993.177550236462</v>
      </c>
      <c r="X956" s="6">
        <v>952</v>
      </c>
      <c r="Y956" s="55">
        <v>476</v>
      </c>
      <c r="Z956" s="52">
        <f t="shared" si="315"/>
        <v>105781.99391409034</v>
      </c>
      <c r="AA956" s="52">
        <f t="shared" si="316"/>
        <v>-329328.12211407773</v>
      </c>
      <c r="AB956" s="52">
        <f t="shared" si="317"/>
        <v>607.2798607374101</v>
      </c>
      <c r="AC956" s="52">
        <f t="shared" si="318"/>
        <v>-573.06170213712437</v>
      </c>
      <c r="AD956" s="52">
        <f t="shared" si="302"/>
        <v>-3.1094557589497951</v>
      </c>
      <c r="AE956" s="52">
        <f t="shared" si="303"/>
        <v>9.9197247676950049</v>
      </c>
      <c r="AF956" s="52">
        <f t="shared" si="304"/>
        <v>-1.0682971828158287</v>
      </c>
      <c r="AG956" s="52">
        <f t="shared" si="305"/>
        <v>4.19473268840059</v>
      </c>
      <c r="AH956" s="52">
        <f t="shared" si="306"/>
        <v>-0.47636103130286306</v>
      </c>
      <c r="AI956" s="52">
        <f t="shared" si="307"/>
        <v>1.2851020179464527</v>
      </c>
      <c r="AJ956" s="52">
        <f t="shared" si="308"/>
        <v>-1.5647975448311033</v>
      </c>
      <c r="AK956" s="52">
        <f t="shared" si="309"/>
        <v>4.4398900613479615</v>
      </c>
      <c r="AM956" s="52">
        <f t="shared" si="310"/>
        <v>347579.82439545175</v>
      </c>
      <c r="AN956" s="57">
        <f t="shared" si="311"/>
        <v>361890.4315541801</v>
      </c>
      <c r="AO956" s="57">
        <f t="shared" si="312"/>
        <v>333278.89001156989</v>
      </c>
    </row>
    <row r="957" spans="12:41" x14ac:dyDescent="0.25">
      <c r="L957" s="6">
        <v>954</v>
      </c>
      <c r="M957" s="52">
        <f t="shared" si="298"/>
        <v>17061.073738537638</v>
      </c>
      <c r="N957" s="52">
        <f t="shared" si="299"/>
        <v>3454.9150281252596</v>
      </c>
      <c r="P957" s="6">
        <v>954</v>
      </c>
      <c r="Q957" s="52">
        <f t="shared" si="313"/>
        <v>-22057.248383023652</v>
      </c>
      <c r="R957" s="52">
        <f t="shared" si="314"/>
        <v>7168.4405196876814</v>
      </c>
      <c r="T957" s="6">
        <v>954</v>
      </c>
      <c r="U957" s="52">
        <f t="shared" si="300"/>
        <v>-7938.9262614623613</v>
      </c>
      <c r="V957" s="52">
        <f t="shared" si="301"/>
        <v>-19045.084971874741</v>
      </c>
      <c r="X957" s="6">
        <v>953</v>
      </c>
      <c r="Y957" s="55">
        <v>476.5</v>
      </c>
      <c r="Z957" s="52">
        <f t="shared" si="315"/>
        <v>106085.24516248918</v>
      </c>
      <c r="AA957" s="52">
        <f t="shared" si="316"/>
        <v>-329613.41299955035</v>
      </c>
      <c r="AB957" s="52">
        <f t="shared" si="317"/>
        <v>605.72513285793525</v>
      </c>
      <c r="AC957" s="52">
        <f t="shared" si="318"/>
        <v>-568.10183975327686</v>
      </c>
      <c r="AD957" s="52">
        <f t="shared" si="302"/>
        <v>-3.1087407967293865</v>
      </c>
      <c r="AE957" s="52">
        <f t="shared" si="303"/>
        <v>9.8969730649699663</v>
      </c>
      <c r="AF957" s="52">
        <f t="shared" si="304"/>
        <v>-1.0688316206114754</v>
      </c>
      <c r="AG957" s="52">
        <f t="shared" si="305"/>
        <v>4.1855892361816709</v>
      </c>
      <c r="AH957" s="52">
        <f t="shared" si="306"/>
        <v>-0.47603677363952995</v>
      </c>
      <c r="AI957" s="52">
        <f t="shared" si="307"/>
        <v>1.2822156407014078</v>
      </c>
      <c r="AJ957" s="52">
        <f t="shared" si="308"/>
        <v>-1.5638724024783812</v>
      </c>
      <c r="AK957" s="52">
        <f t="shared" si="309"/>
        <v>4.4291681880868881</v>
      </c>
      <c r="AM957" s="52">
        <f t="shared" si="310"/>
        <v>347931.20391665254</v>
      </c>
      <c r="AN957" s="57">
        <f t="shared" si="311"/>
        <v>362263.38393065362</v>
      </c>
      <c r="AO957" s="57">
        <f t="shared" si="312"/>
        <v>333648.81437229167</v>
      </c>
    </row>
    <row r="958" spans="12:41" x14ac:dyDescent="0.25">
      <c r="L958" s="6">
        <v>955</v>
      </c>
      <c r="M958" s="52">
        <f t="shared" si="298"/>
        <v>17132.117818244769</v>
      </c>
      <c r="N958" s="52">
        <f t="shared" si="299"/>
        <v>3404.2397785550411</v>
      </c>
      <c r="P958" s="6">
        <v>955</v>
      </c>
      <c r="Q958" s="52">
        <f t="shared" si="313"/>
        <v>-22007.517527228661</v>
      </c>
      <c r="R958" s="52">
        <f t="shared" si="314"/>
        <v>7132.9678449885287</v>
      </c>
      <c r="T958" s="6">
        <v>955</v>
      </c>
      <c r="U958" s="52">
        <f t="shared" si="300"/>
        <v>-7867.8821817552307</v>
      </c>
      <c r="V958" s="52">
        <f t="shared" si="301"/>
        <v>-19095.760221444958</v>
      </c>
      <c r="X958" s="6">
        <v>954</v>
      </c>
      <c r="Y958" s="55">
        <v>477</v>
      </c>
      <c r="Z958" s="52">
        <f t="shared" si="315"/>
        <v>106387.71913631857</v>
      </c>
      <c r="AA958" s="52">
        <f t="shared" si="316"/>
        <v>-329896.22679779388</v>
      </c>
      <c r="AB958" s="52">
        <f t="shared" si="317"/>
        <v>604.1707624595706</v>
      </c>
      <c r="AC958" s="52">
        <f t="shared" si="318"/>
        <v>-563.15335322079193</v>
      </c>
      <c r="AD958" s="52">
        <f t="shared" si="302"/>
        <v>-3.1080534947644369</v>
      </c>
      <c r="AE958" s="52">
        <f t="shared" si="303"/>
        <v>9.8744374653029663</v>
      </c>
      <c r="AF958" s="52">
        <f t="shared" si="304"/>
        <v>-1.0693692398551538</v>
      </c>
      <c r="AG958" s="52">
        <f t="shared" si="305"/>
        <v>4.1765328473531627</v>
      </c>
      <c r="AH958" s="52">
        <f t="shared" si="306"/>
        <v>-0.47571839813676448</v>
      </c>
      <c r="AI958" s="52">
        <f t="shared" si="307"/>
        <v>1.279356013779922</v>
      </c>
      <c r="AJ958" s="52">
        <f t="shared" si="308"/>
        <v>-1.5629658567725186</v>
      </c>
      <c r="AK958" s="52">
        <f t="shared" si="309"/>
        <v>4.4185486041698816</v>
      </c>
      <c r="AM958" s="52">
        <f t="shared" si="310"/>
        <v>348280.13419511</v>
      </c>
      <c r="AN958" s="57">
        <f t="shared" si="311"/>
        <v>362633.83810650971</v>
      </c>
      <c r="AO958" s="57">
        <f t="shared" si="312"/>
        <v>334016.25353548146</v>
      </c>
    </row>
    <row r="959" spans="12:41" x14ac:dyDescent="0.25">
      <c r="L959" s="6">
        <v>956</v>
      </c>
      <c r="M959" s="52">
        <f t="shared" si="298"/>
        <v>17204.035482646261</v>
      </c>
      <c r="N959" s="52">
        <f t="shared" si="299"/>
        <v>3354.8121372247942</v>
      </c>
      <c r="P959" s="6">
        <v>956</v>
      </c>
      <c r="Q959" s="52">
        <f t="shared" si="313"/>
        <v>-21957.175162147618</v>
      </c>
      <c r="R959" s="52">
        <f t="shared" si="314"/>
        <v>7098.3684960573564</v>
      </c>
      <c r="T959" s="6">
        <v>956</v>
      </c>
      <c r="U959" s="52">
        <f t="shared" si="300"/>
        <v>-7795.9645173537383</v>
      </c>
      <c r="V959" s="52">
        <f t="shared" si="301"/>
        <v>-19145.187862775205</v>
      </c>
      <c r="X959" s="6">
        <v>955</v>
      </c>
      <c r="Y959" s="55">
        <v>477.5</v>
      </c>
      <c r="Z959" s="52">
        <f t="shared" si="315"/>
        <v>106689.41601086152</v>
      </c>
      <c r="AA959" s="52">
        <f t="shared" si="316"/>
        <v>-330176.5691697211</v>
      </c>
      <c r="AB959" s="52">
        <f t="shared" si="317"/>
        <v>602.61673571218842</v>
      </c>
      <c r="AC959" s="52">
        <f t="shared" si="318"/>
        <v>-558.21613448814048</v>
      </c>
      <c r="AD959" s="52">
        <f t="shared" si="302"/>
        <v>-3.107393826912809</v>
      </c>
      <c r="AE959" s="52">
        <f t="shared" si="303"/>
        <v>9.8521159329609116</v>
      </c>
      <c r="AF959" s="52">
        <f t="shared" si="304"/>
        <v>-1.0699101224524163</v>
      </c>
      <c r="AG959" s="52">
        <f t="shared" si="305"/>
        <v>4.1675627325073004</v>
      </c>
      <c r="AH959" s="52">
        <f t="shared" si="306"/>
        <v>-0.47540587417250113</v>
      </c>
      <c r="AI959" s="52">
        <f t="shared" si="307"/>
        <v>1.2765228882677033</v>
      </c>
      <c r="AJ959" s="52">
        <f t="shared" si="308"/>
        <v>-1.5620778302878915</v>
      </c>
      <c r="AK959" s="52">
        <f t="shared" si="309"/>
        <v>4.4080303121859075</v>
      </c>
      <c r="AM959" s="52">
        <f t="shared" si="310"/>
        <v>348626.62006011198</v>
      </c>
      <c r="AN959" s="57">
        <f t="shared" si="311"/>
        <v>363001.79936366045</v>
      </c>
      <c r="AO959" s="57">
        <f t="shared" si="312"/>
        <v>334381.21269360109</v>
      </c>
    </row>
    <row r="960" spans="12:41" x14ac:dyDescent="0.25">
      <c r="L960" s="6">
        <v>957</v>
      </c>
      <c r="M960" s="52">
        <f t="shared" si="298"/>
        <v>17276.804824924871</v>
      </c>
      <c r="N960" s="52">
        <f t="shared" si="299"/>
        <v>3306.6471602728761</v>
      </c>
      <c r="P960" s="6">
        <v>957</v>
      </c>
      <c r="Q960" s="52">
        <f t="shared" si="313"/>
        <v>-21906.236622552591</v>
      </c>
      <c r="R960" s="52">
        <f t="shared" si="314"/>
        <v>7064.6530121910127</v>
      </c>
      <c r="T960" s="6">
        <v>957</v>
      </c>
      <c r="U960" s="52">
        <f t="shared" si="300"/>
        <v>-7723.1951750751286</v>
      </c>
      <c r="V960" s="52">
        <f t="shared" si="301"/>
        <v>-19193.352839727122</v>
      </c>
      <c r="X960" s="6">
        <v>956</v>
      </c>
      <c r="Y960" s="55">
        <v>478</v>
      </c>
      <c r="Z960" s="52">
        <f t="shared" si="315"/>
        <v>106990.33595448924</v>
      </c>
      <c r="AA960" s="52">
        <f t="shared" si="316"/>
        <v>-330454.44572247355</v>
      </c>
      <c r="AB960" s="52">
        <f t="shared" si="317"/>
        <v>601.06303879873201</v>
      </c>
      <c r="AC960" s="52">
        <f t="shared" si="318"/>
        <v>-553.29007652166001</v>
      </c>
      <c r="AD960" s="52">
        <f t="shared" si="302"/>
        <v>-3.106761767642265</v>
      </c>
      <c r="AE960" s="52">
        <f t="shared" si="303"/>
        <v>9.8300064619380336</v>
      </c>
      <c r="AF960" s="52">
        <f t="shared" si="304"/>
        <v>-1.0704543491236103</v>
      </c>
      <c r="AG960" s="52">
        <f t="shared" si="305"/>
        <v>4.1586781136073041</v>
      </c>
      <c r="AH960" s="52">
        <f t="shared" si="306"/>
        <v>-0.47509917163290089</v>
      </c>
      <c r="AI960" s="52">
        <f t="shared" si="307"/>
        <v>1.2737160188272387</v>
      </c>
      <c r="AJ960" s="52">
        <f t="shared" si="308"/>
        <v>-1.5612082468857538</v>
      </c>
      <c r="AK960" s="52">
        <f t="shared" si="309"/>
        <v>4.3976123295034917</v>
      </c>
      <c r="AM960" s="52">
        <f t="shared" si="310"/>
        <v>348970.66629311297</v>
      </c>
      <c r="AN960" s="57">
        <f t="shared" si="311"/>
        <v>363367.27293198922</v>
      </c>
      <c r="AO960" s="57">
        <f t="shared" si="312"/>
        <v>334743.69698811712</v>
      </c>
    </row>
    <row r="961" spans="12:41" x14ac:dyDescent="0.25">
      <c r="L961" s="6">
        <v>958</v>
      </c>
      <c r="M961" s="52">
        <f t="shared" si="298"/>
        <v>17350.403678833976</v>
      </c>
      <c r="N961" s="52">
        <f t="shared" si="299"/>
        <v>3259.7595192178687</v>
      </c>
      <c r="P961" s="6">
        <v>958</v>
      </c>
      <c r="Q961" s="52">
        <f t="shared" si="313"/>
        <v>-21854.717424816215</v>
      </c>
      <c r="R961" s="52">
        <f t="shared" si="314"/>
        <v>7031.831663452509</v>
      </c>
      <c r="T961" s="6">
        <v>958</v>
      </c>
      <c r="U961" s="52">
        <f t="shared" si="300"/>
        <v>-7649.5963211660237</v>
      </c>
      <c r="V961" s="52">
        <f t="shared" si="301"/>
        <v>-19240.240480782129</v>
      </c>
      <c r="X961" s="6">
        <v>957</v>
      </c>
      <c r="Y961" s="55">
        <v>478.5</v>
      </c>
      <c r="Z961" s="52">
        <f t="shared" si="315"/>
        <v>107290.47912866765</v>
      </c>
      <c r="AA961" s="52">
        <f t="shared" si="316"/>
        <v>-330729.86200992664</v>
      </c>
      <c r="AB961" s="52">
        <f t="shared" si="317"/>
        <v>599.50965791491092</v>
      </c>
      <c r="AC961" s="52">
        <f t="shared" si="318"/>
        <v>-548.37507329069103</v>
      </c>
      <c r="AD961" s="52">
        <f t="shared" si="302"/>
        <v>-3.1061572920452774</v>
      </c>
      <c r="AE961" s="52">
        <f t="shared" si="303"/>
        <v>9.8081070754634574</v>
      </c>
      <c r="AF961" s="52">
        <f t="shared" si="304"/>
        <v>-1.0710019994357798</v>
      </c>
      <c r="AG961" s="52">
        <f t="shared" si="305"/>
        <v>4.1498782238045022</v>
      </c>
      <c r="AH961" s="52">
        <f t="shared" si="306"/>
        <v>-0.47479826090608979</v>
      </c>
      <c r="AI961" s="52">
        <f t="shared" si="307"/>
        <v>1.2709351636390407</v>
      </c>
      <c r="AJ961" s="52">
        <f t="shared" si="308"/>
        <v>-1.5603570317034074</v>
      </c>
      <c r="AK961" s="52">
        <f t="shared" si="309"/>
        <v>4.3872936880199154</v>
      </c>
      <c r="AM961" s="52">
        <f t="shared" si="310"/>
        <v>349312.27762815088</v>
      </c>
      <c r="AN961" s="57">
        <f t="shared" si="311"/>
        <v>363730.26398982725</v>
      </c>
      <c r="AO961" s="57">
        <f t="shared" si="312"/>
        <v>335103.71150996379</v>
      </c>
    </row>
    <row r="962" spans="12:41" x14ac:dyDescent="0.25">
      <c r="L962" s="6">
        <v>959</v>
      </c>
      <c r="M962" s="52">
        <f t="shared" si="298"/>
        <v>17424.809625449725</v>
      </c>
      <c r="N962" s="52">
        <f t="shared" si="299"/>
        <v>3214.1634964894401</v>
      </c>
      <c r="P962" s="6">
        <v>959</v>
      </c>
      <c r="Q962" s="52">
        <f t="shared" si="313"/>
        <v>-21802.633262185191</v>
      </c>
      <c r="R962" s="52">
        <f t="shared" si="314"/>
        <v>6999.9144475426083</v>
      </c>
      <c r="T962" s="6">
        <v>959</v>
      </c>
      <c r="U962" s="52">
        <f t="shared" si="300"/>
        <v>-7575.1903745502741</v>
      </c>
      <c r="V962" s="52">
        <f t="shared" si="301"/>
        <v>-19285.83650351056</v>
      </c>
      <c r="X962" s="6">
        <v>958</v>
      </c>
      <c r="Y962" s="55">
        <v>479</v>
      </c>
      <c r="Z962" s="52">
        <f t="shared" si="315"/>
        <v>107589.84568796361</v>
      </c>
      <c r="AA962" s="52">
        <f t="shared" si="316"/>
        <v>-331002.82353318756</v>
      </c>
      <c r="AB962" s="52">
        <f t="shared" si="317"/>
        <v>597.95657926888828</v>
      </c>
      <c r="AC962" s="52">
        <f t="shared" si="318"/>
        <v>-543.47101975295925</v>
      </c>
      <c r="AD962" s="52">
        <f t="shared" si="302"/>
        <v>-3.105580375853414</v>
      </c>
      <c r="AE962" s="52">
        <f t="shared" si="303"/>
        <v>9.7864158255188975</v>
      </c>
      <c r="AF962" s="52">
        <f t="shared" si="304"/>
        <v>-1.0715531518338586</v>
      </c>
      <c r="AG962" s="52">
        <f t="shared" si="305"/>
        <v>4.1411623072592336</v>
      </c>
      <c r="AH962" s="52">
        <f t="shared" si="306"/>
        <v>-0.47450311287608637</v>
      </c>
      <c r="AI962" s="52">
        <f t="shared" si="307"/>
        <v>1.2681800843442559</v>
      </c>
      <c r="AJ962" s="52">
        <f t="shared" si="308"/>
        <v>-1.5595241111434688</v>
      </c>
      <c r="AK962" s="52">
        <f t="shared" si="309"/>
        <v>4.3770734339154087</v>
      </c>
      <c r="AM962" s="52">
        <f t="shared" si="310"/>
        <v>349651.45875225746</v>
      </c>
      <c r="AN962" s="57">
        <f t="shared" si="311"/>
        <v>364090.77766442345</v>
      </c>
      <c r="AO962" s="57">
        <f t="shared" si="312"/>
        <v>335461.2612999992</v>
      </c>
    </row>
    <row r="963" spans="12:41" x14ac:dyDescent="0.25">
      <c r="L963" s="6">
        <v>960</v>
      </c>
      <c r="M963" s="52">
        <f t="shared" si="298"/>
        <v>17499.999999999993</v>
      </c>
      <c r="N963" s="52">
        <f t="shared" si="299"/>
        <v>3169.8729810778113</v>
      </c>
      <c r="P963" s="6">
        <v>960</v>
      </c>
      <c r="Q963" s="52">
        <f t="shared" si="313"/>
        <v>-21750.000000000007</v>
      </c>
      <c r="R963" s="52">
        <f t="shared" si="314"/>
        <v>6968.9110867544678</v>
      </c>
      <c r="T963" s="6">
        <v>960</v>
      </c>
      <c r="U963" s="52">
        <f t="shared" si="300"/>
        <v>-7500.0000000000073</v>
      </c>
      <c r="V963" s="52">
        <f t="shared" si="301"/>
        <v>-19330.12701892219</v>
      </c>
      <c r="X963" s="6">
        <v>959</v>
      </c>
      <c r="Y963" s="55">
        <v>479.5</v>
      </c>
      <c r="Z963" s="52">
        <f t="shared" si="315"/>
        <v>107888.43578005106</v>
      </c>
      <c r="AA963" s="52">
        <f t="shared" si="316"/>
        <v>-331273.33574108582</v>
      </c>
      <c r="AB963" s="52">
        <f t="shared" si="317"/>
        <v>596.40378908096159</v>
      </c>
      <c r="AC963" s="52">
        <f t="shared" si="318"/>
        <v>-538.57781184019984</v>
      </c>
      <c r="AD963" s="52">
        <f t="shared" si="302"/>
        <v>-3.1050309954511461</v>
      </c>
      <c r="AE963" s="52">
        <f t="shared" si="303"/>
        <v>9.7649307923656998</v>
      </c>
      <c r="AF963" s="52">
        <f t="shared" si="304"/>
        <v>-1.0721078836710749</v>
      </c>
      <c r="AG963" s="52">
        <f t="shared" si="305"/>
        <v>4.1325296189650196</v>
      </c>
      <c r="AH963" s="52">
        <f t="shared" si="306"/>
        <v>-0.47421369891680099</v>
      </c>
      <c r="AI963" s="52">
        <f t="shared" si="307"/>
        <v>1.2654505459883025</v>
      </c>
      <c r="AJ963" s="52">
        <f t="shared" si="308"/>
        <v>-1.5587094128632701</v>
      </c>
      <c r="AK963" s="52">
        <f t="shared" si="309"/>
        <v>4.3669506274123773</v>
      </c>
      <c r="AM963" s="52">
        <f t="shared" si="310"/>
        <v>349988.2143058629</v>
      </c>
      <c r="AN963" s="57">
        <f t="shared" si="311"/>
        <v>364448.81903240696</v>
      </c>
      <c r="AO963" s="57">
        <f t="shared" si="312"/>
        <v>335816.35134945455</v>
      </c>
    </row>
    <row r="964" spans="12:41" x14ac:dyDescent="0.25">
      <c r="L964" s="6">
        <v>961</v>
      </c>
      <c r="M964" s="52">
        <f t="shared" si="298"/>
        <v>17575.951898768319</v>
      </c>
      <c r="N964" s="52">
        <f t="shared" si="299"/>
        <v>3126.9014643030196</v>
      </c>
      <c r="P964" s="6">
        <v>961</v>
      </c>
      <c r="Q964" s="52">
        <f t="shared" si="313"/>
        <v>-21696.833670862179</v>
      </c>
      <c r="R964" s="52">
        <f t="shared" si="314"/>
        <v>6938.831025012114</v>
      </c>
      <c r="T964" s="6">
        <v>961</v>
      </c>
      <c r="U964" s="52">
        <f t="shared" si="300"/>
        <v>-7424.0481012316832</v>
      </c>
      <c r="V964" s="52">
        <f t="shared" si="301"/>
        <v>-19373.09853569698</v>
      </c>
      <c r="X964" s="6">
        <v>960</v>
      </c>
      <c r="Y964" s="55">
        <v>480</v>
      </c>
      <c r="Z964" s="52">
        <f t="shared" si="315"/>
        <v>108186.24954571712</v>
      </c>
      <c r="AA964" s="52">
        <f t="shared" si="316"/>
        <v>-331541.40403065691</v>
      </c>
      <c r="AB964" s="52">
        <f t="shared" si="317"/>
        <v>594.85127358323598</v>
      </c>
      <c r="AC964" s="52">
        <f t="shared" si="318"/>
        <v>-533.69534644401699</v>
      </c>
      <c r="AD964" s="52">
        <f t="shared" si="302"/>
        <v>-3.1045091278895125</v>
      </c>
      <c r="AE964" s="52">
        <f t="shared" si="303"/>
        <v>9.7436500840823506</v>
      </c>
      <c r="AF964" s="52">
        <f t="shared" si="304"/>
        <v>-1.07266627123875</v>
      </c>
      <c r="AG964" s="52">
        <f t="shared" si="305"/>
        <v>4.1239794245766035</v>
      </c>
      <c r="AH964" s="52">
        <f t="shared" si="306"/>
        <v>-0.47392999088617493</v>
      </c>
      <c r="AI964" s="52">
        <f t="shared" si="307"/>
        <v>1.2627463169657016</v>
      </c>
      <c r="AJ964" s="52">
        <f t="shared" si="308"/>
        <v>-1.5579128657645878</v>
      </c>
      <c r="AK964" s="52">
        <f t="shared" si="309"/>
        <v>4.3569243425400446</v>
      </c>
      <c r="AM964" s="52">
        <f t="shared" si="310"/>
        <v>350322.54888319509</v>
      </c>
      <c r="AN964" s="57">
        <f t="shared" si="311"/>
        <v>364804.39312024368</v>
      </c>
      <c r="AO964" s="57">
        <f t="shared" si="312"/>
        <v>336168.98660037771</v>
      </c>
    </row>
    <row r="965" spans="12:41" x14ac:dyDescent="0.25">
      <c r="L965" s="6">
        <v>962</v>
      </c>
      <c r="M965" s="52">
        <f t="shared" ref="M965:M1003" si="319">$G$20*COS(L965*PI()/180)+$G$19</f>
        <v>17652.642186070545</v>
      </c>
      <c r="N965" s="52">
        <f t="shared" ref="N965:N1003" si="320">$G$20*SIN(L965*PI()/180)+$H$19</f>
        <v>3085.2620357053665</v>
      </c>
      <c r="P965" s="6">
        <v>962</v>
      </c>
      <c r="Q965" s="52">
        <f t="shared" si="313"/>
        <v>-21643.150469750621</v>
      </c>
      <c r="R965" s="52">
        <f t="shared" si="314"/>
        <v>6909.6834249937565</v>
      </c>
      <c r="T965" s="6">
        <v>962</v>
      </c>
      <c r="U965" s="52">
        <f t="shared" ref="U965:U1003" si="321">$G$40*COS(T965*PI()/180)+$G$39</f>
        <v>-7347.3578139294559</v>
      </c>
      <c r="V965" s="52">
        <f t="shared" ref="V965:V1003" si="322">$G$40*SIN(T965*PI()/180)+$H$39</f>
        <v>-19414.737964294633</v>
      </c>
      <c r="X965" s="6">
        <v>961</v>
      </c>
      <c r="Y965" s="55">
        <v>480.5</v>
      </c>
      <c r="Z965" s="52">
        <f t="shared" si="315"/>
        <v>108483.28711886775</v>
      </c>
      <c r="AA965" s="52">
        <f t="shared" si="316"/>
        <v>-331807.03374761844</v>
      </c>
      <c r="AB965" s="52">
        <f t="shared" si="317"/>
        <v>593.29901901929122</v>
      </c>
      <c r="AC965" s="52">
        <f t="shared" si="318"/>
        <v>-528.82352140197577</v>
      </c>
      <c r="AD965" s="52">
        <f t="shared" ref="AD965:AD1003" si="323">AF965+AH965+AJ965</f>
        <v>-3.1040147508990561</v>
      </c>
      <c r="AE965" s="52">
        <f t="shared" ref="AE965:AE1003" si="324">AG965+AI965+AK965</f>
        <v>9.7225718361102942</v>
      </c>
      <c r="AF965" s="52">
        <f t="shared" ref="AF965:AF1004" si="325">(($G$19-Z965)/(AM965^2+$G$24^2)^(3/2))*$G$23</f>
        <v>-1.0732283897953099</v>
      </c>
      <c r="AG965" s="52">
        <f t="shared" ref="AG965:AG1004" si="326">(($H$19-AA965)/(AM965^2+$G$24^2)^(3/2))*$G$23</f>
        <v>4.1155110002409589</v>
      </c>
      <c r="AH965" s="52">
        <f t="shared" ref="AH965:AH1004" si="327">(($G$29-Z965)/(AN965^2+$G$34^2)^(3/2))*$G$33</f>
        <v>-0.47365196112043434</v>
      </c>
      <c r="AI965" s="52">
        <f t="shared" ref="AI965:AI1004" si="328">(($H$29-AA965)/(AN965^2+$G$34^2)^(3/2))*$G$33</f>
        <v>1.2600671689660041</v>
      </c>
      <c r="AJ965" s="52">
        <f t="shared" ref="AJ965:AJ1004" si="329">(($G$39-Z965)/(AO965^2+$G$44^2)^(3/2))*$G$43</f>
        <v>-1.5571343999833116</v>
      </c>
      <c r="AK965" s="52">
        <f t="shared" ref="AK965:AK1004" si="330">(($H$39-AA965)/(AO965^2+$G$44^2)^(3/2))*$G$43</f>
        <v>4.3469936669033311</v>
      </c>
      <c r="AM965" s="52">
        <f t="shared" ref="AM965:AM1003" si="331">SQRT(($G$19-Z965)^2+($H$19-AA965)^2)</f>
        <v>350654.46703267231</v>
      </c>
      <c r="AN965" s="57">
        <f t="shared" ref="AN965:AN1003" si="332">SQRT(($G$29-Z965)^2+($H$29-AA965)^2)</f>
        <v>365157.5049046849</v>
      </c>
      <c r="AO965" s="57">
        <f t="shared" ref="AO965:AO1003" si="333">SQRT(($G$39-Z965)^2+($H$39-AA965)^2)</f>
        <v>336519.17194606911</v>
      </c>
    </row>
    <row r="966" spans="12:41" x14ac:dyDescent="0.25">
      <c r="L966" s="6">
        <v>963</v>
      </c>
      <c r="M966" s="52">
        <f t="shared" si="319"/>
        <v>17730.047501302259</v>
      </c>
      <c r="N966" s="52">
        <f t="shared" si="320"/>
        <v>3044.9673790581646</v>
      </c>
      <c r="P966" s="6">
        <v>963</v>
      </c>
      <c r="Q966" s="52">
        <f t="shared" ref="Q966:Q1003" si="334">$G$30*COS(P966*PI()/180)+$G$29</f>
        <v>-21588.96674908842</v>
      </c>
      <c r="R966" s="52">
        <f t="shared" ref="R966:R1003" si="335">$G$30*SIN(P966*PI()/180)+$H$29</f>
        <v>6881.4771653407151</v>
      </c>
      <c r="T966" s="6">
        <v>963</v>
      </c>
      <c r="U966" s="52">
        <f t="shared" si="321"/>
        <v>-7269.9524986977412</v>
      </c>
      <c r="V966" s="52">
        <f t="shared" si="322"/>
        <v>-19455.032620941834</v>
      </c>
      <c r="X966" s="6">
        <v>962</v>
      </c>
      <c r="Y966" s="55">
        <v>481</v>
      </c>
      <c r="Z966" s="52">
        <f t="shared" ref="Z966:Z1004" si="336">Z965+AB965*$G$4+((1/2)*AD965)*$G$4^2</f>
        <v>108779.54862653353</v>
      </c>
      <c r="AA966" s="52">
        <f t="shared" ref="AA966:AA1003" si="337">AA965+AC965*$G$4+((1/2)*AE965)*$G$4^2</f>
        <v>-332070.23018683988</v>
      </c>
      <c r="AB966" s="52">
        <f t="shared" ref="AB966:AB1003" si="338">AB965+AD965*$G$4</f>
        <v>591.74701164384169</v>
      </c>
      <c r="AC966" s="52">
        <f t="shared" ref="AC966:AC1003" si="339">AC965+AE965*$G$4</f>
        <v>-523.96223548392061</v>
      </c>
      <c r="AD966" s="52">
        <f t="shared" si="323"/>
        <v>-3.1035478429027021</v>
      </c>
      <c r="AE966" s="52">
        <f t="shared" si="324"/>
        <v>9.7016942108099862</v>
      </c>
      <c r="AF966" s="52">
        <f t="shared" si="325"/>
        <v>-1.0737943135947534</v>
      </c>
      <c r="AG966" s="52">
        <f t="shared" si="326"/>
        <v>4.1071236324320939</v>
      </c>
      <c r="AH966" s="52">
        <f t="shared" si="327"/>
        <v>-0.4733795824284619</v>
      </c>
      <c r="AI966" s="52">
        <f t="shared" si="328"/>
        <v>1.2574128769208195</v>
      </c>
      <c r="AJ966" s="52">
        <f t="shared" si="329"/>
        <v>-1.5563739468794868</v>
      </c>
      <c r="AK966" s="52">
        <f t="shared" si="330"/>
        <v>4.3371577014570724</v>
      </c>
      <c r="AM966" s="52">
        <f t="shared" si="331"/>
        <v>350983.97325729055</v>
      </c>
      <c r="AN966" s="57">
        <f t="shared" si="332"/>
        <v>365508.15931321058</v>
      </c>
      <c r="AO966" s="57">
        <f t="shared" si="333"/>
        <v>336866.91223151219</v>
      </c>
    </row>
    <row r="967" spans="12:41" x14ac:dyDescent="0.25">
      <c r="L967" s="6">
        <v>964</v>
      </c>
      <c r="M967" s="52">
        <f t="shared" si="319"/>
        <v>17808.144266054616</v>
      </c>
      <c r="N967" s="52">
        <f t="shared" si="320"/>
        <v>3006.0297685041633</v>
      </c>
      <c r="P967" s="6">
        <v>964</v>
      </c>
      <c r="Q967" s="52">
        <f t="shared" si="334"/>
        <v>-21534.299013761767</v>
      </c>
      <c r="R967" s="52">
        <f t="shared" si="335"/>
        <v>6854.2208379529147</v>
      </c>
      <c r="T967" s="6">
        <v>964</v>
      </c>
      <c r="U967" s="52">
        <f t="shared" si="321"/>
        <v>-7191.8557339453828</v>
      </c>
      <c r="V967" s="52">
        <f t="shared" si="322"/>
        <v>-19493.970231495838</v>
      </c>
      <c r="X967" s="6">
        <v>963</v>
      </c>
      <c r="Y967" s="55">
        <v>481.5</v>
      </c>
      <c r="Z967" s="52">
        <f t="shared" si="336"/>
        <v>109075.03418887508</v>
      </c>
      <c r="AA967" s="52">
        <f t="shared" si="337"/>
        <v>-332330.99859280547</v>
      </c>
      <c r="AB967" s="52">
        <f t="shared" si="338"/>
        <v>590.19523772239029</v>
      </c>
      <c r="AC967" s="52">
        <f t="shared" si="339"/>
        <v>-519.11138837851558</v>
      </c>
      <c r="AD967" s="52">
        <f t="shared" si="323"/>
        <v>-3.1031083830280499</v>
      </c>
      <c r="AE967" s="52">
        <f t="shared" si="324"/>
        <v>9.6810153970251811</v>
      </c>
      <c r="AF967" s="52">
        <f t="shared" si="325"/>
        <v>-1.0743641159144286</v>
      </c>
      <c r="AG967" s="52">
        <f t="shared" si="326"/>
        <v>4.0988166177889136</v>
      </c>
      <c r="AH967" s="52">
        <f t="shared" si="327"/>
        <v>-0.47311282808625277</v>
      </c>
      <c r="AI967" s="52">
        <f t="shared" si="328"/>
        <v>1.2547832189518224</v>
      </c>
      <c r="AJ967" s="52">
        <f t="shared" si="329"/>
        <v>-1.5556314390273689</v>
      </c>
      <c r="AK967" s="52">
        <f t="shared" si="330"/>
        <v>4.327415560284444</v>
      </c>
      <c r="AM967" s="52">
        <f t="shared" si="331"/>
        <v>351311.0720150058</v>
      </c>
      <c r="AN967" s="57">
        <f t="shared" si="332"/>
        <v>365856.3612244656</v>
      </c>
      <c r="AO967" s="57">
        <f t="shared" si="333"/>
        <v>337212.21225379745</v>
      </c>
    </row>
    <row r="968" spans="12:41" x14ac:dyDescent="0.25">
      <c r="L968" s="6">
        <v>965</v>
      </c>
      <c r="M968" s="52">
        <f t="shared" si="319"/>
        <v>17886.908691296503</v>
      </c>
      <c r="N968" s="52">
        <f t="shared" si="320"/>
        <v>2968.46106481675</v>
      </c>
      <c r="P968" s="6">
        <v>965</v>
      </c>
      <c r="Q968" s="52">
        <f t="shared" si="334"/>
        <v>-21479.16391609245</v>
      </c>
      <c r="R968" s="52">
        <f t="shared" si="335"/>
        <v>6827.9227453717249</v>
      </c>
      <c r="T968" s="6">
        <v>965</v>
      </c>
      <c r="U968" s="52">
        <f t="shared" si="321"/>
        <v>-7113.0913087034978</v>
      </c>
      <c r="V968" s="52">
        <f t="shared" si="322"/>
        <v>-19531.538935183249</v>
      </c>
      <c r="X968" s="6">
        <v>964</v>
      </c>
      <c r="Y968" s="55">
        <v>482</v>
      </c>
      <c r="Z968" s="52">
        <f t="shared" si="336"/>
        <v>109369.7439191884</v>
      </c>
      <c r="AA968" s="52">
        <f t="shared" si="337"/>
        <v>-332589.34416007012</v>
      </c>
      <c r="AB968" s="52">
        <f t="shared" si="338"/>
        <v>588.64368353087627</v>
      </c>
      <c r="AC968" s="52">
        <f t="shared" si="339"/>
        <v>-514.27088068000296</v>
      </c>
      <c r="AD968" s="52">
        <f t="shared" si="323"/>
        <v>-3.1026963511193664</v>
      </c>
      <c r="AE968" s="52">
        <f t="shared" si="324"/>
        <v>9.6605336096561274</v>
      </c>
      <c r="AF968" s="52">
        <f t="shared" si="325"/>
        <v>-1.0749378690821521</v>
      </c>
      <c r="AG968" s="52">
        <f t="shared" si="326"/>
        <v>4.0905892629561453</v>
      </c>
      <c r="AH968" s="52">
        <f t="shared" si="327"/>
        <v>-0.4728516718315105</v>
      </c>
      <c r="AI968" s="52">
        <f t="shared" si="328"/>
        <v>1.2521779763198759</v>
      </c>
      <c r="AJ968" s="52">
        <f t="shared" si="329"/>
        <v>-1.554906810205704</v>
      </c>
      <c r="AK968" s="52">
        <f t="shared" si="330"/>
        <v>4.317766370380105</v>
      </c>
      <c r="AM968" s="52">
        <f t="shared" si="331"/>
        <v>351635.76771911007</v>
      </c>
      <c r="AN968" s="57">
        <f t="shared" si="332"/>
        <v>366202.11546868947</v>
      </c>
      <c r="AO968" s="57">
        <f t="shared" si="333"/>
        <v>337555.07676253992</v>
      </c>
    </row>
    <row r="969" spans="12:41" x14ac:dyDescent="0.25">
      <c r="L969" s="6">
        <v>966</v>
      </c>
      <c r="M969" s="52">
        <f t="shared" si="319"/>
        <v>17966.316784620994</v>
      </c>
      <c r="N969" s="52">
        <f t="shared" si="320"/>
        <v>2932.2727117869981</v>
      </c>
      <c r="P969" s="6">
        <v>966</v>
      </c>
      <c r="Q969" s="52">
        <f t="shared" si="334"/>
        <v>-21423.578250765306</v>
      </c>
      <c r="R969" s="52">
        <f t="shared" si="335"/>
        <v>6802.590898250899</v>
      </c>
      <c r="T969" s="6">
        <v>966</v>
      </c>
      <c r="U969" s="52">
        <f t="shared" si="321"/>
        <v>-7033.6832153790074</v>
      </c>
      <c r="V969" s="52">
        <f t="shared" si="322"/>
        <v>-19567.727288213002</v>
      </c>
      <c r="X969" s="6">
        <v>965</v>
      </c>
      <c r="Y969" s="55">
        <v>482.5</v>
      </c>
      <c r="Z969" s="52">
        <f t="shared" si="336"/>
        <v>109663.67792390996</v>
      </c>
      <c r="AA969" s="52">
        <f t="shared" si="337"/>
        <v>-332845.27203370887</v>
      </c>
      <c r="AB969" s="52">
        <f t="shared" si="338"/>
        <v>587.09233535531655</v>
      </c>
      <c r="AC969" s="52">
        <f t="shared" si="339"/>
        <v>-509.4406138751749</v>
      </c>
      <c r="AD969" s="52">
        <f t="shared" si="323"/>
        <v>-3.1023117277493348</v>
      </c>
      <c r="AE969" s="52">
        <f t="shared" si="324"/>
        <v>9.6402470892416545</v>
      </c>
      <c r="AF969" s="52">
        <f t="shared" si="325"/>
        <v>-1.0755156445028116</v>
      </c>
      <c r="AG969" s="52">
        <f t="shared" si="326"/>
        <v>4.0824408844287232</v>
      </c>
      <c r="AH969" s="52">
        <f t="shared" si="327"/>
        <v>-0.47259608785835161</v>
      </c>
      <c r="AI969" s="52">
        <f t="shared" si="328"/>
        <v>1.2495969333751664</v>
      </c>
      <c r="AJ969" s="52">
        <f t="shared" si="329"/>
        <v>-1.5541999953881718</v>
      </c>
      <c r="AK969" s="52">
        <f t="shared" si="330"/>
        <v>4.3082092714377636</v>
      </c>
      <c r="AM969" s="52">
        <f t="shared" si="331"/>
        <v>351958.06473860197</v>
      </c>
      <c r="AN969" s="57">
        <f t="shared" si="332"/>
        <v>366545.42682813993</v>
      </c>
      <c r="AO969" s="57">
        <f t="shared" si="333"/>
        <v>337895.51046029088</v>
      </c>
    </row>
    <row r="970" spans="12:41" x14ac:dyDescent="0.25">
      <c r="L970" s="6">
        <v>967</v>
      </c>
      <c r="M970" s="52">
        <f t="shared" si="319"/>
        <v>18046.344357553622</v>
      </c>
      <c r="N970" s="52">
        <f t="shared" si="320"/>
        <v>2897.4757327378029</v>
      </c>
      <c r="P970" s="6">
        <v>967</v>
      </c>
      <c r="Q970" s="52">
        <f t="shared" si="334"/>
        <v>-21367.558949712467</v>
      </c>
      <c r="R970" s="52">
        <f t="shared" si="335"/>
        <v>6778.233012916462</v>
      </c>
      <c r="T970" s="6">
        <v>967</v>
      </c>
      <c r="U970" s="52">
        <f t="shared" si="321"/>
        <v>-6953.6556424463797</v>
      </c>
      <c r="V970" s="52">
        <f t="shared" si="322"/>
        <v>-19602.524267262197</v>
      </c>
      <c r="X970" s="6">
        <v>966</v>
      </c>
      <c r="Y970" s="55">
        <v>483</v>
      </c>
      <c r="Z970" s="52">
        <f t="shared" si="336"/>
        <v>109956.83630262165</v>
      </c>
      <c r="AA970" s="52">
        <f t="shared" si="337"/>
        <v>-333098.78730976029</v>
      </c>
      <c r="AB970" s="52">
        <f t="shared" si="338"/>
        <v>585.54117949144188</v>
      </c>
      <c r="AC970" s="52">
        <f t="shared" si="339"/>
        <v>-504.62049033055405</v>
      </c>
      <c r="AD970" s="52">
        <f t="shared" si="323"/>
        <v>-3.1019544942303554</v>
      </c>
      <c r="AE970" s="52">
        <f t="shared" si="324"/>
        <v>9.6201541015491863</v>
      </c>
      <c r="AF970" s="52">
        <f t="shared" si="325"/>
        <v>-1.0760975126842902</v>
      </c>
      <c r="AG970" s="52">
        <f t="shared" si="326"/>
        <v>4.0743708083988848</v>
      </c>
      <c r="AH970" s="52">
        <f t="shared" si="327"/>
        <v>-0.47234605081208075</v>
      </c>
      <c r="AI970" s="52">
        <f t="shared" si="328"/>
        <v>1.2470398775082372</v>
      </c>
      <c r="AJ970" s="52">
        <f t="shared" si="329"/>
        <v>-1.5535109307339847</v>
      </c>
      <c r="AK970" s="52">
        <f t="shared" si="330"/>
        <v>4.2987434156420647</v>
      </c>
      <c r="AM970" s="52">
        <f t="shared" si="331"/>
        <v>352277.96739855304</v>
      </c>
      <c r="AN970" s="57">
        <f t="shared" si="332"/>
        <v>366886.30003751098</v>
      </c>
      <c r="AO970" s="57">
        <f t="shared" si="333"/>
        <v>338233.51800294401</v>
      </c>
    </row>
    <row r="971" spans="12:41" x14ac:dyDescent="0.25">
      <c r="L971" s="6">
        <v>968</v>
      </c>
      <c r="M971" s="52">
        <f t="shared" si="319"/>
        <v>18126.967032920442</v>
      </c>
      <c r="N971" s="52">
        <f t="shared" si="320"/>
        <v>2864.0807271660633</v>
      </c>
      <c r="P971" s="6">
        <v>968</v>
      </c>
      <c r="Q971" s="52">
        <f t="shared" si="334"/>
        <v>-21311.123076955693</v>
      </c>
      <c r="R971" s="52">
        <f t="shared" si="335"/>
        <v>6754.8565090162447</v>
      </c>
      <c r="T971" s="6">
        <v>968</v>
      </c>
      <c r="U971" s="52">
        <f t="shared" si="321"/>
        <v>-6873.03296707956</v>
      </c>
      <c r="V971" s="52">
        <f t="shared" si="322"/>
        <v>-19635.919272833937</v>
      </c>
      <c r="X971" s="6">
        <v>967</v>
      </c>
      <c r="Y971" s="55">
        <v>483.5</v>
      </c>
      <c r="Z971" s="52">
        <f t="shared" si="336"/>
        <v>110249.21914805559</v>
      </c>
      <c r="AA971" s="52">
        <f t="shared" si="337"/>
        <v>-333349.89503566286</v>
      </c>
      <c r="AB971" s="52">
        <f t="shared" si="338"/>
        <v>583.99020224432672</v>
      </c>
      <c r="AC971" s="52">
        <f t="shared" si="339"/>
        <v>-499.81041327977948</v>
      </c>
      <c r="AD971" s="52">
        <f t="shared" si="323"/>
        <v>-3.1016246326255956</v>
      </c>
      <c r="AE971" s="52">
        <f t="shared" si="324"/>
        <v>9.6002529371731686</v>
      </c>
      <c r="AF971" s="52">
        <f t="shared" si="325"/>
        <v>-1.0766835432628916</v>
      </c>
      <c r="AG971" s="52">
        <f t="shared" si="326"/>
        <v>4.0663783706065333</v>
      </c>
      <c r="AH971" s="52">
        <f t="shared" si="327"/>
        <v>-0.47210153578410502</v>
      </c>
      <c r="AI971" s="52">
        <f t="shared" si="328"/>
        <v>1.2445065991020763</v>
      </c>
      <c r="AJ971" s="52">
        <f t="shared" si="329"/>
        <v>-1.552839553578599</v>
      </c>
      <c r="AK971" s="52">
        <f t="shared" si="330"/>
        <v>4.2893679674645586</v>
      </c>
      <c r="AM971" s="52">
        <f t="shared" si="331"/>
        <v>352595.47998046735</v>
      </c>
      <c r="AN971" s="57">
        <f t="shared" si="332"/>
        <v>367224.73978434363</v>
      </c>
      <c r="AO971" s="57">
        <f t="shared" si="333"/>
        <v>338569.1040001348</v>
      </c>
    </row>
    <row r="972" spans="12:41" x14ac:dyDescent="0.25">
      <c r="L972" s="6">
        <v>969</v>
      </c>
      <c r="M972" s="52">
        <f t="shared" si="319"/>
        <v>18208.160252273494</v>
      </c>
      <c r="N972" s="52">
        <f t="shared" si="320"/>
        <v>2832.0978675139932</v>
      </c>
      <c r="P972" s="6">
        <v>969</v>
      </c>
      <c r="Q972" s="52">
        <f t="shared" si="334"/>
        <v>-21254.287823408555</v>
      </c>
      <c r="R972" s="52">
        <f t="shared" si="335"/>
        <v>6732.4685072597949</v>
      </c>
      <c r="T972" s="6">
        <v>969</v>
      </c>
      <c r="U972" s="52">
        <f t="shared" si="321"/>
        <v>-6791.8397477265062</v>
      </c>
      <c r="V972" s="52">
        <f t="shared" si="322"/>
        <v>-19667.902132486008</v>
      </c>
      <c r="X972" s="6">
        <v>968</v>
      </c>
      <c r="Y972" s="55">
        <v>484</v>
      </c>
      <c r="Z972" s="52">
        <f t="shared" si="336"/>
        <v>110540.82654609867</v>
      </c>
      <c r="AA972" s="52">
        <f t="shared" si="337"/>
        <v>-333598.60021068563</v>
      </c>
      <c r="AB972" s="52">
        <f t="shared" si="338"/>
        <v>582.43938992801395</v>
      </c>
      <c r="AC972" s="52">
        <f t="shared" si="339"/>
        <v>-495.01028681119288</v>
      </c>
      <c r="AD972" s="52">
        <f t="shared" si="323"/>
        <v>-3.1013221257597214</v>
      </c>
      <c r="AE972" s="52">
        <f t="shared" si="324"/>
        <v>9.5805419111413741</v>
      </c>
      <c r="AF972" s="52">
        <f t="shared" si="325"/>
        <v>-1.0772738050281605</v>
      </c>
      <c r="AG972" s="52">
        <f t="shared" si="326"/>
        <v>4.0584629161923429</v>
      </c>
      <c r="AH972" s="52">
        <f t="shared" si="327"/>
        <v>-0.47186251830692516</v>
      </c>
      <c r="AI972" s="52">
        <f t="shared" si="328"/>
        <v>1.2419968914850872</v>
      </c>
      <c r="AJ972" s="52">
        <f t="shared" si="329"/>
        <v>-1.5521858024246356</v>
      </c>
      <c r="AK972" s="52">
        <f t="shared" si="330"/>
        <v>4.2800821034639442</v>
      </c>
      <c r="AM972" s="52">
        <f t="shared" si="331"/>
        <v>352910.60672263714</v>
      </c>
      <c r="AN972" s="57">
        <f t="shared" si="332"/>
        <v>367560.75070943194</v>
      </c>
      <c r="AO972" s="57">
        <f t="shared" si="333"/>
        <v>338902.27301563491</v>
      </c>
    </row>
    <row r="973" spans="12:41" x14ac:dyDescent="0.25">
      <c r="L973" s="6">
        <v>970</v>
      </c>
      <c r="M973" s="52">
        <f t="shared" si="319"/>
        <v>18289.899283371647</v>
      </c>
      <c r="N973" s="52">
        <f t="shared" si="320"/>
        <v>2801.5368960704618</v>
      </c>
      <c r="P973" s="6">
        <v>970</v>
      </c>
      <c r="Q973" s="52">
        <f t="shared" si="334"/>
        <v>-21197.070501639846</v>
      </c>
      <c r="R973" s="52">
        <f t="shared" si="335"/>
        <v>6711.0758272493231</v>
      </c>
      <c r="T973" s="6">
        <v>970</v>
      </c>
      <c r="U973" s="52">
        <f t="shared" si="321"/>
        <v>-6710.1007166283534</v>
      </c>
      <c r="V973" s="52">
        <f t="shared" si="322"/>
        <v>-19698.463103929538</v>
      </c>
      <c r="X973" s="6">
        <v>969</v>
      </c>
      <c r="Y973" s="55">
        <v>484.5</v>
      </c>
      <c r="Z973" s="52">
        <f t="shared" si="336"/>
        <v>110831.65857579696</v>
      </c>
      <c r="AA973" s="52">
        <f t="shared" si="337"/>
        <v>-333844.90778635233</v>
      </c>
      <c r="AB973" s="52">
        <f t="shared" si="338"/>
        <v>580.88872886513411</v>
      </c>
      <c r="AC973" s="52">
        <f t="shared" si="339"/>
        <v>-490.22001585562219</v>
      </c>
      <c r="AD973" s="52">
        <f t="shared" si="323"/>
        <v>-3.1010469572293915</v>
      </c>
      <c r="AE973" s="52">
        <f t="shared" si="324"/>
        <v>9.5610193625291835</v>
      </c>
      <c r="AF973" s="52">
        <f t="shared" si="325"/>
        <v>-1.0778683659471704</v>
      </c>
      <c r="AG973" s="52">
        <f t="shared" si="326"/>
        <v>4.050623799553744</v>
      </c>
      <c r="AH973" s="52">
        <f t="shared" si="327"/>
        <v>-0.47162897434925199</v>
      </c>
      <c r="AI973" s="52">
        <f t="shared" si="328"/>
        <v>1.239510550885047</v>
      </c>
      <c r="AJ973" s="52">
        <f t="shared" si="329"/>
        <v>-1.5515496169329692</v>
      </c>
      <c r="AK973" s="52">
        <f t="shared" si="330"/>
        <v>4.2708850120903934</v>
      </c>
      <c r="AM973" s="52">
        <f t="shared" si="331"/>
        <v>353223.35182049265</v>
      </c>
      <c r="AN973" s="57">
        <f t="shared" si="332"/>
        <v>367894.33740722219</v>
      </c>
      <c r="AO973" s="57">
        <f t="shared" si="333"/>
        <v>339233.02956774051</v>
      </c>
    </row>
    <row r="974" spans="12:41" x14ac:dyDescent="0.25">
      <c r="L974" s="6">
        <v>971</v>
      </c>
      <c r="M974" s="52">
        <f t="shared" si="319"/>
        <v>18372.159227714219</v>
      </c>
      <c r="N974" s="52">
        <f t="shared" si="320"/>
        <v>2772.4071220034148</v>
      </c>
      <c r="P974" s="6">
        <v>971</v>
      </c>
      <c r="Q974" s="52">
        <f t="shared" si="334"/>
        <v>-21139.488540600047</v>
      </c>
      <c r="R974" s="52">
        <f t="shared" si="335"/>
        <v>6690.6849854023912</v>
      </c>
      <c r="T974" s="6">
        <v>971</v>
      </c>
      <c r="U974" s="52">
        <f t="shared" si="321"/>
        <v>-6627.840772285781</v>
      </c>
      <c r="V974" s="52">
        <f t="shared" si="322"/>
        <v>-19727.592877996583</v>
      </c>
      <c r="X974" s="6">
        <v>970</v>
      </c>
      <c r="Y974" s="55">
        <v>485</v>
      </c>
      <c r="Z974" s="52">
        <f t="shared" si="336"/>
        <v>111121.71530935988</v>
      </c>
      <c r="AA974" s="52">
        <f t="shared" si="337"/>
        <v>-334088.82266685984</v>
      </c>
      <c r="AB974" s="52">
        <f t="shared" si="338"/>
        <v>579.33820538651946</v>
      </c>
      <c r="AC974" s="52">
        <f t="shared" si="339"/>
        <v>-485.43950617435758</v>
      </c>
      <c r="AD974" s="52">
        <f t="shared" si="323"/>
        <v>-3.1007991114134166</v>
      </c>
      <c r="AE974" s="52">
        <f t="shared" si="324"/>
        <v>9.5416836540813605</v>
      </c>
      <c r="AF974" s="52">
        <f t="shared" si="325"/>
        <v>-1.078467293188329</v>
      </c>
      <c r="AG974" s="52">
        <f t="shared" si="326"/>
        <v>4.0428603842038937</v>
      </c>
      <c r="AH974" s="52">
        <f t="shared" si="327"/>
        <v>-0.47140088031118732</v>
      </c>
      <c r="AI974" s="52">
        <f t="shared" si="328"/>
        <v>1.2370473763838805</v>
      </c>
      <c r="AJ974" s="52">
        <f t="shared" si="329"/>
        <v>-1.5509309379139002</v>
      </c>
      <c r="AK974" s="52">
        <f t="shared" si="330"/>
        <v>4.2617758934935868</v>
      </c>
      <c r="AM974" s="52">
        <f t="shared" si="331"/>
        <v>353533.71942694724</v>
      </c>
      <c r="AN974" s="57">
        <f t="shared" si="332"/>
        <v>368225.50442620693</v>
      </c>
      <c r="AO974" s="57">
        <f t="shared" si="333"/>
        <v>339561.37812965532</v>
      </c>
    </row>
    <row r="975" spans="12:41" x14ac:dyDescent="0.25">
      <c r="L975" s="6">
        <v>972</v>
      </c>
      <c r="M975" s="52">
        <f t="shared" si="319"/>
        <v>18454.915028125259</v>
      </c>
      <c r="N975" s="52">
        <f t="shared" si="320"/>
        <v>2744.7174185242329</v>
      </c>
      <c r="P975" s="6">
        <v>972</v>
      </c>
      <c r="Q975" s="52">
        <f t="shared" si="334"/>
        <v>-21081.559480312317</v>
      </c>
      <c r="R975" s="52">
        <f t="shared" si="335"/>
        <v>6671.302192966963</v>
      </c>
      <c r="T975" s="6">
        <v>972</v>
      </c>
      <c r="U975" s="52">
        <f t="shared" si="321"/>
        <v>-6545.0849718747404</v>
      </c>
      <c r="V975" s="52">
        <f t="shared" si="322"/>
        <v>-19755.282581475767</v>
      </c>
      <c r="X975" s="6">
        <v>971</v>
      </c>
      <c r="Y975" s="55">
        <v>485.5</v>
      </c>
      <c r="Z975" s="52">
        <f t="shared" si="336"/>
        <v>111410.9968121642</v>
      </c>
      <c r="AA975" s="52">
        <f t="shared" si="337"/>
        <v>-334330.34970949026</v>
      </c>
      <c r="AB975" s="52">
        <f t="shared" si="338"/>
        <v>577.78780583081277</v>
      </c>
      <c r="AC975" s="52">
        <f t="shared" si="339"/>
        <v>-480.66866434731691</v>
      </c>
      <c r="AD975" s="52">
        <f t="shared" si="323"/>
        <v>-3.100578573482685</v>
      </c>
      <c r="AE975" s="52">
        <f t="shared" si="324"/>
        <v>9.5225331718413226</v>
      </c>
      <c r="AF975" s="52">
        <f t="shared" si="325"/>
        <v>-1.0790706531446175</v>
      </c>
      <c r="AG975" s="52">
        <f t="shared" si="326"/>
        <v>4.0351720426331461</v>
      </c>
      <c r="AH975" s="52">
        <f t="shared" si="327"/>
        <v>-0.47117821301953283</v>
      </c>
      <c r="AI975" s="52">
        <f t="shared" si="328"/>
        <v>1.2346071698734</v>
      </c>
      <c r="AJ975" s="52">
        <f t="shared" si="329"/>
        <v>-1.5503297073185347</v>
      </c>
      <c r="AK975" s="52">
        <f t="shared" si="330"/>
        <v>4.2527539593347763</v>
      </c>
      <c r="AM975" s="52">
        <f t="shared" si="331"/>
        <v>353841.71365273756</v>
      </c>
      <c r="AN975" s="57">
        <f t="shared" si="332"/>
        <v>368554.25626931305</v>
      </c>
      <c r="AO975" s="57">
        <f t="shared" si="333"/>
        <v>339887.32312986761</v>
      </c>
    </row>
    <row r="976" spans="12:41" x14ac:dyDescent="0.25">
      <c r="L976" s="6">
        <v>973</v>
      </c>
      <c r="M976" s="52">
        <f t="shared" si="319"/>
        <v>18538.141476386307</v>
      </c>
      <c r="N976" s="52">
        <f t="shared" si="320"/>
        <v>2718.4762201848253</v>
      </c>
      <c r="P976" s="6">
        <v>973</v>
      </c>
      <c r="Q976" s="52">
        <f t="shared" si="334"/>
        <v>-21023.300966529583</v>
      </c>
      <c r="R976" s="52">
        <f t="shared" si="335"/>
        <v>6652.9333541293781</v>
      </c>
      <c r="T976" s="6">
        <v>973</v>
      </c>
      <c r="U976" s="52">
        <f t="shared" si="321"/>
        <v>-6461.8585236136914</v>
      </c>
      <c r="V976" s="52">
        <f t="shared" si="322"/>
        <v>-19781.523779815176</v>
      </c>
      <c r="X976" s="6">
        <v>972</v>
      </c>
      <c r="Y976" s="55">
        <v>486</v>
      </c>
      <c r="Z976" s="52">
        <f t="shared" si="336"/>
        <v>111699.50314275792</v>
      </c>
      <c r="AA976" s="52">
        <f t="shared" si="337"/>
        <v>-334569.49372501741</v>
      </c>
      <c r="AB976" s="52">
        <f t="shared" si="338"/>
        <v>576.23751654407147</v>
      </c>
      <c r="AC976" s="52">
        <f t="shared" si="339"/>
        <v>-475.90739776139623</v>
      </c>
      <c r="AD976" s="52">
        <f t="shared" si="323"/>
        <v>-3.100385329409828</v>
      </c>
      <c r="AE976" s="52">
        <f t="shared" si="324"/>
        <v>9.5035663247876823</v>
      </c>
      <c r="AF976" s="52">
        <f t="shared" si="325"/>
        <v>-1.0796785114563188</v>
      </c>
      <c r="AG976" s="52">
        <f t="shared" si="326"/>
        <v>4.0275581561731864</v>
      </c>
      <c r="AH976" s="52">
        <f t="shared" si="327"/>
        <v>-0.47096094972316671</v>
      </c>
      <c r="AI976" s="52">
        <f t="shared" si="328"/>
        <v>1.2321897360118366</v>
      </c>
      <c r="AJ976" s="52">
        <f t="shared" si="329"/>
        <v>-1.5497458682303424</v>
      </c>
      <c r="AK976" s="52">
        <f t="shared" si="330"/>
        <v>4.2438184326026596</v>
      </c>
      <c r="AM976" s="52">
        <f t="shared" si="331"/>
        <v>354147.33856675867</v>
      </c>
      <c r="AN976" s="57">
        <f t="shared" si="332"/>
        <v>368880.59739428438</v>
      </c>
      <c r="AO976" s="57">
        <f t="shared" si="333"/>
        <v>340210.86895252264</v>
      </c>
    </row>
    <row r="977" spans="12:41" x14ac:dyDescent="0.25">
      <c r="L977" s="6">
        <v>974</v>
      </c>
      <c r="M977" s="52">
        <f t="shared" si="319"/>
        <v>18621.813220914992</v>
      </c>
      <c r="N977" s="52">
        <f t="shared" si="320"/>
        <v>2693.6915203084091</v>
      </c>
      <c r="P977" s="6">
        <v>974</v>
      </c>
      <c r="Q977" s="52">
        <f t="shared" si="334"/>
        <v>-20964.730745359506</v>
      </c>
      <c r="R977" s="52">
        <f t="shared" si="335"/>
        <v>6635.5840642158864</v>
      </c>
      <c r="T977" s="6">
        <v>974</v>
      </c>
      <c r="U977" s="52">
        <f t="shared" si="321"/>
        <v>-6378.1867790850092</v>
      </c>
      <c r="V977" s="52">
        <f t="shared" si="322"/>
        <v>-19806.30847969159</v>
      </c>
      <c r="X977" s="6">
        <v>973</v>
      </c>
      <c r="Y977" s="55">
        <v>486.5</v>
      </c>
      <c r="Z977" s="52">
        <f t="shared" si="336"/>
        <v>111987.23435286377</v>
      </c>
      <c r="AA977" s="52">
        <f t="shared" si="337"/>
        <v>-334806.2594781075</v>
      </c>
      <c r="AB977" s="52">
        <f t="shared" si="338"/>
        <v>574.68732387936655</v>
      </c>
      <c r="AC977" s="52">
        <f t="shared" si="339"/>
        <v>-471.15561459900238</v>
      </c>
      <c r="AD977" s="52">
        <f t="shared" si="323"/>
        <v>-3.1002193659786546</v>
      </c>
      <c r="AE977" s="52">
        <f t="shared" si="324"/>
        <v>9.4847815444780714</v>
      </c>
      <c r="AF977" s="52">
        <f t="shared" si="325"/>
        <v>-1.0802909330333761</v>
      </c>
      <c r="AG977" s="52">
        <f t="shared" si="326"/>
        <v>4.0200181148641878</v>
      </c>
      <c r="AH977" s="52">
        <f t="shared" si="327"/>
        <v>-0.47074906808853534</v>
      </c>
      <c r="AI977" s="52">
        <f t="shared" si="328"/>
        <v>1.2297948821812779</v>
      </c>
      <c r="AJ977" s="52">
        <f t="shared" si="329"/>
        <v>-1.5491793648567431</v>
      </c>
      <c r="AK977" s="52">
        <f t="shared" si="330"/>
        <v>4.2349685474326062</v>
      </c>
      <c r="AM977" s="52">
        <f t="shared" si="331"/>
        <v>354450.59819639486</v>
      </c>
      <c r="AN977" s="57">
        <f t="shared" si="332"/>
        <v>369204.5322140585</v>
      </c>
      <c r="AO977" s="57">
        <f t="shared" si="333"/>
        <v>340532.01993778866</v>
      </c>
    </row>
    <row r="978" spans="12:41" x14ac:dyDescent="0.25">
      <c r="L978" s="6">
        <v>975</v>
      </c>
      <c r="M978" s="52">
        <f t="shared" si="319"/>
        <v>18705.904774487393</v>
      </c>
      <c r="N978" s="52">
        <f t="shared" si="320"/>
        <v>2670.370868554659</v>
      </c>
      <c r="P978" s="6">
        <v>975</v>
      </c>
      <c r="Q978" s="52">
        <f t="shared" si="334"/>
        <v>-20905.866657858824</v>
      </c>
      <c r="R978" s="52">
        <f t="shared" si="335"/>
        <v>6619.2596079882615</v>
      </c>
      <c r="T978" s="6">
        <v>975</v>
      </c>
      <c r="U978" s="52">
        <f t="shared" si="321"/>
        <v>-6294.0952255126058</v>
      </c>
      <c r="V978" s="52">
        <f t="shared" si="322"/>
        <v>-19829.629131445341</v>
      </c>
      <c r="X978" s="6">
        <v>974</v>
      </c>
      <c r="Y978" s="55">
        <v>487</v>
      </c>
      <c r="Z978" s="52">
        <f t="shared" si="336"/>
        <v>112274.1904873827</v>
      </c>
      <c r="AA978" s="52">
        <f t="shared" si="337"/>
        <v>-335040.65168771392</v>
      </c>
      <c r="AB978" s="52">
        <f t="shared" si="338"/>
        <v>573.13721419637727</v>
      </c>
      <c r="AC978" s="52">
        <f t="shared" si="339"/>
        <v>-466.41322382676333</v>
      </c>
      <c r="AD978" s="52">
        <f t="shared" si="323"/>
        <v>-3.1000806707933553</v>
      </c>
      <c r="AE978" s="52">
        <f t="shared" si="324"/>
        <v>9.4661772846997643</v>
      </c>
      <c r="AF978" s="52">
        <f t="shared" si="325"/>
        <v>-1.0809079820771064</v>
      </c>
      <c r="AG978" s="52">
        <f t="shared" si="326"/>
        <v>4.012551317323898</v>
      </c>
      <c r="AH978" s="52">
        <f t="shared" si="327"/>
        <v>-0.47054254619521574</v>
      </c>
      <c r="AI978" s="52">
        <f t="shared" si="328"/>
        <v>1.227422418445874</v>
      </c>
      <c r="AJ978" s="52">
        <f t="shared" si="329"/>
        <v>-1.5486301425210334</v>
      </c>
      <c r="AK978" s="52">
        <f t="shared" si="330"/>
        <v>4.2262035489299929</v>
      </c>
      <c r="AM978" s="52">
        <f t="shared" si="331"/>
        <v>354751.49652784487</v>
      </c>
      <c r="AN978" s="57">
        <f t="shared" si="332"/>
        <v>369526.06509713863</v>
      </c>
      <c r="AO978" s="57">
        <f t="shared" si="333"/>
        <v>340850.78038221877</v>
      </c>
    </row>
    <row r="979" spans="12:41" x14ac:dyDescent="0.25">
      <c r="L979" s="6">
        <v>976</v>
      </c>
      <c r="M979" s="52">
        <f t="shared" si="319"/>
        <v>18790.390522001653</v>
      </c>
      <c r="N979" s="52">
        <f t="shared" si="320"/>
        <v>2648.5213686200195</v>
      </c>
      <c r="P979" s="6">
        <v>976</v>
      </c>
      <c r="Q979" s="52">
        <f t="shared" si="334"/>
        <v>-20846.726634598843</v>
      </c>
      <c r="R979" s="52">
        <f t="shared" si="335"/>
        <v>6603.9649580340138</v>
      </c>
      <c r="T979" s="6">
        <v>976</v>
      </c>
      <c r="U979" s="52">
        <f t="shared" si="321"/>
        <v>-6209.6094779983459</v>
      </c>
      <c r="V979" s="52">
        <f t="shared" si="322"/>
        <v>-19851.478631379981</v>
      </c>
      <c r="X979" s="6">
        <v>975</v>
      </c>
      <c r="Y979" s="55">
        <v>487.5</v>
      </c>
      <c r="Z979" s="52">
        <f t="shared" si="336"/>
        <v>112560.37158439704</v>
      </c>
      <c r="AA979" s="52">
        <f t="shared" si="337"/>
        <v>-335272.67502746673</v>
      </c>
      <c r="AB979" s="52">
        <f t="shared" si="338"/>
        <v>571.58717386098056</v>
      </c>
      <c r="AC979" s="52">
        <f t="shared" si="339"/>
        <v>-461.68013518441347</v>
      </c>
      <c r="AD979" s="52">
        <f t="shared" si="323"/>
        <v>-3.0999692322874672</v>
      </c>
      <c r="AE979" s="52">
        <f t="shared" si="324"/>
        <v>9.4477520211272719</v>
      </c>
      <c r="AF979" s="52">
        <f t="shared" si="325"/>
        <v>-1.0815297221016358</v>
      </c>
      <c r="AG979" s="52">
        <f t="shared" si="326"/>
        <v>4.0051571706199027</v>
      </c>
      <c r="AH979" s="52">
        <f t="shared" si="327"/>
        <v>-0.47034136253157993</v>
      </c>
      <c r="AI979" s="52">
        <f t="shared" si="328"/>
        <v>1.2250721575108867</v>
      </c>
      <c r="AJ979" s="52">
        <f t="shared" si="329"/>
        <v>-1.5480981476542517</v>
      </c>
      <c r="AK979" s="52">
        <f t="shared" si="330"/>
        <v>4.2175226929964813</v>
      </c>
      <c r="AM979" s="52">
        <f t="shared" si="331"/>
        <v>355050.03750644356</v>
      </c>
      <c r="AN979" s="57">
        <f t="shared" si="332"/>
        <v>369845.20036795945</v>
      </c>
      <c r="AO979" s="57">
        <f t="shared" si="333"/>
        <v>341167.15453910688</v>
      </c>
    </row>
    <row r="980" spans="12:41" x14ac:dyDescent="0.25">
      <c r="L980" s="6">
        <v>977</v>
      </c>
      <c r="M980" s="52">
        <f t="shared" si="319"/>
        <v>18875.244728280664</v>
      </c>
      <c r="N980" s="52">
        <f t="shared" si="320"/>
        <v>2628.1496760738264</v>
      </c>
      <c r="P980" s="6">
        <v>977</v>
      </c>
      <c r="Q980" s="52">
        <f t="shared" si="334"/>
        <v>-20787.328690203536</v>
      </c>
      <c r="R980" s="52">
        <f t="shared" si="335"/>
        <v>6589.7047732516785</v>
      </c>
      <c r="T980" s="6">
        <v>977</v>
      </c>
      <c r="U980" s="52">
        <f t="shared" si="321"/>
        <v>-6124.7552717193375</v>
      </c>
      <c r="V980" s="52">
        <f t="shared" si="322"/>
        <v>-19871.850323926174</v>
      </c>
      <c r="X980" s="6">
        <v>976</v>
      </c>
      <c r="Y980" s="55">
        <v>488</v>
      </c>
      <c r="Z980" s="52">
        <f t="shared" si="336"/>
        <v>112845.77767517349</v>
      </c>
      <c r="AA980" s="52">
        <f t="shared" si="337"/>
        <v>-335502.33412605629</v>
      </c>
      <c r="AB980" s="52">
        <f t="shared" si="338"/>
        <v>570.03718924483678</v>
      </c>
      <c r="AC980" s="52">
        <f t="shared" si="339"/>
        <v>-456.95625917384984</v>
      </c>
      <c r="AD980" s="52">
        <f t="shared" si="323"/>
        <v>-3.0998850397326789</v>
      </c>
      <c r="AE980" s="52">
        <f t="shared" si="324"/>
        <v>9.4295042509865787</v>
      </c>
      <c r="AF980" s="52">
        <f t="shared" si="325"/>
        <v>-1.0821562159547353</v>
      </c>
      <c r="AG980" s="52">
        <f t="shared" si="326"/>
        <v>3.9978350901437611</v>
      </c>
      <c r="AH980" s="52">
        <f t="shared" si="327"/>
        <v>-0.4701454959905495</v>
      </c>
      <c r="AI980" s="52">
        <f t="shared" si="328"/>
        <v>1.2227439146825347</v>
      </c>
      <c r="AJ980" s="52">
        <f t="shared" si="329"/>
        <v>-1.547583327787394</v>
      </c>
      <c r="AK980" s="52">
        <f t="shared" si="330"/>
        <v>4.2089252461602822</v>
      </c>
      <c r="AM980" s="52">
        <f t="shared" si="331"/>
        <v>355346.22503697785</v>
      </c>
      <c r="AN980" s="57">
        <f t="shared" si="332"/>
        <v>370161.94230724836</v>
      </c>
      <c r="AO980" s="57">
        <f t="shared" si="333"/>
        <v>341481.14661883848</v>
      </c>
    </row>
    <row r="981" spans="12:41" x14ac:dyDescent="0.25">
      <c r="L981" s="6">
        <v>978</v>
      </c>
      <c r="M981" s="52">
        <f t="shared" si="319"/>
        <v>18960.441545911202</v>
      </c>
      <c r="N981" s="52">
        <f t="shared" si="320"/>
        <v>2609.2619963309717</v>
      </c>
      <c r="P981" s="6">
        <v>978</v>
      </c>
      <c r="Q981" s="52">
        <f t="shared" si="334"/>
        <v>-20727.690917862157</v>
      </c>
      <c r="R981" s="52">
        <f t="shared" si="335"/>
        <v>6576.4833974316807</v>
      </c>
      <c r="T981" s="6">
        <v>978</v>
      </c>
      <c r="U981" s="52">
        <f t="shared" si="321"/>
        <v>-6039.5584540887967</v>
      </c>
      <c r="V981" s="52">
        <f t="shared" si="322"/>
        <v>-19890.73800366903</v>
      </c>
      <c r="X981" s="6">
        <v>977</v>
      </c>
      <c r="Y981" s="55">
        <v>488.5</v>
      </c>
      <c r="Z981" s="52">
        <f t="shared" si="336"/>
        <v>113130.40878416595</v>
      </c>
      <c r="AA981" s="52">
        <f t="shared" si="337"/>
        <v>-335729.6335676118</v>
      </c>
      <c r="AB981" s="52">
        <f t="shared" si="338"/>
        <v>568.48724672497042</v>
      </c>
      <c r="AC981" s="52">
        <f t="shared" si="339"/>
        <v>-452.24150704835654</v>
      </c>
      <c r="AD981" s="52">
        <f t="shared" si="323"/>
        <v>-3.0998280832473504</v>
      </c>
      <c r="AE981" s="52">
        <f t="shared" si="324"/>
        <v>9.4114324927258171</v>
      </c>
      <c r="AF981" s="52">
        <f t="shared" si="325"/>
        <v>-1.0827875258383202</v>
      </c>
      <c r="AG981" s="52">
        <f t="shared" si="326"/>
        <v>3.9905844994879343</v>
      </c>
      <c r="AH981" s="52">
        <f t="shared" si="327"/>
        <v>-0.46995492586542037</v>
      </c>
      <c r="AI981" s="52">
        <f t="shared" si="328"/>
        <v>1.2204375078285676</v>
      </c>
      <c r="AJ981" s="52">
        <f t="shared" si="329"/>
        <v>-1.5470856315436099</v>
      </c>
      <c r="AK981" s="52">
        <f t="shared" si="330"/>
        <v>4.2004104854093152</v>
      </c>
      <c r="AM981" s="52">
        <f t="shared" si="331"/>
        <v>355640.0629839992</v>
      </c>
      <c r="AN981" s="57">
        <f t="shared" si="332"/>
        <v>370476.29515238118</v>
      </c>
      <c r="AO981" s="57">
        <f t="shared" si="333"/>
        <v>341792.76078923716</v>
      </c>
    </row>
    <row r="982" spans="12:41" x14ac:dyDescent="0.25">
      <c r="L982" s="6">
        <v>979</v>
      </c>
      <c r="M982" s="52">
        <f t="shared" si="319"/>
        <v>19045.955023117269</v>
      </c>
      <c r="N982" s="52">
        <f t="shared" si="320"/>
        <v>2591.8640827616809</v>
      </c>
      <c r="P982" s="6">
        <v>979</v>
      </c>
      <c r="Q982" s="52">
        <f t="shared" si="334"/>
        <v>-20667.83148381791</v>
      </c>
      <c r="R982" s="52">
        <f t="shared" si="335"/>
        <v>6564.3048579331771</v>
      </c>
      <c r="T982" s="6">
        <v>979</v>
      </c>
      <c r="U982" s="52">
        <f t="shared" si="321"/>
        <v>-5954.0449768827293</v>
      </c>
      <c r="V982" s="52">
        <f t="shared" si="322"/>
        <v>-19908.13591723832</v>
      </c>
      <c r="X982" s="6">
        <v>978</v>
      </c>
      <c r="Y982" s="55">
        <v>489</v>
      </c>
      <c r="Z982" s="52">
        <f t="shared" si="336"/>
        <v>113414.26492901803</v>
      </c>
      <c r="AA982" s="52">
        <f t="shared" si="337"/>
        <v>-335954.57789207442</v>
      </c>
      <c r="AB982" s="52">
        <f t="shared" si="338"/>
        <v>566.93733268334677</v>
      </c>
      <c r="AC982" s="52">
        <f t="shared" si="339"/>
        <v>-447.53579080199364</v>
      </c>
      <c r="AD982" s="52">
        <f t="shared" si="323"/>
        <v>-3.0997983538049265</v>
      </c>
      <c r="AE982" s="52">
        <f t="shared" si="324"/>
        <v>9.3935352856925167</v>
      </c>
      <c r="AF982" s="52">
        <f t="shared" si="325"/>
        <v>-1.0834237133285034</v>
      </c>
      <c r="AG982" s="52">
        <f t="shared" si="326"/>
        <v>3.9834048303249503</v>
      </c>
      <c r="AH982" s="52">
        <f t="shared" si="327"/>
        <v>-0.46976963184577902</v>
      </c>
      <c r="AI982" s="52">
        <f t="shared" si="328"/>
        <v>1.2181527573396185</v>
      </c>
      <c r="AJ982" s="52">
        <f t="shared" si="329"/>
        <v>-1.5466050086306442</v>
      </c>
      <c r="AK982" s="52">
        <f t="shared" si="330"/>
        <v>4.191977698027948</v>
      </c>
      <c r="AM982" s="52">
        <f t="shared" si="331"/>
        <v>355931.55517213105</v>
      </c>
      <c r="AN982" s="57">
        <f t="shared" si="332"/>
        <v>370788.26309773291</v>
      </c>
      <c r="AO982" s="57">
        <f t="shared" si="333"/>
        <v>342102.00117590564</v>
      </c>
    </row>
    <row r="983" spans="12:41" x14ac:dyDescent="0.25">
      <c r="L983" s="6">
        <v>980</v>
      </c>
      <c r="M983" s="52">
        <f t="shared" si="319"/>
        <v>19131.759111665338</v>
      </c>
      <c r="N983" s="52">
        <f t="shared" si="320"/>
        <v>2575.9612349389618</v>
      </c>
      <c r="P983" s="6">
        <v>980</v>
      </c>
      <c r="Q983" s="52">
        <f t="shared" si="334"/>
        <v>-20607.768621834264</v>
      </c>
      <c r="R983" s="52">
        <f t="shared" si="335"/>
        <v>6553.1728644572731</v>
      </c>
      <c r="T983" s="6">
        <v>980</v>
      </c>
      <c r="U983" s="52">
        <f t="shared" si="321"/>
        <v>-5868.2408883346625</v>
      </c>
      <c r="V983" s="52">
        <f t="shared" si="322"/>
        <v>-19924.038765061039</v>
      </c>
      <c r="X983" s="6">
        <v>979</v>
      </c>
      <c r="Y983" s="55">
        <v>489.5</v>
      </c>
      <c r="Z983" s="52">
        <f t="shared" si="336"/>
        <v>113697.34612056547</v>
      </c>
      <c r="AA983" s="52">
        <f t="shared" si="337"/>
        <v>-336177.17159556469</v>
      </c>
      <c r="AB983" s="52">
        <f t="shared" si="338"/>
        <v>565.38743350644427</v>
      </c>
      <c r="AC983" s="52">
        <f t="shared" si="339"/>
        <v>-442.83902315914736</v>
      </c>
      <c r="AD983" s="52">
        <f t="shared" si="323"/>
        <v>-3.0997958432421315</v>
      </c>
      <c r="AE983" s="52">
        <f t="shared" si="324"/>
        <v>9.3758111898169716</v>
      </c>
      <c r="AF983" s="52">
        <f t="shared" si="325"/>
        <v>-1.084064839395209</v>
      </c>
      <c r="AG983" s="52">
        <f t="shared" si="326"/>
        <v>3.9762955222887695</v>
      </c>
      <c r="AH983" s="52">
        <f t="shared" si="327"/>
        <v>-0.4695895940135234</v>
      </c>
      <c r="AI983" s="52">
        <f t="shared" si="328"/>
        <v>1.215889486091345</v>
      </c>
      <c r="AJ983" s="52">
        <f t="shared" si="329"/>
        <v>-1.5461414098333994</v>
      </c>
      <c r="AK983" s="52">
        <f t="shared" si="330"/>
        <v>4.1836261814368561</v>
      </c>
      <c r="AM983" s="52">
        <f t="shared" si="331"/>
        <v>356220.70538637176</v>
      </c>
      <c r="AN983" s="57">
        <f t="shared" si="332"/>
        <v>371097.85029502306</v>
      </c>
      <c r="AO983" s="57">
        <f t="shared" si="333"/>
        <v>342408.87186256162</v>
      </c>
    </row>
    <row r="984" spans="12:41" x14ac:dyDescent="0.25">
      <c r="L984" s="6">
        <v>981</v>
      </c>
      <c r="M984" s="52">
        <f t="shared" si="319"/>
        <v>19217.827674798846</v>
      </c>
      <c r="N984" s="52">
        <f t="shared" si="320"/>
        <v>2561.5582970243113</v>
      </c>
      <c r="P984" s="6">
        <v>981</v>
      </c>
      <c r="Q984" s="52">
        <f t="shared" si="334"/>
        <v>-20547.520627640806</v>
      </c>
      <c r="R984" s="52">
        <f t="shared" si="335"/>
        <v>6543.0908079170176</v>
      </c>
      <c r="T984" s="6">
        <v>981</v>
      </c>
      <c r="U984" s="52">
        <f t="shared" si="321"/>
        <v>-5782.1723252011534</v>
      </c>
      <c r="V984" s="52">
        <f t="shared" si="322"/>
        <v>-19938.441702975688</v>
      </c>
      <c r="X984" s="6">
        <v>980</v>
      </c>
      <c r="Y984" s="55">
        <v>490</v>
      </c>
      <c r="Z984" s="52">
        <f t="shared" si="336"/>
        <v>113979.65236283829</v>
      </c>
      <c r="AA984" s="52">
        <f t="shared" si="337"/>
        <v>-336397.41913074552</v>
      </c>
      <c r="AB984" s="52">
        <f t="shared" si="338"/>
        <v>563.83753558482317</v>
      </c>
      <c r="AC984" s="52">
        <f t="shared" si="339"/>
        <v>-438.15111756423886</v>
      </c>
      <c r="AD984" s="52">
        <f t="shared" si="323"/>
        <v>-3.0998205442669393</v>
      </c>
      <c r="AE984" s="52">
        <f t="shared" si="324"/>
        <v>9.3582587853016719</v>
      </c>
      <c r="AF984" s="52">
        <f t="shared" si="325"/>
        <v>-1.0847109644214399</v>
      </c>
      <c r="AG984" s="52">
        <f t="shared" si="326"/>
        <v>3.9692560228586187</v>
      </c>
      <c r="AH984" s="52">
        <f t="shared" si="327"/>
        <v>-0.46941479283892595</v>
      </c>
      <c r="AI984" s="52">
        <f t="shared" si="328"/>
        <v>1.2136475194071989</v>
      </c>
      <c r="AJ984" s="52">
        <f t="shared" si="329"/>
        <v>-1.5456947870065731</v>
      </c>
      <c r="AK984" s="52">
        <f t="shared" si="330"/>
        <v>4.1753552430358534</v>
      </c>
      <c r="AM984" s="52">
        <f t="shared" si="331"/>
        <v>356507.51737239369</v>
      </c>
      <c r="AN984" s="57">
        <f t="shared" si="332"/>
        <v>371405.06085365661</v>
      </c>
      <c r="AO984" s="57">
        <f t="shared" si="333"/>
        <v>342713.37689136958</v>
      </c>
    </row>
    <row r="985" spans="12:41" x14ac:dyDescent="0.25">
      <c r="L985" s="6">
        <v>982</v>
      </c>
      <c r="M985" s="52">
        <f t="shared" si="319"/>
        <v>19304.134495199669</v>
      </c>
      <c r="N985" s="52">
        <f t="shared" si="320"/>
        <v>2548.6596562921495</v>
      </c>
      <c r="P985" s="6">
        <v>982</v>
      </c>
      <c r="Q985" s="52">
        <f t="shared" si="334"/>
        <v>-20487.105853360234</v>
      </c>
      <c r="R985" s="52">
        <f t="shared" si="335"/>
        <v>6534.0617594045043</v>
      </c>
      <c r="T985" s="6">
        <v>982</v>
      </c>
      <c r="U985" s="52">
        <f t="shared" si="321"/>
        <v>-5695.8655048003311</v>
      </c>
      <c r="V985" s="52">
        <f t="shared" si="322"/>
        <v>-19951.340343707852</v>
      </c>
      <c r="X985" s="6">
        <v>981</v>
      </c>
      <c r="Y985" s="55">
        <v>490.5</v>
      </c>
      <c r="Z985" s="52">
        <f t="shared" si="336"/>
        <v>114261.18365306266</v>
      </c>
      <c r="AA985" s="52">
        <f t="shared" si="337"/>
        <v>-336615.32490717951</v>
      </c>
      <c r="AB985" s="52">
        <f t="shared" si="338"/>
        <v>562.28762531268967</v>
      </c>
      <c r="AC985" s="52">
        <f t="shared" si="339"/>
        <v>-433.47198817158801</v>
      </c>
      <c r="AD985" s="52">
        <f t="shared" si="323"/>
        <v>-3.0998724504664885</v>
      </c>
      <c r="AE985" s="52">
        <f t="shared" si="324"/>
        <v>9.3408766723169556</v>
      </c>
      <c r="AF985" s="52">
        <f t="shared" si="325"/>
        <v>-1.0853621482220892</v>
      </c>
      <c r="AG985" s="52">
        <f t="shared" si="326"/>
        <v>3.9622857872447628</v>
      </c>
      <c r="AH985" s="52">
        <f t="shared" si="327"/>
        <v>-0.46924520917680734</v>
      </c>
      <c r="AI985" s="52">
        <f t="shared" si="328"/>
        <v>1.2114266850219764</v>
      </c>
      <c r="AJ985" s="52">
        <f t="shared" si="329"/>
        <v>-1.5452650930675922</v>
      </c>
      <c r="AK985" s="52">
        <f t="shared" si="330"/>
        <v>4.1671642000502152</v>
      </c>
      <c r="AM985" s="52">
        <f t="shared" si="331"/>
        <v>356791.99483683787</v>
      </c>
      <c r="AN985" s="57">
        <f t="shared" si="332"/>
        <v>371709.89884105994</v>
      </c>
      <c r="AO985" s="57">
        <f t="shared" si="333"/>
        <v>343015.52026326768</v>
      </c>
    </row>
    <row r="986" spans="12:41" x14ac:dyDescent="0.25">
      <c r="L986" s="6">
        <v>983</v>
      </c>
      <c r="M986" s="52">
        <f t="shared" si="319"/>
        <v>19390.653282974272</v>
      </c>
      <c r="N986" s="52">
        <f t="shared" si="320"/>
        <v>2537.2692417933886</v>
      </c>
      <c r="P986" s="6">
        <v>983</v>
      </c>
      <c r="Q986" s="52">
        <f t="shared" si="334"/>
        <v>-20426.54270191801</v>
      </c>
      <c r="R986" s="52">
        <f t="shared" si="335"/>
        <v>6526.0884692553718</v>
      </c>
      <c r="T986" s="6">
        <v>983</v>
      </c>
      <c r="U986" s="52">
        <f t="shared" si="321"/>
        <v>-5609.34671702573</v>
      </c>
      <c r="V986" s="52">
        <f t="shared" si="322"/>
        <v>-19962.730758206613</v>
      </c>
      <c r="X986" s="6">
        <v>982</v>
      </c>
      <c r="Y986" s="55">
        <v>491</v>
      </c>
      <c r="Z986" s="52">
        <f t="shared" si="336"/>
        <v>114541.9399816627</v>
      </c>
      <c r="AA986" s="52">
        <f t="shared" si="337"/>
        <v>-336830.89329168125</v>
      </c>
      <c r="AB986" s="52">
        <f t="shared" si="338"/>
        <v>560.73768908745637</v>
      </c>
      <c r="AC986" s="52">
        <f t="shared" si="339"/>
        <v>-428.80154983542951</v>
      </c>
      <c r="AD986" s="52">
        <f t="shared" si="323"/>
        <v>-3.099951556314811</v>
      </c>
      <c r="AE986" s="52">
        <f t="shared" si="324"/>
        <v>9.3236634707024901</v>
      </c>
      <c r="AF986" s="52">
        <f t="shared" si="325"/>
        <v>-1.0860184500624754</v>
      </c>
      <c r="AG986" s="52">
        <f t="shared" si="326"/>
        <v>3.9553842782768194</v>
      </c>
      <c r="AH986" s="52">
        <f t="shared" si="327"/>
        <v>-0.46908082426278458</v>
      </c>
      <c r="AI986" s="52">
        <f t="shared" si="328"/>
        <v>1.2092268130460559</v>
      </c>
      <c r="AJ986" s="52">
        <f t="shared" si="329"/>
        <v>-1.5448522819895507</v>
      </c>
      <c r="AK986" s="52">
        <f t="shared" si="330"/>
        <v>4.1590523793796148</v>
      </c>
      <c r="AM986" s="52">
        <f t="shared" si="331"/>
        <v>357074.14144760399</v>
      </c>
      <c r="AN986" s="57">
        <f t="shared" si="332"/>
        <v>372012.36828301143</v>
      </c>
      <c r="AO986" s="57">
        <f t="shared" si="333"/>
        <v>343315.30593828898</v>
      </c>
    </row>
    <row r="987" spans="12:41" x14ac:dyDescent="0.25">
      <c r="L987" s="6">
        <v>984</v>
      </c>
      <c r="M987" s="52">
        <f t="shared" si="319"/>
        <v>19477.357683661736</v>
      </c>
      <c r="N987" s="52">
        <f t="shared" si="320"/>
        <v>2527.3905231586332</v>
      </c>
      <c r="P987" s="6">
        <v>984</v>
      </c>
      <c r="Q987" s="52">
        <f t="shared" si="334"/>
        <v>-20365.849621436784</v>
      </c>
      <c r="R987" s="52">
        <f t="shared" si="335"/>
        <v>6519.1733662110437</v>
      </c>
      <c r="T987" s="6">
        <v>984</v>
      </c>
      <c r="U987" s="52">
        <f t="shared" si="321"/>
        <v>-5522.6423163382651</v>
      </c>
      <c r="V987" s="52">
        <f t="shared" si="322"/>
        <v>-19972.609476841368</v>
      </c>
      <c r="X987" s="6">
        <v>983</v>
      </c>
      <c r="Y987" s="55">
        <v>491.5</v>
      </c>
      <c r="Z987" s="52">
        <f t="shared" si="336"/>
        <v>114821.92133226189</v>
      </c>
      <c r="AA987" s="52">
        <f t="shared" si="337"/>
        <v>-337044.12860866514</v>
      </c>
      <c r="AB987" s="52">
        <f t="shared" si="338"/>
        <v>559.18771330929894</v>
      </c>
      <c r="AC987" s="52">
        <f t="shared" si="339"/>
        <v>-424.13971810007826</v>
      </c>
      <c r="AD987" s="52">
        <f t="shared" si="323"/>
        <v>-3.1000578571802571</v>
      </c>
      <c r="AE987" s="52">
        <f t="shared" si="324"/>
        <v>9.3066178196740204</v>
      </c>
      <c r="AF987" s="52">
        <f t="shared" si="325"/>
        <v>-1.0866799286763649</v>
      </c>
      <c r="AG987" s="52">
        <f t="shared" si="326"/>
        <v>3.9485509662936642</v>
      </c>
      <c r="AH987" s="52">
        <f t="shared" si="327"/>
        <v>-0.46892161970957513</v>
      </c>
      <c r="AI987" s="52">
        <f t="shared" si="328"/>
        <v>1.2070477359302529</v>
      </c>
      <c r="AJ987" s="52">
        <f t="shared" si="329"/>
        <v>-1.5444563087943173</v>
      </c>
      <c r="AK987" s="52">
        <f t="shared" si="330"/>
        <v>4.1510191174501019</v>
      </c>
      <c r="AM987" s="52">
        <f t="shared" si="331"/>
        <v>357353.96083413716</v>
      </c>
      <c r="AN987" s="57">
        <f t="shared" si="332"/>
        <v>372312.47316396795</v>
      </c>
      <c r="AO987" s="57">
        <f t="shared" si="333"/>
        <v>343612.73783588002</v>
      </c>
    </row>
    <row r="988" spans="12:41" x14ac:dyDescent="0.25">
      <c r="L988" s="6">
        <v>985</v>
      </c>
      <c r="M988" s="52">
        <f t="shared" si="319"/>
        <v>19564.221286261705</v>
      </c>
      <c r="N988" s="52">
        <f t="shared" si="320"/>
        <v>2519.0265095412724</v>
      </c>
      <c r="P988" s="6">
        <v>985</v>
      </c>
      <c r="Q988" s="52">
        <f t="shared" si="334"/>
        <v>-20305.045099616807</v>
      </c>
      <c r="R988" s="52">
        <f t="shared" si="335"/>
        <v>6513.3185566788907</v>
      </c>
      <c r="T988" s="6">
        <v>985</v>
      </c>
      <c r="U988" s="52">
        <f t="shared" si="321"/>
        <v>-5435.7787137382938</v>
      </c>
      <c r="V988" s="52">
        <f t="shared" si="322"/>
        <v>-19980.973490458728</v>
      </c>
      <c r="X988" s="6">
        <v>984</v>
      </c>
      <c r="Y988" s="55">
        <v>492</v>
      </c>
      <c r="Z988" s="52">
        <f t="shared" si="336"/>
        <v>115101.12768168439</v>
      </c>
      <c r="AA988" s="52">
        <f t="shared" si="337"/>
        <v>-337255.03514048771</v>
      </c>
      <c r="AB988" s="52">
        <f t="shared" si="338"/>
        <v>557.63768438070883</v>
      </c>
      <c r="AC988" s="52">
        <f t="shared" si="339"/>
        <v>-419.48640919024126</v>
      </c>
      <c r="AD988" s="52">
        <f t="shared" si="323"/>
        <v>-3.1001913493329907</v>
      </c>
      <c r="AE988" s="52">
        <f t="shared" si="324"/>
        <v>9.2897383775363416</v>
      </c>
      <c r="AF988" s="52">
        <f t="shared" si="325"/>
        <v>-1.0873466422837792</v>
      </c>
      <c r="AG988" s="52">
        <f t="shared" si="326"/>
        <v>3.9417853290359233</v>
      </c>
      <c r="AH988" s="52">
        <f t="shared" si="327"/>
        <v>-0.4687675775034123</v>
      </c>
      <c r="AI988" s="52">
        <f t="shared" si="328"/>
        <v>1.2048892884314317</v>
      </c>
      <c r="AJ988" s="52">
        <f t="shared" si="329"/>
        <v>-1.5440771295457991</v>
      </c>
      <c r="AK988" s="52">
        <f t="shared" si="330"/>
        <v>4.1430637600689879</v>
      </c>
      <c r="AM988" s="52">
        <f t="shared" si="331"/>
        <v>357631.45658770978</v>
      </c>
      <c r="AN988" s="57">
        <f t="shared" si="332"/>
        <v>372610.21742738638</v>
      </c>
      <c r="AO988" s="57">
        <f t="shared" si="333"/>
        <v>343907.8198352129</v>
      </c>
    </row>
    <row r="989" spans="12:41" x14ac:dyDescent="0.25">
      <c r="L989" s="6">
        <v>986</v>
      </c>
      <c r="M989" s="52">
        <f t="shared" si="319"/>
        <v>19651.217631279382</v>
      </c>
      <c r="N989" s="52">
        <f t="shared" si="320"/>
        <v>2512.179748700878</v>
      </c>
      <c r="P989" s="6">
        <v>986</v>
      </c>
      <c r="Q989" s="52">
        <f t="shared" si="334"/>
        <v>-20244.147658104434</v>
      </c>
      <c r="R989" s="52">
        <f t="shared" si="335"/>
        <v>6508.5258240906151</v>
      </c>
      <c r="T989" s="6">
        <v>986</v>
      </c>
      <c r="U989" s="52">
        <f t="shared" si="321"/>
        <v>-5348.7823687206173</v>
      </c>
      <c r="V989" s="52">
        <f t="shared" si="322"/>
        <v>-19987.820251299123</v>
      </c>
      <c r="X989" s="6">
        <v>985</v>
      </c>
      <c r="Y989" s="55">
        <v>492.5</v>
      </c>
      <c r="Z989" s="52">
        <f t="shared" si="336"/>
        <v>115379.55899995609</v>
      </c>
      <c r="AA989" s="52">
        <f t="shared" si="337"/>
        <v>-337463.61712778563</v>
      </c>
      <c r="AB989" s="52">
        <f t="shared" si="338"/>
        <v>556.08758870604231</v>
      </c>
      <c r="AC989" s="52">
        <f t="shared" si="339"/>
        <v>-414.84154000147311</v>
      </c>
      <c r="AD989" s="52">
        <f t="shared" si="323"/>
        <v>-3.1003520299522975</v>
      </c>
      <c r="AE989" s="52">
        <f t="shared" si="324"/>
        <v>9.2730238214016509</v>
      </c>
      <c r="AF989" s="52">
        <f t="shared" si="325"/>
        <v>-1.0880186486083938</v>
      </c>
      <c r="AG989" s="52">
        <f t="shared" si="326"/>
        <v>3.9350868515402699</v>
      </c>
      <c r="AH989" s="52">
        <f t="shared" si="327"/>
        <v>-0.46861868000050738</v>
      </c>
      <c r="AI989" s="52">
        <f t="shared" si="328"/>
        <v>1.2027513075786973</v>
      </c>
      <c r="AJ989" s="52">
        <f t="shared" si="329"/>
        <v>-1.5437147013433965</v>
      </c>
      <c r="AK989" s="52">
        <f t="shared" si="330"/>
        <v>4.1351856622826846</v>
      </c>
      <c r="AM989" s="52">
        <f t="shared" si="331"/>
        <v>357906.63226169976</v>
      </c>
      <c r="AN989" s="57">
        <f t="shared" si="332"/>
        <v>372905.60497604084</v>
      </c>
      <c r="AO989" s="57">
        <f t="shared" si="333"/>
        <v>344200.55577549414</v>
      </c>
    </row>
    <row r="990" spans="12:41" x14ac:dyDescent="0.25">
      <c r="L990" s="6">
        <v>987</v>
      </c>
      <c r="M990" s="52">
        <f t="shared" si="319"/>
        <v>19738.320218785284</v>
      </c>
      <c r="N990" s="52">
        <f t="shared" si="320"/>
        <v>2506.8523262271301</v>
      </c>
      <c r="P990" s="6">
        <v>987</v>
      </c>
      <c r="Q990" s="52">
        <f t="shared" si="334"/>
        <v>-20183.175846850299</v>
      </c>
      <c r="R990" s="52">
        <f t="shared" si="335"/>
        <v>6504.7966283589913</v>
      </c>
      <c r="T990" s="6">
        <v>987</v>
      </c>
      <c r="U990" s="52">
        <f t="shared" si="321"/>
        <v>-5261.6797812147151</v>
      </c>
      <c r="V990" s="52">
        <f t="shared" si="322"/>
        <v>-19993.14767377287</v>
      </c>
      <c r="X990" s="6">
        <v>986</v>
      </c>
      <c r="Y990" s="55">
        <v>493</v>
      </c>
      <c r="Z990" s="52">
        <f t="shared" si="336"/>
        <v>115657.21525030538</v>
      </c>
      <c r="AA990" s="52">
        <f t="shared" si="337"/>
        <v>-337669.87876980868</v>
      </c>
      <c r="AB990" s="52">
        <f t="shared" si="338"/>
        <v>554.53741269106615</v>
      </c>
      <c r="AC990" s="52">
        <f t="shared" si="339"/>
        <v>-410.20502809077226</v>
      </c>
      <c r="AD990" s="52">
        <f t="shared" si="323"/>
        <v>-3.100539897133614</v>
      </c>
      <c r="AE990" s="52">
        <f t="shared" si="324"/>
        <v>9.2564728469127644</v>
      </c>
      <c r="AF990" s="52">
        <f t="shared" si="325"/>
        <v>-1.0886960048945471</v>
      </c>
      <c r="AG990" s="52">
        <f t="shared" si="326"/>
        <v>3.9284550260355418</v>
      </c>
      <c r="AH990" s="52">
        <f t="shared" si="327"/>
        <v>-0.46847490992359264</v>
      </c>
      <c r="AI990" s="52">
        <f t="shared" si="328"/>
        <v>1.2006336326402354</v>
      </c>
      <c r="AJ990" s="52">
        <f t="shared" si="329"/>
        <v>-1.5433689823154741</v>
      </c>
      <c r="AK990" s="52">
        <f t="shared" si="330"/>
        <v>4.1273841882369862</v>
      </c>
      <c r="AM990" s="52">
        <f t="shared" si="331"/>
        <v>358179.49137186469</v>
      </c>
      <c r="AN990" s="57">
        <f t="shared" si="332"/>
        <v>373198.63967233471</v>
      </c>
      <c r="AO990" s="57">
        <f t="shared" si="333"/>
        <v>344490.94945626881</v>
      </c>
    </row>
    <row r="991" spans="12:41" x14ac:dyDescent="0.25">
      <c r="L991" s="6">
        <v>988</v>
      </c>
      <c r="M991" s="52">
        <f t="shared" si="319"/>
        <v>19825.502516487493</v>
      </c>
      <c r="N991" s="52">
        <f t="shared" si="320"/>
        <v>2503.0458649045213</v>
      </c>
      <c r="P991" s="6">
        <v>988</v>
      </c>
      <c r="Q991" s="52">
        <f t="shared" si="334"/>
        <v>-20122.148238458754</v>
      </c>
      <c r="R991" s="52">
        <f t="shared" si="335"/>
        <v>6502.1321054331647</v>
      </c>
      <c r="T991" s="6">
        <v>988</v>
      </c>
      <c r="U991" s="52">
        <f t="shared" si="321"/>
        <v>-5174.4974835125058</v>
      </c>
      <c r="V991" s="52">
        <f t="shared" si="322"/>
        <v>-19996.954135095479</v>
      </c>
      <c r="X991" s="6">
        <v>987</v>
      </c>
      <c r="Y991" s="55">
        <v>493.5</v>
      </c>
      <c r="Z991" s="52">
        <f t="shared" si="336"/>
        <v>115934.09638916378</v>
      </c>
      <c r="AA991" s="52">
        <f t="shared" si="337"/>
        <v>-337873.82422474818</v>
      </c>
      <c r="AB991" s="52">
        <f t="shared" si="338"/>
        <v>552.98714274249937</v>
      </c>
      <c r="AC991" s="52">
        <f t="shared" si="339"/>
        <v>-405.57679166731589</v>
      </c>
      <c r="AD991" s="52">
        <f t="shared" si="323"/>
        <v>-3.1007549498956535</v>
      </c>
      <c r="AE991" s="52">
        <f t="shared" si="324"/>
        <v>9.2400841679723129</v>
      </c>
      <c r="AF991" s="52">
        <f t="shared" si="325"/>
        <v>-1.0893787679240412</v>
      </c>
      <c r="AG991" s="52">
        <f t="shared" si="326"/>
        <v>3.9218893518412195</v>
      </c>
      <c r="AH991" s="52">
        <f t="shared" si="327"/>
        <v>-0.46833625035855353</v>
      </c>
      <c r="AI991" s="52">
        <f t="shared" si="328"/>
        <v>1.1985361050908248</v>
      </c>
      <c r="AJ991" s="52">
        <f t="shared" si="329"/>
        <v>-1.5430399316130587</v>
      </c>
      <c r="AK991" s="52">
        <f t="shared" si="330"/>
        <v>4.1196587110402696</v>
      </c>
      <c r="AM991" s="52">
        <f t="shared" si="331"/>
        <v>358450.03739661211</v>
      </c>
      <c r="AN991" s="57">
        <f t="shared" si="332"/>
        <v>373489.32533860917</v>
      </c>
      <c r="AO991" s="57">
        <f t="shared" si="333"/>
        <v>344779.0046377203</v>
      </c>
    </row>
    <row r="992" spans="12:41" x14ac:dyDescent="0.25">
      <c r="L992" s="6">
        <v>989</v>
      </c>
      <c r="M992" s="52">
        <f t="shared" si="319"/>
        <v>19912.737967813577</v>
      </c>
      <c r="N992" s="52">
        <f t="shared" si="320"/>
        <v>2500.7615242180436</v>
      </c>
      <c r="P992" s="6">
        <v>989</v>
      </c>
      <c r="Q992" s="52">
        <f t="shared" si="334"/>
        <v>-20061.083422530497</v>
      </c>
      <c r="R992" s="52">
        <f t="shared" si="335"/>
        <v>6500.5330669526302</v>
      </c>
      <c r="T992" s="6">
        <v>989</v>
      </c>
      <c r="U992" s="52">
        <f t="shared" si="321"/>
        <v>-5087.2620321864242</v>
      </c>
      <c r="V992" s="52">
        <f t="shared" si="322"/>
        <v>-19999.238475781956</v>
      </c>
      <c r="X992" s="6">
        <v>988</v>
      </c>
      <c r="Y992" s="55">
        <v>494</v>
      </c>
      <c r="Z992" s="52">
        <f t="shared" si="336"/>
        <v>116210.2023661663</v>
      </c>
      <c r="AA992" s="52">
        <f t="shared" si="337"/>
        <v>-338075.45761006081</v>
      </c>
      <c r="AB992" s="52">
        <f t="shared" si="338"/>
        <v>551.43676526755155</v>
      </c>
      <c r="AC992" s="52">
        <f t="shared" si="339"/>
        <v>-400.95674958332972</v>
      </c>
      <c r="AD992" s="52">
        <f t="shared" si="323"/>
        <v>-3.1009971881872938</v>
      </c>
      <c r="AE992" s="52">
        <f t="shared" si="324"/>
        <v>9.2238565164766548</v>
      </c>
      <c r="AF992" s="52">
        <f t="shared" si="325"/>
        <v>-1.0900669940324985</v>
      </c>
      <c r="AG992" s="52">
        <f t="shared" si="326"/>
        <v>3.9153893352673812</v>
      </c>
      <c r="AH992" s="52">
        <f t="shared" si="327"/>
        <v>-0.46820268475109433</v>
      </c>
      <c r="AI992" s="52">
        <f t="shared" si="328"/>
        <v>1.1964585685798586</v>
      </c>
      <c r="AJ992" s="52">
        <f t="shared" si="329"/>
        <v>-1.5427275094037012</v>
      </c>
      <c r="AK992" s="52">
        <f t="shared" si="330"/>
        <v>4.1120086126294151</v>
      </c>
      <c r="AM992" s="52">
        <f t="shared" si="331"/>
        <v>358718.27377726603</v>
      </c>
      <c r="AN992" s="57">
        <f t="shared" si="332"/>
        <v>373777.66575744626</v>
      </c>
      <c r="AO992" s="57">
        <f t="shared" si="333"/>
        <v>345064.7250409656</v>
      </c>
    </row>
    <row r="993" spans="12:41" x14ac:dyDescent="0.25">
      <c r="L993" s="6">
        <v>990</v>
      </c>
      <c r="M993" s="52">
        <f t="shared" si="319"/>
        <v>20000.000000000007</v>
      </c>
      <c r="N993" s="52">
        <f t="shared" si="320"/>
        <v>2500</v>
      </c>
      <c r="P993" s="6">
        <v>990</v>
      </c>
      <c r="Q993" s="52">
        <f t="shared" si="334"/>
        <v>-19999.999999999996</v>
      </c>
      <c r="R993" s="52">
        <f t="shared" si="335"/>
        <v>6500</v>
      </c>
      <c r="T993" s="6">
        <v>990</v>
      </c>
      <c r="U993" s="52">
        <f t="shared" si="321"/>
        <v>-4999.9999999999945</v>
      </c>
      <c r="V993" s="52">
        <f t="shared" si="322"/>
        <v>-20000</v>
      </c>
      <c r="X993" s="6">
        <v>989</v>
      </c>
      <c r="Y993" s="55">
        <v>494.5</v>
      </c>
      <c r="Z993" s="52">
        <f t="shared" si="336"/>
        <v>116485.53312415154</v>
      </c>
      <c r="AA993" s="52">
        <f t="shared" si="337"/>
        <v>-338274.78300278791</v>
      </c>
      <c r="AB993" s="52">
        <f t="shared" si="338"/>
        <v>549.88626667345795</v>
      </c>
      <c r="AC993" s="52">
        <f t="shared" si="339"/>
        <v>-396.3448213250914</v>
      </c>
      <c r="AD993" s="52">
        <f t="shared" si="323"/>
        <v>-3.1012666128943751</v>
      </c>
      <c r="AE993" s="52">
        <f t="shared" si="324"/>
        <v>9.207788642054954</v>
      </c>
      <c r="AF993" s="52">
        <f t="shared" si="325"/>
        <v>-1.0907607391255125</v>
      </c>
      <c r="AG993" s="52">
        <f t="shared" si="326"/>
        <v>3.9089544895169097</v>
      </c>
      <c r="AH993" s="52">
        <f t="shared" si="327"/>
        <v>-0.46807419690353125</v>
      </c>
      <c r="AI993" s="52">
        <f t="shared" si="328"/>
        <v>1.1944008689001118</v>
      </c>
      <c r="AJ993" s="52">
        <f t="shared" si="329"/>
        <v>-1.5424316768653312</v>
      </c>
      <c r="AK993" s="52">
        <f t="shared" si="330"/>
        <v>4.1044332836379338</v>
      </c>
      <c r="AM993" s="52">
        <f t="shared" si="331"/>
        <v>358984.20391832956</v>
      </c>
      <c r="AN993" s="57">
        <f t="shared" si="332"/>
        <v>374063.66467196849</v>
      </c>
      <c r="AO993" s="57">
        <f t="shared" si="333"/>
        <v>345348.11434834695</v>
      </c>
    </row>
    <row r="994" spans="12:41" x14ac:dyDescent="0.25">
      <c r="L994" s="6">
        <v>991</v>
      </c>
      <c r="M994" s="52">
        <f t="shared" si="319"/>
        <v>20087.262032186416</v>
      </c>
      <c r="N994" s="52">
        <f t="shared" si="320"/>
        <v>2500.7615242180436</v>
      </c>
      <c r="P994" s="6">
        <v>991</v>
      </c>
      <c r="Q994" s="52">
        <f t="shared" si="334"/>
        <v>-19938.916577469507</v>
      </c>
      <c r="R994" s="52">
        <f t="shared" si="335"/>
        <v>6500.5330669526302</v>
      </c>
      <c r="T994" s="6">
        <v>991</v>
      </c>
      <c r="U994" s="52">
        <f t="shared" si="321"/>
        <v>-4912.7379678135821</v>
      </c>
      <c r="V994" s="52">
        <f t="shared" si="322"/>
        <v>-19999.238475781956</v>
      </c>
      <c r="X994" s="6">
        <v>990</v>
      </c>
      <c r="Y994" s="55">
        <v>495</v>
      </c>
      <c r="Z994" s="52">
        <f t="shared" si="336"/>
        <v>116760.08859916165</v>
      </c>
      <c r="AA994" s="52">
        <f t="shared" si="337"/>
        <v>-338471.80443987017</v>
      </c>
      <c r="AB994" s="52">
        <f t="shared" si="338"/>
        <v>548.33563336701081</v>
      </c>
      <c r="AC994" s="52">
        <f t="shared" si="339"/>
        <v>-391.74092700406391</v>
      </c>
      <c r="AD994" s="52">
        <f t="shared" si="323"/>
        <v>-3.1015632258463359</v>
      </c>
      <c r="AE994" s="52">
        <f t="shared" si="324"/>
        <v>9.1918793118129507</v>
      </c>
      <c r="AF994" s="52">
        <f t="shared" si="325"/>
        <v>-1.0914600586943839</v>
      </c>
      <c r="AG994" s="52">
        <f t="shared" si="326"/>
        <v>3.9025843345891094</v>
      </c>
      <c r="AH994" s="52">
        <f t="shared" si="327"/>
        <v>-0.46795077097159149</v>
      </c>
      <c r="AI994" s="52">
        <f t="shared" si="328"/>
        <v>1.1923628539569293</v>
      </c>
      <c r="AJ994" s="52">
        <f t="shared" si="329"/>
        <v>-1.5421523961803607</v>
      </c>
      <c r="AK994" s="52">
        <f t="shared" si="330"/>
        <v>4.0969321232669129</v>
      </c>
      <c r="AM994" s="52">
        <f t="shared" si="331"/>
        <v>359247.8311877434</v>
      </c>
      <c r="AN994" s="57">
        <f t="shared" si="332"/>
        <v>374347.32578613365</v>
      </c>
      <c r="AO994" s="57">
        <f t="shared" si="333"/>
        <v>345629.17620371882</v>
      </c>
    </row>
    <row r="995" spans="12:41" x14ac:dyDescent="0.25">
      <c r="L995" s="6">
        <v>992</v>
      </c>
      <c r="M995" s="52">
        <f t="shared" si="319"/>
        <v>20174.497483512499</v>
      </c>
      <c r="N995" s="52">
        <f t="shared" si="320"/>
        <v>2503.0458649045213</v>
      </c>
      <c r="P995" s="6">
        <v>992</v>
      </c>
      <c r="Q995" s="52">
        <f t="shared" si="334"/>
        <v>-19877.851761541249</v>
      </c>
      <c r="R995" s="52">
        <f t="shared" si="335"/>
        <v>6502.1321054331647</v>
      </c>
      <c r="T995" s="6">
        <v>992</v>
      </c>
      <c r="U995" s="52">
        <f t="shared" si="321"/>
        <v>-4825.5025164875005</v>
      </c>
      <c r="V995" s="52">
        <f t="shared" si="322"/>
        <v>-19996.954135095479</v>
      </c>
      <c r="X995" s="6">
        <v>991</v>
      </c>
      <c r="Y995" s="55">
        <v>495.5</v>
      </c>
      <c r="Z995" s="52">
        <f t="shared" si="336"/>
        <v>117033.86872044193</v>
      </c>
      <c r="AA995" s="52">
        <f t="shared" si="337"/>
        <v>-338666.52591845818</v>
      </c>
      <c r="AB995" s="52">
        <f t="shared" si="338"/>
        <v>546.78485175408764</v>
      </c>
      <c r="AC995" s="52">
        <f t="shared" si="339"/>
        <v>-387.14498734815743</v>
      </c>
      <c r="AD995" s="52">
        <f t="shared" si="323"/>
        <v>-3.1018870298230024</v>
      </c>
      <c r="AE995" s="52">
        <f t="shared" si="324"/>
        <v>9.1761273100823431</v>
      </c>
      <c r="AF995" s="52">
        <f t="shared" si="325"/>
        <v>-1.0921650078316902</v>
      </c>
      <c r="AG995" s="52">
        <f t="shared" si="326"/>
        <v>3.8962783971856054</v>
      </c>
      <c r="AH995" s="52">
        <f t="shared" si="327"/>
        <v>-0.46783239146132616</v>
      </c>
      <c r="AI995" s="52">
        <f t="shared" si="328"/>
        <v>1.1903443737381092</v>
      </c>
      <c r="AJ995" s="52">
        <f t="shared" si="329"/>
        <v>-1.5418896305299858</v>
      </c>
      <c r="AK995" s="52">
        <f t="shared" si="330"/>
        <v>4.0895045391586295</v>
      </c>
      <c r="AM995" s="52">
        <f t="shared" si="331"/>
        <v>359509.15891714155</v>
      </c>
      <c r="AN995" s="57">
        <f t="shared" si="332"/>
        <v>374628.65276502573</v>
      </c>
      <c r="AO995" s="57">
        <f t="shared" si="333"/>
        <v>345907.91421273095</v>
      </c>
    </row>
    <row r="996" spans="12:41" x14ac:dyDescent="0.25">
      <c r="L996" s="6">
        <v>993</v>
      </c>
      <c r="M996" s="52">
        <f t="shared" si="319"/>
        <v>20261.679781214727</v>
      </c>
      <c r="N996" s="52">
        <f t="shared" si="320"/>
        <v>2506.852326227131</v>
      </c>
      <c r="P996" s="6">
        <v>993</v>
      </c>
      <c r="Q996" s="52">
        <f t="shared" si="334"/>
        <v>-19816.824153149693</v>
      </c>
      <c r="R996" s="52">
        <f t="shared" si="335"/>
        <v>6504.7966283589922</v>
      </c>
      <c r="T996" s="6">
        <v>993</v>
      </c>
      <c r="U996" s="52">
        <f t="shared" si="321"/>
        <v>-4738.3202187852739</v>
      </c>
      <c r="V996" s="52">
        <f t="shared" si="322"/>
        <v>-19993.14767377287</v>
      </c>
      <c r="X996" s="6">
        <v>992</v>
      </c>
      <c r="Y996" s="55">
        <v>496</v>
      </c>
      <c r="Z996" s="52">
        <f t="shared" si="336"/>
        <v>117306.87341044024</v>
      </c>
      <c r="AA996" s="52">
        <f t="shared" si="337"/>
        <v>-338858.9513962185</v>
      </c>
      <c r="AB996" s="52">
        <f t="shared" si="338"/>
        <v>545.23390823917612</v>
      </c>
      <c r="AC996" s="52">
        <f t="shared" si="339"/>
        <v>-382.55692369311623</v>
      </c>
      <c r="AD996" s="52">
        <f t="shared" si="323"/>
        <v>-3.1022380285609144</v>
      </c>
      <c r="AE996" s="52">
        <f t="shared" si="324"/>
        <v>9.1605314381738054</v>
      </c>
      <c r="AF996" s="52">
        <f t="shared" si="325"/>
        <v>-1.0928756412464573</v>
      </c>
      <c r="AG996" s="52">
        <f t="shared" si="326"/>
        <v>3.890036210617573</v>
      </c>
      <c r="AH996" s="52">
        <f t="shared" si="327"/>
        <v>-0.46771904322607682</v>
      </c>
      <c r="AI996" s="52">
        <f t="shared" si="328"/>
        <v>1.1883452802843093</v>
      </c>
      <c r="AJ996" s="52">
        <f t="shared" si="329"/>
        <v>-1.5416433440883799</v>
      </c>
      <c r="AK996" s="52">
        <f t="shared" si="330"/>
        <v>4.0821499472719234</v>
      </c>
      <c r="AM996" s="52">
        <f t="shared" si="331"/>
        <v>359768.19040210254</v>
      </c>
      <c r="AN996" s="57">
        <f t="shared" si="332"/>
        <v>374907.64923514141</v>
      </c>
      <c r="AO996" s="57">
        <f t="shared" si="333"/>
        <v>346184.33194310754</v>
      </c>
    </row>
    <row r="997" spans="12:41" x14ac:dyDescent="0.25">
      <c r="L997" s="6">
        <v>994</v>
      </c>
      <c r="M997" s="52">
        <f t="shared" si="319"/>
        <v>20348.782368720629</v>
      </c>
      <c r="N997" s="52">
        <f t="shared" si="320"/>
        <v>2512.1797487008789</v>
      </c>
      <c r="P997" s="6">
        <v>994</v>
      </c>
      <c r="Q997" s="52">
        <f t="shared" si="334"/>
        <v>-19755.852341895559</v>
      </c>
      <c r="R997" s="52">
        <f t="shared" si="335"/>
        <v>6508.5258240906151</v>
      </c>
      <c r="T997" s="6">
        <v>994</v>
      </c>
      <c r="U997" s="52">
        <f t="shared" si="321"/>
        <v>-4651.2176312793717</v>
      </c>
      <c r="V997" s="52">
        <f t="shared" si="322"/>
        <v>-19987.820251299119</v>
      </c>
      <c r="X997" s="6">
        <v>993</v>
      </c>
      <c r="Y997" s="55">
        <v>496.5</v>
      </c>
      <c r="Z997" s="52">
        <f t="shared" si="336"/>
        <v>117579.10258480626</v>
      </c>
      <c r="AA997" s="52">
        <f t="shared" si="337"/>
        <v>-339049.08479163534</v>
      </c>
      <c r="AB997" s="52">
        <f t="shared" si="338"/>
        <v>543.68278922489571</v>
      </c>
      <c r="AC997" s="52">
        <f t="shared" si="339"/>
        <v>-377.97665797402931</v>
      </c>
      <c r="AD997" s="52">
        <f t="shared" si="323"/>
        <v>-3.1026162267598911</v>
      </c>
      <c r="AE997" s="52">
        <f t="shared" si="324"/>
        <v>9.1450905141355641</v>
      </c>
      <c r="AF997" s="52">
        <f t="shared" si="325"/>
        <v>-1.0935920132791233</v>
      </c>
      <c r="AG997" s="52">
        <f t="shared" si="326"/>
        <v>3.8838573147149682</v>
      </c>
      <c r="AH997" s="52">
        <f t="shared" si="327"/>
        <v>-0.46761071146349636</v>
      </c>
      <c r="AI997" s="52">
        <f t="shared" si="328"/>
        <v>1.1863654276599722</v>
      </c>
      <c r="AJ997" s="52">
        <f t="shared" si="329"/>
        <v>-1.5414135020172717</v>
      </c>
      <c r="AK997" s="52">
        <f t="shared" si="330"/>
        <v>4.0748677717606236</v>
      </c>
      <c r="AM997" s="52">
        <f t="shared" si="331"/>
        <v>360024.92890239728</v>
      </c>
      <c r="AN997" s="57">
        <f t="shared" si="332"/>
        <v>375184.31878467265</v>
      </c>
      <c r="AO997" s="57">
        <f t="shared" si="333"/>
        <v>346458.43292492238</v>
      </c>
    </row>
    <row r="998" spans="12:41" x14ac:dyDescent="0.25">
      <c r="L998" s="6">
        <v>995</v>
      </c>
      <c r="M998" s="52">
        <f t="shared" si="319"/>
        <v>20435.778713738287</v>
      </c>
      <c r="N998" s="52">
        <f t="shared" si="320"/>
        <v>2519.0265095412724</v>
      </c>
      <c r="P998" s="6">
        <v>995</v>
      </c>
      <c r="Q998" s="52">
        <f t="shared" si="334"/>
        <v>-19694.9549003832</v>
      </c>
      <c r="R998" s="52">
        <f t="shared" si="335"/>
        <v>6513.3185566788907</v>
      </c>
      <c r="T998" s="6">
        <v>995</v>
      </c>
      <c r="U998" s="52">
        <f t="shared" si="321"/>
        <v>-4564.2212862617125</v>
      </c>
      <c r="V998" s="52">
        <f t="shared" si="322"/>
        <v>-19980.973490458728</v>
      </c>
      <c r="X998" s="6">
        <v>994</v>
      </c>
      <c r="Y998" s="55">
        <v>497</v>
      </c>
      <c r="Z998" s="52">
        <f t="shared" si="336"/>
        <v>117850.55615239036</v>
      </c>
      <c r="AA998" s="52">
        <f t="shared" si="337"/>
        <v>-339236.92998430808</v>
      </c>
      <c r="AB998" s="52">
        <f t="shared" si="338"/>
        <v>542.13148111151577</v>
      </c>
      <c r="AC998" s="52">
        <f t="shared" si="339"/>
        <v>-373.40411271696155</v>
      </c>
      <c r="AD998" s="52">
        <f t="shared" si="323"/>
        <v>-3.1030216300893776</v>
      </c>
      <c r="AE998" s="52">
        <f t="shared" si="324"/>
        <v>9.1298033725161112</v>
      </c>
      <c r="AF998" s="52">
        <f t="shared" si="325"/>
        <v>-1.0943141779161922</v>
      </c>
      <c r="AG998" s="52">
        <f t="shared" si="326"/>
        <v>3.8777412557372908</v>
      </c>
      <c r="AH998" s="52">
        <f t="shared" si="327"/>
        <v>-0.46750738171264866</v>
      </c>
      <c r="AI998" s="52">
        <f t="shared" si="328"/>
        <v>1.1844046719248313</v>
      </c>
      <c r="AJ998" s="52">
        <f t="shared" si="329"/>
        <v>-1.5412000704605366</v>
      </c>
      <c r="AK998" s="52">
        <f t="shared" si="330"/>
        <v>4.0676574448539897</v>
      </c>
      <c r="AM998" s="52">
        <f t="shared" si="331"/>
        <v>360279.37764223345</v>
      </c>
      <c r="AN998" s="57">
        <f t="shared" si="332"/>
        <v>375458.66496378509</v>
      </c>
      <c r="AO998" s="57">
        <f t="shared" si="333"/>
        <v>346730.2206508696</v>
      </c>
    </row>
    <row r="999" spans="12:41" x14ac:dyDescent="0.25">
      <c r="L999" s="6">
        <v>996</v>
      </c>
      <c r="M999" s="52">
        <f t="shared" si="319"/>
        <v>20522.642316338257</v>
      </c>
      <c r="N999" s="52">
        <f t="shared" si="320"/>
        <v>2527.3905231586323</v>
      </c>
      <c r="P999" s="6">
        <v>996</v>
      </c>
      <c r="Q999" s="52">
        <f t="shared" si="334"/>
        <v>-19634.150378563219</v>
      </c>
      <c r="R999" s="52">
        <f t="shared" si="335"/>
        <v>6519.1733662110428</v>
      </c>
      <c r="T999" s="6">
        <v>996</v>
      </c>
      <c r="U999" s="52">
        <f t="shared" si="321"/>
        <v>-4477.3576836617422</v>
      </c>
      <c r="V999" s="52">
        <f t="shared" si="322"/>
        <v>-19972.609476841368</v>
      </c>
      <c r="X999" s="6">
        <v>995</v>
      </c>
      <c r="Y999" s="55">
        <v>497.5</v>
      </c>
      <c r="Z999" s="52">
        <f t="shared" si="336"/>
        <v>118121.23401524236</v>
      </c>
      <c r="AA999" s="52">
        <f t="shared" si="337"/>
        <v>-339422.49081524496</v>
      </c>
      <c r="AB999" s="52">
        <f t="shared" si="338"/>
        <v>540.57997029647106</v>
      </c>
      <c r="AC999" s="52">
        <f t="shared" si="339"/>
        <v>-368.8392110307035</v>
      </c>
      <c r="AD999" s="52">
        <f t="shared" si="323"/>
        <v>-3.1034542451946718</v>
      </c>
      <c r="AE999" s="52">
        <f t="shared" si="324"/>
        <v>9.1146688641312501</v>
      </c>
      <c r="AF999" s="52">
        <f t="shared" si="325"/>
        <v>-1.0950421888046347</v>
      </c>
      <c r="AG999" s="52">
        <f t="shared" si="326"/>
        <v>3.871687586286042</v>
      </c>
      <c r="AH999" s="52">
        <f t="shared" si="327"/>
        <v>-0.46740903985117027</v>
      </c>
      <c r="AI999" s="52">
        <f t="shared" si="328"/>
        <v>1.1824628711059335</v>
      </c>
      <c r="AJ999" s="52">
        <f t="shared" si="329"/>
        <v>-1.5410030165388671</v>
      </c>
      <c r="AK999" s="52">
        <f t="shared" si="330"/>
        <v>4.0605184067392752</v>
      </c>
      <c r="AM999" s="52">
        <f t="shared" si="331"/>
        <v>360531.53981049656</v>
      </c>
      <c r="AN999" s="57">
        <f t="shared" si="332"/>
        <v>375730.69128489267</v>
      </c>
      <c r="AO999" s="57">
        <f t="shared" si="333"/>
        <v>346999.69857653155</v>
      </c>
    </row>
    <row r="1000" spans="12:41" x14ac:dyDescent="0.25">
      <c r="L1000" s="6">
        <v>997</v>
      </c>
      <c r="M1000" s="52">
        <f t="shared" si="319"/>
        <v>20609.346717025739</v>
      </c>
      <c r="N1000" s="52">
        <f t="shared" si="320"/>
        <v>2537.2692417933904</v>
      </c>
      <c r="P1000" s="6">
        <v>997</v>
      </c>
      <c r="Q1000" s="52">
        <f t="shared" si="334"/>
        <v>-19573.457298081983</v>
      </c>
      <c r="R1000" s="52">
        <f t="shared" si="335"/>
        <v>6526.0884692553736</v>
      </c>
      <c r="T1000" s="6">
        <v>997</v>
      </c>
      <c r="U1000" s="52">
        <f t="shared" si="321"/>
        <v>-4390.6532829742591</v>
      </c>
      <c r="V1000" s="52">
        <f t="shared" si="322"/>
        <v>-19962.73075820661</v>
      </c>
      <c r="X1000" s="6">
        <v>996</v>
      </c>
      <c r="Y1000" s="55">
        <v>498</v>
      </c>
      <c r="Z1000" s="52">
        <f t="shared" si="336"/>
        <v>118391.13606860995</v>
      </c>
      <c r="AA1000" s="52">
        <f t="shared" si="337"/>
        <v>-339605.7710871523</v>
      </c>
      <c r="AB1000" s="52">
        <f t="shared" si="338"/>
        <v>539.02824317387376</v>
      </c>
      <c r="AC1000" s="52">
        <f t="shared" si="339"/>
        <v>-364.28187659863789</v>
      </c>
      <c r="AD1000" s="52">
        <f t="shared" si="323"/>
        <v>-3.1039140797032463</v>
      </c>
      <c r="AE1000" s="52">
        <f t="shared" si="324"/>
        <v>9.0996858558359577</v>
      </c>
      <c r="AF1000" s="52">
        <f t="shared" si="325"/>
        <v>-1.0957760992660599</v>
      </c>
      <c r="AG1000" s="52">
        <f t="shared" si="326"/>
        <v>3.8656958652189202</v>
      </c>
      <c r="AH1000" s="52">
        <f t="shared" si="327"/>
        <v>-0.4673156720924953</v>
      </c>
      <c r="AI1000" s="52">
        <f t="shared" si="328"/>
        <v>1.1805398851701805</v>
      </c>
      <c r="AJ1000" s="52">
        <f t="shared" si="329"/>
        <v>-1.5408223083446912</v>
      </c>
      <c r="AK1000" s="52">
        <f t="shared" si="330"/>
        <v>4.0534501054468572</v>
      </c>
      <c r="AM1000" s="52">
        <f t="shared" si="331"/>
        <v>360781.41856098728</v>
      </c>
      <c r="AN1000" s="57">
        <f t="shared" si="332"/>
        <v>376000.40122292802</v>
      </c>
      <c r="AO1000" s="57">
        <f t="shared" si="333"/>
        <v>347266.87012064212</v>
      </c>
    </row>
    <row r="1001" spans="12:41" x14ac:dyDescent="0.25">
      <c r="L1001" s="6">
        <v>998</v>
      </c>
      <c r="M1001" s="52">
        <f t="shared" si="319"/>
        <v>20695.865504800324</v>
      </c>
      <c r="N1001" s="52">
        <f t="shared" si="320"/>
        <v>2548.6596562921486</v>
      </c>
      <c r="P1001" s="6">
        <v>998</v>
      </c>
      <c r="Q1001" s="52">
        <f t="shared" si="334"/>
        <v>-19512.894146639774</v>
      </c>
      <c r="R1001" s="52">
        <f t="shared" si="335"/>
        <v>6534.0617594045034</v>
      </c>
      <c r="T1001" s="6">
        <v>998</v>
      </c>
      <c r="U1001" s="52">
        <f t="shared" si="321"/>
        <v>-4304.1344951996753</v>
      </c>
      <c r="V1001" s="52">
        <f t="shared" si="322"/>
        <v>-19951.340343707852</v>
      </c>
      <c r="X1001" s="6">
        <v>997</v>
      </c>
      <c r="Y1001" s="55">
        <v>498.5</v>
      </c>
      <c r="Z1001" s="52">
        <f t="shared" si="336"/>
        <v>118660.26220093692</v>
      </c>
      <c r="AA1001" s="52">
        <f t="shared" si="337"/>
        <v>-339786.77456471964</v>
      </c>
      <c r="AB1001" s="52">
        <f t="shared" si="338"/>
        <v>537.47628613402219</v>
      </c>
      <c r="AC1001" s="52">
        <f t="shared" si="339"/>
        <v>-359.73203367071994</v>
      </c>
      <c r="AD1001" s="52">
        <f t="shared" si="323"/>
        <v>-3.1044011422308753</v>
      </c>
      <c r="AE1001" s="52">
        <f t="shared" si="324"/>
        <v>9.0848532303001122</v>
      </c>
      <c r="AF1001" s="52">
        <f t="shared" si="325"/>
        <v>-1.096515962310606</v>
      </c>
      <c r="AG1001" s="52">
        <f t="shared" si="326"/>
        <v>3.8597656575654602</v>
      </c>
      <c r="AH1001" s="52">
        <f t="shared" si="327"/>
        <v>-0.46722726498313066</v>
      </c>
      <c r="AI1001" s="52">
        <f t="shared" si="328"/>
        <v>1.1786355759973501</v>
      </c>
      <c r="AJ1001" s="52">
        <f t="shared" si="329"/>
        <v>-1.5406579149371387</v>
      </c>
      <c r="AK1001" s="52">
        <f t="shared" si="330"/>
        <v>4.0464519967373018</v>
      </c>
      <c r="AM1001" s="52">
        <f t="shared" si="331"/>
        <v>361029.01701265515</v>
      </c>
      <c r="AN1001" s="57">
        <f t="shared" si="332"/>
        <v>376267.79821560945</v>
      </c>
      <c r="AO1001" s="57">
        <f t="shared" si="333"/>
        <v>347531.73866534617</v>
      </c>
    </row>
    <row r="1002" spans="12:41" x14ac:dyDescent="0.25">
      <c r="L1002" s="6">
        <v>999</v>
      </c>
      <c r="M1002" s="52">
        <f t="shared" si="319"/>
        <v>20782.172325201147</v>
      </c>
      <c r="N1002" s="52">
        <f t="shared" si="320"/>
        <v>2561.5582970243104</v>
      </c>
      <c r="P1002" s="6">
        <v>999</v>
      </c>
      <c r="Q1002" s="52">
        <f t="shared" si="334"/>
        <v>-19452.479372359197</v>
      </c>
      <c r="R1002" s="52">
        <f t="shared" si="335"/>
        <v>6543.0908079170167</v>
      </c>
      <c r="T1002" s="6">
        <v>999</v>
      </c>
      <c r="U1002" s="52">
        <f t="shared" si="321"/>
        <v>-4217.827674798853</v>
      </c>
      <c r="V1002" s="52">
        <f t="shared" si="322"/>
        <v>-19938.441702975688</v>
      </c>
      <c r="X1002" s="6">
        <v>998</v>
      </c>
      <c r="Y1002" s="55">
        <v>499</v>
      </c>
      <c r="Z1002" s="52">
        <f t="shared" si="336"/>
        <v>118928.61229386115</v>
      </c>
      <c r="AA1002" s="52">
        <f t="shared" si="337"/>
        <v>-339965.50497490121</v>
      </c>
      <c r="AB1002" s="52">
        <f t="shared" si="338"/>
        <v>535.92408556290673</v>
      </c>
      <c r="AC1002" s="52">
        <f t="shared" si="339"/>
        <v>-355.18960705556987</v>
      </c>
      <c r="AD1002" s="52">
        <f t="shared" si="323"/>
        <v>-3.1049154423877279</v>
      </c>
      <c r="AE1002" s="52">
        <f t="shared" si="324"/>
        <v>9.0701698857884718</v>
      </c>
      <c r="AF1002" s="52">
        <f t="shared" si="325"/>
        <v>-1.0972618306505653</v>
      </c>
      <c r="AG1002" s="52">
        <f t="shared" si="326"/>
        <v>3.8538965344441785</v>
      </c>
      <c r="AH1002" s="52">
        <f t="shared" si="327"/>
        <v>-0.46714380540001316</v>
      </c>
      <c r="AI1002" s="52">
        <f t="shared" si="328"/>
        <v>1.1767498073536611</v>
      </c>
      <c r="AJ1002" s="52">
        <f t="shared" si="329"/>
        <v>-1.5405098063371494</v>
      </c>
      <c r="AK1002" s="52">
        <f t="shared" si="330"/>
        <v>4.0395235439906321</v>
      </c>
      <c r="AM1002" s="52">
        <f t="shared" si="331"/>
        <v>361274.33824982948</v>
      </c>
      <c r="AN1002" s="57">
        <f t="shared" si="332"/>
        <v>376532.88566370349</v>
      </c>
      <c r="AO1002" s="57">
        <f t="shared" si="333"/>
        <v>347794.30755645601</v>
      </c>
    </row>
    <row r="1003" spans="12:41" x14ac:dyDescent="0.25">
      <c r="L1003" s="6">
        <v>1000</v>
      </c>
      <c r="M1003" s="52">
        <f t="shared" si="319"/>
        <v>20868.24088833464</v>
      </c>
      <c r="N1003" s="52">
        <f t="shared" si="320"/>
        <v>2575.9612349389572</v>
      </c>
      <c r="P1003" s="6">
        <v>1000</v>
      </c>
      <c r="Q1003" s="52">
        <f t="shared" si="334"/>
        <v>-19392.231378165754</v>
      </c>
      <c r="R1003" s="52">
        <f t="shared" si="335"/>
        <v>6553.1728644572704</v>
      </c>
      <c r="T1003" s="6">
        <v>1000</v>
      </c>
      <c r="U1003" s="52">
        <f t="shared" si="321"/>
        <v>-4131.7591116653612</v>
      </c>
      <c r="V1003" s="52">
        <f t="shared" si="322"/>
        <v>-19924.038765061043</v>
      </c>
      <c r="X1003" s="6">
        <v>999</v>
      </c>
      <c r="Y1003" s="55">
        <v>499.5</v>
      </c>
      <c r="Z1003" s="52">
        <f t="shared" si="336"/>
        <v>119196.1862222123</v>
      </c>
      <c r="AA1003" s="52">
        <f t="shared" si="337"/>
        <v>-340141.96600719332</v>
      </c>
      <c r="AB1003" s="52">
        <f t="shared" si="338"/>
        <v>534.37162784171289</v>
      </c>
      <c r="AC1003" s="52">
        <f t="shared" si="339"/>
        <v>-350.65452211267564</v>
      </c>
      <c r="AD1003" s="52">
        <f t="shared" si="323"/>
        <v>-3.1054569907844769</v>
      </c>
      <c r="AE1003" s="52">
        <f t="shared" si="324"/>
        <v>9.0556347359449898</v>
      </c>
      <c r="AF1003" s="52">
        <f t="shared" si="325"/>
        <v>-1.0980137567138579</v>
      </c>
      <c r="AG1003" s="52">
        <f t="shared" si="326"/>
        <v>3.8480880729815272</v>
      </c>
      <c r="AH1003" s="52">
        <f t="shared" si="327"/>
        <v>-0.46706528054790153</v>
      </c>
      <c r="AI1003" s="52">
        <f t="shared" si="328"/>
        <v>1.1748824448657682</v>
      </c>
      <c r="AJ1003" s="52">
        <f t="shared" si="329"/>
        <v>-1.5403779535227176</v>
      </c>
      <c r="AK1003" s="52">
        <f t="shared" si="330"/>
        <v>4.0326642180976942</v>
      </c>
      <c r="AM1003" s="52">
        <f t="shared" si="331"/>
        <v>361517.3853224467</v>
      </c>
      <c r="AN1003" s="57">
        <f t="shared" si="332"/>
        <v>376795.6669312843</v>
      </c>
      <c r="AO1003" s="57">
        <f t="shared" si="333"/>
        <v>348054.58010370343</v>
      </c>
    </row>
    <row r="1004" spans="12:41" x14ac:dyDescent="0.25">
      <c r="X1004" s="6">
        <v>1000</v>
      </c>
      <c r="Y1004" s="55">
        <v>500</v>
      </c>
      <c r="Z1004" s="52">
        <f t="shared" si="336"/>
        <v>119462.98385400932</v>
      </c>
      <c r="AA1004" s="52">
        <f t="shared" ref="AA1004" si="340">AA1003+AC1003*$G$4+((1/2)*AE1003)*$G$4^2</f>
        <v>-340316.16131390765</v>
      </c>
      <c r="AB1004" s="52">
        <f t="shared" ref="AB1004" si="341">AB1003+AD1003*$G$4</f>
        <v>532.81889934632068</v>
      </c>
      <c r="AC1004" s="52">
        <f t="shared" ref="AC1004" si="342">AC1003+AE1003*$G$4</f>
        <v>-346.12670474470315</v>
      </c>
      <c r="AD1004" s="52">
        <f t="shared" ref="AD1004" si="343">AF1004+AH1004+AJ1004</f>
        <v>-3.1060257990382985</v>
      </c>
      <c r="AE1004" s="52">
        <f t="shared" ref="AE1004" si="344">AG1004+AI1004+AK1004</f>
        <v>9.0412467095809106</v>
      </c>
      <c r="AF1004" s="52">
        <f t="shared" si="325"/>
        <v>-1.0987717926572065</v>
      </c>
      <c r="AG1004" s="52">
        <f t="shared" si="326"/>
        <v>3.8423398562321052</v>
      </c>
      <c r="AH1004" s="52">
        <f t="shared" si="327"/>
        <v>-0.46699167795686247</v>
      </c>
      <c r="AI1004" s="52">
        <f t="shared" si="328"/>
        <v>1.1730333559953128</v>
      </c>
      <c r="AJ1004" s="52">
        <f t="shared" si="329"/>
        <v>-1.5402623284242294</v>
      </c>
      <c r="AK1004" s="52">
        <f t="shared" si="330"/>
        <v>4.0258734973534915</v>
      </c>
      <c r="AM1004" s="52">
        <f t="shared" ref="AM1004" si="345">SQRT(($G$19-Z1004)^2+($H$19-AA1004)^2)</f>
        <v>361758.16124627396</v>
      </c>
      <c r="AN1004" s="57">
        <f t="shared" ref="AN1004" si="346">SQRT(($G$29-Z1004)^2+($H$29-AA1004)^2)</f>
        <v>377056.1453459888</v>
      </c>
      <c r="AO1004" s="57">
        <f>SQRT(($G$39-Z1004)^2+($H$39-AA1004)^2)</f>
        <v>348312.55958098866</v>
      </c>
    </row>
    <row r="1005" spans="12:41" x14ac:dyDescent="0.25">
      <c r="AF1005" s="52"/>
      <c r="AG1005" s="52"/>
      <c r="AH1005" s="52"/>
      <c r="AI1005" s="52"/>
      <c r="AJ1005" s="52"/>
      <c r="AK1005" s="52"/>
    </row>
  </sheetData>
  <mergeCells count="44">
    <mergeCell ref="B45:C45"/>
    <mergeCell ref="B31:D31"/>
    <mergeCell ref="B33:C33"/>
    <mergeCell ref="B34:C34"/>
    <mergeCell ref="B35:C35"/>
    <mergeCell ref="B43:C43"/>
    <mergeCell ref="B44:C44"/>
    <mergeCell ref="G42:H42"/>
    <mergeCell ref="G43:H43"/>
    <mergeCell ref="G44:H44"/>
    <mergeCell ref="G40:H40"/>
    <mergeCell ref="L2:N2"/>
    <mergeCell ref="P2:R2"/>
    <mergeCell ref="G41:H41"/>
    <mergeCell ref="B41:D41"/>
    <mergeCell ref="B21:D21"/>
    <mergeCell ref="B23:C23"/>
    <mergeCell ref="B24:C24"/>
    <mergeCell ref="B25:C25"/>
    <mergeCell ref="G31:H31"/>
    <mergeCell ref="G25:H25"/>
    <mergeCell ref="G21:H21"/>
    <mergeCell ref="B11:C11"/>
    <mergeCell ref="B12:C12"/>
    <mergeCell ref="B13:C13"/>
    <mergeCell ref="B4:C4"/>
    <mergeCell ref="B5:C5"/>
    <mergeCell ref="B6:D6"/>
    <mergeCell ref="T2:V2"/>
    <mergeCell ref="G45:H45"/>
    <mergeCell ref="G32:H32"/>
    <mergeCell ref="G33:H33"/>
    <mergeCell ref="G34:H34"/>
    <mergeCell ref="G35:H35"/>
    <mergeCell ref="G5:H5"/>
    <mergeCell ref="G4:H4"/>
    <mergeCell ref="G10:H10"/>
    <mergeCell ref="G20:H20"/>
    <mergeCell ref="G30:H30"/>
    <mergeCell ref="G22:H22"/>
    <mergeCell ref="G23:H23"/>
    <mergeCell ref="G24:H24"/>
    <mergeCell ref="G6:H6"/>
    <mergeCell ref="G14:H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3D0-AF44-4E83-B00D-A93420571FD6}">
  <sheetPr codeName="Feuil1"/>
  <dimension ref="M1:S10"/>
  <sheetViews>
    <sheetView tabSelected="1" workbookViewId="0">
      <selection activeCell="O17" sqref="O17"/>
    </sheetView>
  </sheetViews>
  <sheetFormatPr baseColWidth="10" defaultRowHeight="15" x14ac:dyDescent="0.25"/>
  <cols>
    <col min="13" max="13" width="16.7109375" bestFit="1" customWidth="1"/>
    <col min="16" max="16" width="17.7109375" bestFit="1" customWidth="1"/>
  </cols>
  <sheetData>
    <row r="1" spans="13:19" x14ac:dyDescent="0.25">
      <c r="Q1" s="53" t="s">
        <v>57</v>
      </c>
      <c r="R1" s="53" t="s">
        <v>58</v>
      </c>
      <c r="S1" s="53" t="s">
        <v>67</v>
      </c>
    </row>
    <row r="2" spans="13:19" x14ac:dyDescent="0.25">
      <c r="P2" s="58" t="s">
        <v>62</v>
      </c>
      <c r="Q2" s="6">
        <f>Conditions!Z4</f>
        <v>0</v>
      </c>
      <c r="R2" s="6">
        <f>Conditions!AA4</f>
        <v>0</v>
      </c>
      <c r="S2" s="6">
        <v>0</v>
      </c>
    </row>
    <row r="3" spans="13:19" x14ac:dyDescent="0.25">
      <c r="P3" s="58" t="s">
        <v>63</v>
      </c>
      <c r="Q3" s="52">
        <f>Conditions!Z1004</f>
        <v>119462.98385400932</v>
      </c>
      <c r="R3">
        <f>Conditions!AA1004</f>
        <v>-340316.16131390765</v>
      </c>
      <c r="S3" s="6">
        <v>1000</v>
      </c>
    </row>
    <row r="4" spans="13:19" x14ac:dyDescent="0.25">
      <c r="P4" s="58" t="s">
        <v>64</v>
      </c>
      <c r="Q4">
        <f>INDEX(px,MATCH(S4,numérotation))</f>
        <v>119462.98385400932</v>
      </c>
      <c r="R4">
        <f>INDEX(py,MATCH(S4,numérotation))</f>
        <v>-340316.16131390765</v>
      </c>
      <c r="S4" s="6">
        <v>1000</v>
      </c>
    </row>
    <row r="5" spans="13:19" x14ac:dyDescent="0.25">
      <c r="Q5">
        <f>INDEX(px,MATCH(S4+1,numérotation))</f>
        <v>119462.98385400932</v>
      </c>
      <c r="R5">
        <f>INDEX(py,MATCH(S4+1,numérotation))</f>
        <v>-340316.16131390765</v>
      </c>
    </row>
    <row r="6" spans="13:19" x14ac:dyDescent="0.25">
      <c r="Q6">
        <f>INDEX(px,MATCH(S4+2,numérotation))</f>
        <v>119462.98385400932</v>
      </c>
      <c r="R6">
        <f>INDEX(py,MATCH(S4+2,numérotation))</f>
        <v>-340316.16131390765</v>
      </c>
    </row>
    <row r="7" spans="13:19" x14ac:dyDescent="0.25">
      <c r="Q7">
        <f>INDEX(px,MATCH(S4+3,numérotation))</f>
        <v>119462.98385400932</v>
      </c>
      <c r="R7">
        <f>INDEX(py,MATCH(S4+3,numérotation))</f>
        <v>-340316.16131390765</v>
      </c>
    </row>
    <row r="8" spans="13:19" x14ac:dyDescent="0.25">
      <c r="Q8">
        <f>INDEX(px,MATCH(S4+4,numérotation))</f>
        <v>119462.98385400932</v>
      </c>
      <c r="R8">
        <f>INDEX(py,MATCH(S4+4,numérotation))</f>
        <v>-340316.16131390765</v>
      </c>
    </row>
    <row r="10" spans="13:19" ht="18.75" x14ac:dyDescent="0.25">
      <c r="M10" s="60" t="s">
        <v>72</v>
      </c>
      <c r="N10" s="61">
        <f>S4/S3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12</xdr:col>
                <xdr:colOff>0</xdr:colOff>
                <xdr:row>3</xdr:row>
                <xdr:rowOff>57150</xdr:rowOff>
              </from>
              <to>
                <xdr:col>14</xdr:col>
                <xdr:colOff>314325</xdr:colOff>
                <xdr:row>8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07105B9-EEA5-43DC-B52E-59FE1F277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A567E0-B38E-4F6A-B83B-B12A1392BD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F936E5-67EE-4DFC-ABC3-D79C03BC16F9}">
  <ds:schemaRefs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9de94308-2297-4d04-a77d-26fce9df9395"/>
    <ds:schemaRef ds:uri="22375818-dcd7-42e4-9660-6b33e030de6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Conditions</vt:lpstr>
      <vt:lpstr>Graphique animé</vt:lpstr>
      <vt:lpstr>numérotation</vt:lpstr>
      <vt:lpstr>px</vt:lpstr>
      <vt:lpstr>py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JCD</dc:creator>
  <cp:keywords/>
  <dc:description/>
  <cp:lastModifiedBy>Nathan Sunol-Leroux</cp:lastModifiedBy>
  <cp:revision/>
  <dcterms:created xsi:type="dcterms:W3CDTF">2012-11-18T18:16:58Z</dcterms:created>
  <dcterms:modified xsi:type="dcterms:W3CDTF">2022-12-20T02:07:04Z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